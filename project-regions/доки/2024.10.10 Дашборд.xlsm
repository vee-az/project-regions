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3040" windowHeight="8675" firstSheet="1" activeTab="1"/>
  </bookViews>
  <sheets>
    <sheet name="Свод 01.11" sheetId="18" state="hidden" r:id="rId1"/>
    <sheet name="Свод" sheetId="6" r:id="rId2"/>
    <sheet name="Субъект" sheetId="3" r:id="rId3"/>
    <sheet name="Штаб" sheetId="16" r:id="rId4"/>
    <sheet name="Радар олд" sheetId="21" r:id="rId5"/>
    <sheet name="РО - регионы" sheetId="14" r:id="rId6"/>
    <sheet name="Спецтехника" sheetId="10" r:id="rId7"/>
    <sheet name="МНО" sheetId="2" r:id="rId8"/>
    <sheet name="Контейнеры" sheetId="5" r:id="rId9"/>
    <sheet name="ДК МНО" sheetId="15" r:id="rId10"/>
    <sheet name="РО - зоны" sheetId="12" r:id="rId11"/>
    <sheet name="Захоронение" sheetId="9" r:id="rId12"/>
    <sheet name="Обработка" sheetId="7" r:id="rId13"/>
    <sheet name="Утилизация" sheetId="8" r:id="rId14"/>
    <sheet name="Радар" sheetId="22" r:id="rId15"/>
    <sheet name="ДК ИП" sheetId="17" r:id="rId16"/>
    <sheet name="Округа" sheetId="19" state="hidden" r:id="rId17"/>
  </sheets>
  <definedNames>
    <definedName name="_xlnm._FilterDatabase" localSheetId="1" hidden="1">Свод!$A$10:$CC$99</definedName>
    <definedName name="_xlnm._FilterDatabase" localSheetId="3" hidden="1">Штаб!$B$15:$J$104</definedName>
    <definedName name="_xlnm._FilterDatabase" localSheetId="2" hidden="1">Субъект!$B$13:$C$19</definedName>
    <definedName name="_xlnm.Print_Titles" localSheetId="0">'Свод 01.11'!$5:$8</definedName>
    <definedName name="_xlnm.Print_Area" localSheetId="1">Свод!$B$5:$BD$99</definedName>
    <definedName name="_xlnm.Print_Area" localSheetId="0">'Свод 01.11'!$B$1:$BD$99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<sst xmlns="http://schemas.openxmlformats.org/spreadsheetml/2006/main" count="3605" uniqueCount="680">
  <si>
    <t>СВОДНАЯ ИНФОРМАЦИЯ ПО СУБЪЕКТАМ РОСССИЙСКОЙ ФЕДЕРАЦИИ</t>
  </si>
  <si>
    <t>№</t>
  </si>
  <si>
    <t xml:space="preserve">Субъект Российской Федерации </t>
  </si>
  <si>
    <t>Штаб ТКО</t>
  </si>
  <si>
    <t>Деятельность региональных операторов</t>
  </si>
  <si>
    <t>Обеспеченность специальной техникой</t>
  </si>
  <si>
    <t>Обеспеченность инфраструктурой по накоплению ТКО</t>
  </si>
  <si>
    <t>Обеспеченность инфраструктурой 
по обращению с ТКО</t>
  </si>
  <si>
    <t>Взаимодействие с потребителями</t>
  </si>
  <si>
    <t>Губернатор</t>
  </si>
  <si>
    <t>Не губернатор</t>
  </si>
  <si>
    <t>Выборы</t>
  </si>
  <si>
    <t>Не создан</t>
  </si>
  <si>
    <t>Зоны риска по деятельности региональных операторов</t>
  </si>
  <si>
    <t>Зоны риска по состоянию на 01.10.2024</t>
  </si>
  <si>
    <t>Дорожная карта (до 1.11.2024)</t>
  </si>
  <si>
    <t>Количество специальной техники</t>
  </si>
  <si>
    <t>Дорожная карта  (до 1.11.2024)</t>
  </si>
  <si>
    <t>Количество контейнерых площадок</t>
  </si>
  <si>
    <t>Количество контейнеров</t>
  </si>
  <si>
    <t>Доля ТКО, направленных на обработку</t>
  </si>
  <si>
    <t>Доля ТКО, направленных на захоронение</t>
  </si>
  <si>
    <t>Захоронение ТКО</t>
  </si>
  <si>
    <t>Дорожная карта  (до 15.10.2024)</t>
  </si>
  <si>
    <t>Отставание по ДК</t>
  </si>
  <si>
    <t>Сообщений в РЭО-Радар</t>
  </si>
  <si>
    <t xml:space="preserve">Предписания </t>
  </si>
  <si>
    <t>Общий светофор</t>
  </si>
  <si>
    <t>Светофор по штабу</t>
  </si>
  <si>
    <t>Светофор по зонам РО</t>
  </si>
  <si>
    <t>Светофор по ДК по РО</t>
  </si>
  <si>
    <t>Светофор по спецтехнике</t>
  </si>
  <si>
    <t>Светофор по дефициту КП</t>
  </si>
  <si>
    <t>Светофор по КП на 1000 чел.</t>
  </si>
  <si>
    <t>Светофор по наполнению ФГИС УТКО</t>
  </si>
  <si>
    <t>Светофор по дефициту контейнеров</t>
  </si>
  <si>
    <t>Светофор по контейнерам на 1000 чел.</t>
  </si>
  <si>
    <t>Светофор по ДК по МНО</t>
  </si>
  <si>
    <t>Светофор по обработке 2028</t>
  </si>
  <si>
    <t>Светофор по обработке 2024</t>
  </si>
  <si>
    <t>Светофор по утилизации 2028</t>
  </si>
  <si>
    <t>Светофор по утилизации 2024</t>
  </si>
  <si>
    <t>Светофор по захоронению</t>
  </si>
  <si>
    <t>Светофор по ДК по инвест. проектам</t>
  </si>
  <si>
    <t>Общий индекс</t>
  </si>
  <si>
    <t>Направлено в ППК РЭО</t>
  </si>
  <si>
    <t>Согласовано ППК РЭО</t>
  </si>
  <si>
    <t>Одобрено штабом</t>
  </si>
  <si>
    <t>Утверждена Напр. в МПР</t>
  </si>
  <si>
    <t>План,
 штук</t>
  </si>
  <si>
    <t>Факт, 
штук</t>
  </si>
  <si>
    <t>Отклонение (дефицит)</t>
  </si>
  <si>
    <t>Дефицит в %</t>
  </si>
  <si>
    <t>Динамика от 01.10.2024</t>
  </si>
  <si>
    <t>План</t>
  </si>
  <si>
    <t>Факт</t>
  </si>
  <si>
    <t>На 1000 человек</t>
  </si>
  <si>
    <t xml:space="preserve">Заполение ФГИС УТКО </t>
  </si>
  <si>
    <t>Факт 2024</t>
  </si>
  <si>
    <t>Сравнение с РФ (2024)</t>
  </si>
  <si>
    <t>План 2028</t>
  </si>
  <si>
    <t>Сравнение с РФ (2028)</t>
  </si>
  <si>
    <t>Риски нарушений</t>
  </si>
  <si>
    <t>месяцев</t>
  </si>
  <si>
    <t>на 1000 человек</t>
  </si>
  <si>
    <t>Красная/Желтая/Зеленая зоны</t>
  </si>
  <si>
    <t>Всего по Российской Федерации</t>
  </si>
  <si>
    <t>ЦФО</t>
  </si>
  <si>
    <t>г. Москва</t>
  </si>
  <si>
    <t>Московская область</t>
  </si>
  <si>
    <t>СЗФО</t>
  </si>
  <si>
    <t>г. Санкт-Петербург</t>
  </si>
  <si>
    <t>Мурманская область</t>
  </si>
  <si>
    <t>Тульская область</t>
  </si>
  <si>
    <t>ПФО</t>
  </si>
  <si>
    <t>Республика Татарстан</t>
  </si>
  <si>
    <t>Кировская область</t>
  </si>
  <si>
    <t>Курская область</t>
  </si>
  <si>
    <t>УФО</t>
  </si>
  <si>
    <t>Челябинская область</t>
  </si>
  <si>
    <t>Ярославская область</t>
  </si>
  <si>
    <t>Ивановская область</t>
  </si>
  <si>
    <t>Чувашская Республика - Чувашия</t>
  </si>
  <si>
    <t>Тюменская область</t>
  </si>
  <si>
    <t>Ханты-Мансийский автономный округ - Югра</t>
  </si>
  <si>
    <t>ЮФО</t>
  </si>
  <si>
    <t>Волгоградская область</t>
  </si>
  <si>
    <t>Калужская область</t>
  </si>
  <si>
    <t>Республика Башкортостан</t>
  </si>
  <si>
    <t>Костромская область</t>
  </si>
  <si>
    <t>Новгородская область</t>
  </si>
  <si>
    <t>Брянская область</t>
  </si>
  <si>
    <t>Ленинградская область</t>
  </si>
  <si>
    <t>Нижегородская область</t>
  </si>
  <si>
    <t>Оренбургская область</t>
  </si>
  <si>
    <t>Псковская область</t>
  </si>
  <si>
    <t>Республика Адыгея</t>
  </si>
  <si>
    <t>Республика Коми</t>
  </si>
  <si>
    <t>Республика Крым</t>
  </si>
  <si>
    <t>Удмуртская Республика</t>
  </si>
  <si>
    <t>Самарская область</t>
  </si>
  <si>
    <t>Липецкая область</t>
  </si>
  <si>
    <t>Саратовская область</t>
  </si>
  <si>
    <t>Смоленская область</t>
  </si>
  <si>
    <t>СКФО</t>
  </si>
  <si>
    <t>Ставропольский край</t>
  </si>
  <si>
    <t>Белгородская область</t>
  </si>
  <si>
    <t>Вологодская область</t>
  </si>
  <si>
    <t>СФО</t>
  </si>
  <si>
    <t>Кемеровская область - Кузбасс</t>
  </si>
  <si>
    <t>Республика Марий Эл</t>
  </si>
  <si>
    <t>Орловская область</t>
  </si>
  <si>
    <t>Республика Карелия</t>
  </si>
  <si>
    <t>Владимирская область</t>
  </si>
  <si>
    <t>Ямало-Ненецкий автономный округ</t>
  </si>
  <si>
    <t>Республика Мордовия</t>
  </si>
  <si>
    <t>Томская область</t>
  </si>
  <si>
    <t>Чеченская Республика</t>
  </si>
  <si>
    <t>г. Севастополь</t>
  </si>
  <si>
    <t>Калининградская область</t>
  </si>
  <si>
    <t>Республика Калмыкия</t>
  </si>
  <si>
    <t>Астраханская область</t>
  </si>
  <si>
    <t>Свердловская область</t>
  </si>
  <si>
    <t>Новосибирская область</t>
  </si>
  <si>
    <t>Пензенская область</t>
  </si>
  <si>
    <t>Тамбовская область</t>
  </si>
  <si>
    <t>Кабардино-Балкарская республика</t>
  </si>
  <si>
    <t>Ненецкий автономный округ</t>
  </si>
  <si>
    <t>Ульяновская область</t>
  </si>
  <si>
    <t>ДФО</t>
  </si>
  <si>
    <t>Сахалинская область</t>
  </si>
  <si>
    <t>Еврейская автономная область</t>
  </si>
  <si>
    <t>Курганская область</t>
  </si>
  <si>
    <t>Архангельская область</t>
  </si>
  <si>
    <t>Камчатский край</t>
  </si>
  <si>
    <t>Рязанская область</t>
  </si>
  <si>
    <t>Республика Дагестан</t>
  </si>
  <si>
    <t>Воронежская область</t>
  </si>
  <si>
    <t>Карачаево-Черкесская Республика</t>
  </si>
  <si>
    <t>Омская область</t>
  </si>
  <si>
    <t>Ростовская область</t>
  </si>
  <si>
    <t>Краснодарский край</t>
  </si>
  <si>
    <t>Красноярский край</t>
  </si>
  <si>
    <t>Пермский край</t>
  </si>
  <si>
    <t>Приморский край</t>
  </si>
  <si>
    <t>Хабаровский Край</t>
  </si>
  <si>
    <t>Алтайский край</t>
  </si>
  <si>
    <t>Республика Алтай</t>
  </si>
  <si>
    <t>Иркутская область</t>
  </si>
  <si>
    <t>Чукотский автономный округ</t>
  </si>
  <si>
    <t>Амурская область</t>
  </si>
  <si>
    <t>Республика Северная Осетия - Алания</t>
  </si>
  <si>
    <t>Республика Хакасия</t>
  </si>
  <si>
    <t>Магаданская область</t>
  </si>
  <si>
    <t>Республика Тыва</t>
  </si>
  <si>
    <t>Забайкальский край</t>
  </si>
  <si>
    <t>Тверская область</t>
  </si>
  <si>
    <t>Республика Бурятия</t>
  </si>
  <si>
    <t>Республика Ингушетия</t>
  </si>
  <si>
    <t>Республика Саха (Якутия)</t>
  </si>
  <si>
    <t>Донецкая народная республика</t>
  </si>
  <si>
    <t>Запорожская область</t>
  </si>
  <si>
    <t>Луганская народная республика</t>
  </si>
  <si>
    <t>Херсонская область</t>
  </si>
  <si>
    <t>0%%</t>
  </si>
  <si>
    <t>Динамика с 01.10.2024</t>
  </si>
  <si>
    <t>Доля ТКО, направленных на утилизацию, обезвреживание</t>
  </si>
  <si>
    <t>Светофор по Радару</t>
  </si>
  <si>
    <t>Субъект Российской Федерации</t>
  </si>
  <si>
    <t>СОЗДАНИЕ ШТАБА</t>
  </si>
  <si>
    <t>Ответственный</t>
  </si>
  <si>
    <t>Дата</t>
  </si>
  <si>
    <t>Дубовский</t>
  </si>
  <si>
    <t>Критерий красной зоны (мин)</t>
  </si>
  <si>
    <t>Критерий красной зоны (макс)</t>
  </si>
  <si>
    <t>Критерий желтой зоны (мин)</t>
  </si>
  <si>
    <t>Критерий желтой зоны (макс)</t>
  </si>
  <si>
    <t>Вес критерия</t>
  </si>
  <si>
    <t>Светофор</t>
  </si>
  <si>
    <t>Сводный индекс</t>
  </si>
  <si>
    <t>Руководитель штаба</t>
  </si>
  <si>
    <t>Дорожная карта (текст)</t>
  </si>
  <si>
    <t>Российская Федерация</t>
  </si>
  <si>
    <t>губернатор</t>
  </si>
  <si>
    <t>выборы</t>
  </si>
  <si>
    <t>не создан</t>
  </si>
  <si>
    <t>не губернатор</t>
  </si>
  <si>
    <t>Информация
о сообщениях, поступивших в цифровой сервис 
«РЭО Радар» с 01.01.2024 по 06.10.2024 в разрезе субъектов РФ</t>
  </si>
  <si>
    <t>№ п/п</t>
  </si>
  <si>
    <t>Субъект РФ</t>
  </si>
  <si>
    <t>Общий итог</t>
  </si>
  <si>
    <t>Численность населения</t>
  </si>
  <si>
    <t>Кабардино-Балкарская Республика</t>
  </si>
  <si>
    <t>Свердловская обл.</t>
  </si>
  <si>
    <t>Хабаровский край</t>
  </si>
  <si>
    <t>Чеченская республика</t>
  </si>
  <si>
    <t>Всего по субъектам РФ</t>
  </si>
  <si>
    <t>Всего поступило, 
в т.ч. местоположение не отпределилось</t>
  </si>
  <si>
    <t>ДЕЯТЕЛЬНОСТЬ РЕГИОНАЛЬНЫХ ОПЕРАТОРОВ</t>
  </si>
  <si>
    <t>Региональные операторы в зеленой зоне</t>
  </si>
  <si>
    <t>Региональные операторы в желтой зоне</t>
  </si>
  <si>
    <t>Региональные операторы в красной зоне</t>
  </si>
  <si>
    <t>Региональные операторы всего</t>
  </si>
  <si>
    <t>Текст для дашборда</t>
  </si>
  <si>
    <t>Дорожные карты</t>
  </si>
  <si>
    <t>Текст по ДК для дашборда</t>
  </si>
  <si>
    <t>Индекс по ДК</t>
  </si>
  <si>
    <t>Региональные операторы (текст)</t>
  </si>
  <si>
    <t>Дорожные карты (текст)</t>
  </si>
  <si>
    <t>СПЕЦИАЛЬНАЯ ТЕХНИКА</t>
  </si>
  <si>
    <t>Кудрявцева</t>
  </si>
  <si>
    <t>Потребность в спецтехнике</t>
  </si>
  <si>
    <t>Дефицит спецтехники</t>
  </si>
  <si>
    <t>Дефицит спецтехники (текст)</t>
  </si>
  <si>
    <t>Текст в дашборд</t>
  </si>
  <si>
    <t>КОНТЕЙНЕРНЫЕ ПЛОЩАДКИ</t>
  </si>
  <si>
    <t>Кузнецов</t>
  </si>
  <si>
    <t>Индекс КП на 1000 чел.</t>
  </si>
  <si>
    <t>Индекс заполнения ФГИС УТКО</t>
  </si>
  <si>
    <t>Индекс дефицита КП</t>
  </si>
  <si>
    <t>Факт МНО по ФГИС УТКО</t>
  </si>
  <si>
    <t>Факт КП по ФГИС УТКО</t>
  </si>
  <si>
    <t>Факт МНО по ТС</t>
  </si>
  <si>
    <t>Дефицит КП по данным субъектов РФ</t>
  </si>
  <si>
    <t>МНО (макс. из ТС и ФГИС УТКО)</t>
  </si>
  <si>
    <t>Факт КП по ФГИС УТКО на 1000 чел.</t>
  </si>
  <si>
    <t>Факт МНО по ТС на 1000 чел.</t>
  </si>
  <si>
    <t>МНО (макс. УТКО и ТС) на 1000 чел.</t>
  </si>
  <si>
    <t xml:space="preserve">План МНО </t>
  </si>
  <si>
    <t>Дефицит КП, %</t>
  </si>
  <si>
    <t>Заполнение ФГИС УТКО по МНО</t>
  </si>
  <si>
    <t>Статистика по МНО (текст)</t>
  </si>
  <si>
    <t>Наполнение ФГИС УТКО (текст)</t>
  </si>
  <si>
    <t>Комментарий (текст)</t>
  </si>
  <si>
    <t>Статистика по КП (текст)</t>
  </si>
  <si>
    <t>Отклонение (значение)</t>
  </si>
  <si>
    <t>Выше/Ниже (текст)</t>
  </si>
  <si>
    <t>Сравнение со средним (текст)</t>
  </si>
  <si>
    <t>Дефицит КП (текст)</t>
  </si>
  <si>
    <t>Текст комментариев:</t>
  </si>
  <si>
    <t>Аномальные данные территориальной схемы</t>
  </si>
  <si>
    <t>Данные о количестве КП требуют проверки</t>
  </si>
  <si>
    <t>Территориальная схема требует корректировки</t>
  </si>
  <si>
    <t>Индекс дефицита контейнеров</t>
  </si>
  <si>
    <t>Факт по контейнерам по ФГИС УТКО</t>
  </si>
  <si>
    <t>Факт по контейнерам по ТС</t>
  </si>
  <si>
    <t>Дефицит котейнеров по данным субъектов РФ</t>
  </si>
  <si>
    <t>Контейнеры (макс. из ТС и ФГИС УТКО)</t>
  </si>
  <si>
    <t>Факт контейнеры по ФГИС УТКО на 1000 чел.</t>
  </si>
  <si>
    <t>Факт контейнеры по ТС на 1000 чел.</t>
  </si>
  <si>
    <t>Контейнеры (макс. УТКО и ТС) на 1000 чел.</t>
  </si>
  <si>
    <t xml:space="preserve">План контейнеры </t>
  </si>
  <si>
    <t>Дефицит контейнеров, %</t>
  </si>
  <si>
    <t>Заполнение ФГИС УТКО по контейнерам</t>
  </si>
  <si>
    <t>Дорожные карты по МНО и контейнерам</t>
  </si>
  <si>
    <t>в разработке</t>
  </si>
  <si>
    <t>на обсуждении</t>
  </si>
  <si>
    <t>подписана</t>
  </si>
  <si>
    <t>не требуется</t>
  </si>
  <si>
    <t>Федеральный округ</t>
  </si>
  <si>
    <t>Наименование РО</t>
  </si>
  <si>
    <t>Наименование зоны</t>
  </si>
  <si>
    <t>Итоговый балл</t>
  </si>
  <si>
    <t>желтая зона</t>
  </si>
  <si>
    <t>красная зона</t>
  </si>
  <si>
    <t>Южный</t>
  </si>
  <si>
    <t>ГУП "ЭкологияРесурс" Минприроды Запорожской области</t>
  </si>
  <si>
    <t>зона деятельности регионального оператора №1</t>
  </si>
  <si>
    <t>Дальневосточный</t>
  </si>
  <si>
    <t>ООО "АТК"</t>
  </si>
  <si>
    <t>Зона №10</t>
  </si>
  <si>
    <t>Приволжский</t>
  </si>
  <si>
    <t>ООО "МЕХУБОРКА-ПЕНЗА"</t>
  </si>
  <si>
    <t>Южная</t>
  </si>
  <si>
    <t>Центральный</t>
  </si>
  <si>
    <t>АО "ЧИСТАЯ ПЛАНЕТА"</t>
  </si>
  <si>
    <t>Зона №1 и Зона №2</t>
  </si>
  <si>
    <t>ГУП ВО "ОБЛКОММУНСЕРВИС"</t>
  </si>
  <si>
    <t>Лискинский межмуниципальный кластер</t>
  </si>
  <si>
    <t>Сибирский</t>
  </si>
  <si>
    <t>ООО "РОСТТЕХ"</t>
  </si>
  <si>
    <t>Зеленогорская</t>
  </si>
  <si>
    <t>ООО "ЭКО-ТРАНСПОРТ"</t>
  </si>
  <si>
    <t>Ачинская</t>
  </si>
  <si>
    <t>Железногорская</t>
  </si>
  <si>
    <t>ООО "УБО"</t>
  </si>
  <si>
    <t>Северная</t>
  </si>
  <si>
    <t>Западная</t>
  </si>
  <si>
    <t>ООО РО "ЭКО-СИТИ"</t>
  </si>
  <si>
    <t>Зона №3</t>
  </si>
  <si>
    <t>ООО "АЛЬТФАТЕР КРЫМ"</t>
  </si>
  <si>
    <t>Кластер №2</t>
  </si>
  <si>
    <t>ООО "УК "ПЖКХ"</t>
  </si>
  <si>
    <t>Западная зона</t>
  </si>
  <si>
    <t>ООО "КОНТРАКТ ПЛЮС"</t>
  </si>
  <si>
    <t>Зона №2</t>
  </si>
  <si>
    <t>Уральский</t>
  </si>
  <si>
    <t>ООО "СПЕЦСЕРВИС"</t>
  </si>
  <si>
    <t>Кыштымский кластер (Кластер №2)</t>
  </si>
  <si>
    <t>АО "СПЕЦТРАНС"</t>
  </si>
  <si>
    <t>Кластер №4</t>
  </si>
  <si>
    <t>ООО "САХ"</t>
  </si>
  <si>
    <t>Кластер №5</t>
  </si>
  <si>
    <t>АО "ЭКОТЕХНОЛОГИИ"</t>
  </si>
  <si>
    <t>Воронежский межмуниципальный кластер</t>
  </si>
  <si>
    <t>Назаровская</t>
  </si>
  <si>
    <t>Северо-Западный</t>
  </si>
  <si>
    <t>МП ЗР "СЕВЕРЖИЛКОМСЕРВИС", МП ЗР "СЖКС"</t>
  </si>
  <si>
    <t>Вторая зона</t>
  </si>
  <si>
    <t>МУП "САХ"</t>
  </si>
  <si>
    <t>ООО "ГОРКОМХОЗ"</t>
  </si>
  <si>
    <t>Зона №1</t>
  </si>
  <si>
    <t>ООО "ПРИРОДА"</t>
  </si>
  <si>
    <t>Вся территория</t>
  </si>
  <si>
    <t>ООО "ЭКОЦЕНТР"</t>
  </si>
  <si>
    <t>Сальский МЭОК</t>
  </si>
  <si>
    <t>АО "ЭКОПРОМ-ЛИПЕЦК"</t>
  </si>
  <si>
    <t>центральная зона</t>
  </si>
  <si>
    <t>ООО "РК"</t>
  </si>
  <si>
    <t>Канско-Абанская</t>
  </si>
  <si>
    <t>Восточная</t>
  </si>
  <si>
    <t>ООО "МАГИСТРАЛЬ"</t>
  </si>
  <si>
    <t>Зона деятельности № 8</t>
  </si>
  <si>
    <t>ООО "ЭКОСОЮЗ"</t>
  </si>
  <si>
    <t>Барнаульская зона</t>
  </si>
  <si>
    <t>Калачеевский межмуниципальный кластер</t>
  </si>
  <si>
    <t>Россошанский межмуниципальный кластер</t>
  </si>
  <si>
    <t>ООО "БГС"</t>
  </si>
  <si>
    <t>АО "МУСОРОУБОРОЧНАЯ КОМПАНИЯ"</t>
  </si>
  <si>
    <t>Абинская зона</t>
  </si>
  <si>
    <t>Лесосибирская</t>
  </si>
  <si>
    <t>ООО "ЧИСТЫЙ ГОРОД"</t>
  </si>
  <si>
    <t>Грязинская</t>
  </si>
  <si>
    <t>ООО "ХАРТИЯ"</t>
  </si>
  <si>
    <t>ООО "СПЕЦОБСЛУЖИВАНИЕ ПЛЮС"</t>
  </si>
  <si>
    <t>Бийская зона</t>
  </si>
  <si>
    <t>АО "НЕВСКИЙ ЭКОЛОГИЧЕСКИЙ ОПЕРАТОР"</t>
  </si>
  <si>
    <t>ООО "ЭТМ"</t>
  </si>
  <si>
    <t>ООО "ЭКОПОЛ"</t>
  </si>
  <si>
    <t>Зона №1 Юго-Западная</t>
  </si>
  <si>
    <t>ООО "ТЭКО-СЕРВИС"</t>
  </si>
  <si>
    <t>Елецкая</t>
  </si>
  <si>
    <t>АО "СИТИМАТИК"</t>
  </si>
  <si>
    <t>ООО "ЭКОЛОГИЯ Т"</t>
  </si>
  <si>
    <t>№4</t>
  </si>
  <si>
    <t>ООО "ЭКОТРАНС"</t>
  </si>
  <si>
    <t>Неклиновкский МЭОК</t>
  </si>
  <si>
    <t>ООО "РИСК"</t>
  </si>
  <si>
    <t>Зона №5</t>
  </si>
  <si>
    <t>ООО "ЯМАЛ ЭКОЛОГИЯ"</t>
  </si>
  <si>
    <t>АО "САБ ПО УБОРКЕ Г. КУРСКА"</t>
  </si>
  <si>
    <t>Зона №2 Северо-Восточная</t>
  </si>
  <si>
    <t>АО "КРЫМЭКОРЕСУРСЫ"</t>
  </si>
  <si>
    <t>кластер №1</t>
  </si>
  <si>
    <t>ООО "ЧИСТАЯ СРЕДА"</t>
  </si>
  <si>
    <t>ООО "БИОТЕХНОЛОГИИ"</t>
  </si>
  <si>
    <t>Владимирской области - Зона №2</t>
  </si>
  <si>
    <t>ООО "ЭКОТЕХПРОМ"</t>
  </si>
  <si>
    <t>Крымская зона</t>
  </si>
  <si>
    <t>ООО "СЕРГИЕВО-ПОСАДСКИЙ РО"</t>
  </si>
  <si>
    <t>Зона №4 Сергиево-Посадская</t>
  </si>
  <si>
    <t>АО "СИТИМАТИК - НИЖНИЙ НОВГОРОД"</t>
  </si>
  <si>
    <t>Зона 2 (Балахнинская)</t>
  </si>
  <si>
    <t>Зона 4 (Городецкая)</t>
  </si>
  <si>
    <t>Морозовский МЭОК</t>
  </si>
  <si>
    <t>Волгодонской МЭОК</t>
  </si>
  <si>
    <t>ООО "ГК "ЧИСТЫЙ ГОРОД"</t>
  </si>
  <si>
    <t>Мясниковский МЭОК</t>
  </si>
  <si>
    <t>АО  "УПРАВЛЕНИЕ ПО ОБРАЩЕНИЮ С ОТХОДАМИ"</t>
  </si>
  <si>
    <t>Сахалинская область - Зона №1</t>
  </si>
  <si>
    <t>ООО "ЦКС"</t>
  </si>
  <si>
    <t>Карабашский кластер (Кластер №5)</t>
  </si>
  <si>
    <t>ООО "РТК"</t>
  </si>
  <si>
    <t>Зона №3 - с.п. Марково, Ламутское, Чуванское, Снежное, Ваеги</t>
  </si>
  <si>
    <t>ООО "АНДЕЗИТ"</t>
  </si>
  <si>
    <t>Зона №2 - г.п. Угольные Копи, с. Канчалан, с. Усть-Белая</t>
  </si>
  <si>
    <t>Вся территория Камчатского края</t>
  </si>
  <si>
    <t>ООО "РМК"</t>
  </si>
  <si>
    <t>Северная зона</t>
  </si>
  <si>
    <t>ООО"СПЕЦТРАНС"</t>
  </si>
  <si>
    <t>ЕМУП "СПЕЦАВТОБАЗА"</t>
  </si>
  <si>
    <t>Восточное АПО (АПО-3)</t>
  </si>
  <si>
    <t>ООО "АБФ СИСТЕМА"</t>
  </si>
  <si>
    <t>Зона №8</t>
  </si>
  <si>
    <t>Магнитогорский кластер (Кластер №1)</t>
  </si>
  <si>
    <t>Новокубанская зона</t>
  </si>
  <si>
    <t>Борисоглебский межмуниципальный кластер</t>
  </si>
  <si>
    <t>ООО "МСК-НТ"</t>
  </si>
  <si>
    <t>Московская область - Зона №2 Чеховская</t>
  </si>
  <si>
    <t>Владимирская область - Зона №1</t>
  </si>
  <si>
    <t>Северо-Кавказский</t>
  </si>
  <si>
    <t>ООО "ЭКОСЕРВИС"</t>
  </si>
  <si>
    <t>ООО "ПОЛИГОН"</t>
  </si>
  <si>
    <t>МУП "СПЕЦАВТОХОЗЯЙСТВО ПО УБОРКЕ ГОРОДА"</t>
  </si>
  <si>
    <t>Зона № 1</t>
  </si>
  <si>
    <t>УМП "СПЕЦАВТОХОЗЯЙСТВО Г. ТОМСКА"</t>
  </si>
  <si>
    <t>Зона №7</t>
  </si>
  <si>
    <t>ООО "АБФ ЛОГИСТИК"</t>
  </si>
  <si>
    <t>Зона №6</t>
  </si>
  <si>
    <t>Тульская область - Зона №2</t>
  </si>
  <si>
    <t>АО "ЮГРА-ЭКОЛОГИЯ"</t>
  </si>
  <si>
    <t>АО "УК ПО ОБРАЩЕНИЮ С ОТХОДАМИ В ЛЕНИНГРАДСКОЙ ОБЛАСТИ"</t>
  </si>
  <si>
    <t>ООО "ЭКОЛАЙН-ВОСКРЕСЕНСК"</t>
  </si>
  <si>
    <t>Воскресенский кластер</t>
  </si>
  <si>
    <t>Зона №7 Ногинская</t>
  </si>
  <si>
    <t>ООО "ЯКУТСКЭКОСЕТИ"</t>
  </si>
  <si>
    <t>Центральная зона</t>
  </si>
  <si>
    <t>ООО "ЭКОСТРОЙРЕСУРС"</t>
  </si>
  <si>
    <t>ООО "ПАРТНЕР"</t>
  </si>
  <si>
    <t>Зона № 2</t>
  </si>
  <si>
    <t>Зона № 4</t>
  </si>
  <si>
    <t>ООО "УК ЭКОСТАНДАРТ"</t>
  </si>
  <si>
    <t>ООО "ЭКО-ГАРАНТ"</t>
  </si>
  <si>
    <t>Заринская зона</t>
  </si>
  <si>
    <t>Таймырская</t>
  </si>
  <si>
    <t>ООО "УК "ЗЕЛЕНАЯ РОЩА"</t>
  </si>
  <si>
    <t>ООО "ЭКОГРАД-Н"</t>
  </si>
  <si>
    <t>Новочеркасский МЭОК</t>
  </si>
  <si>
    <t>ООО "ТРАНССИБ"</t>
  </si>
  <si>
    <t>АО "ЭКОТЕХПРОМ"</t>
  </si>
  <si>
    <t>Краснодарская зона</t>
  </si>
  <si>
    <t>Норильская</t>
  </si>
  <si>
    <t>ООО "РЕМОНДИС САРАНСК"</t>
  </si>
  <si>
    <t>ООО "ЭКОСТРОЙ"</t>
  </si>
  <si>
    <t>Зона-3</t>
  </si>
  <si>
    <t>ООО "КБ"</t>
  </si>
  <si>
    <t>Зона-4</t>
  </si>
  <si>
    <t>ООО "ХАБАВТОТРАНС ДВ"</t>
  </si>
  <si>
    <t>Зона деятельности № 1</t>
  </si>
  <si>
    <t>Богучарский межмуниципальный кластер</t>
  </si>
  <si>
    <t>Тимашевская зона</t>
  </si>
  <si>
    <t>ООО "РЕГИОНАЛЬНЫЙ ОПЕРАТОР "МАГАДАНСКИЙ"</t>
  </si>
  <si>
    <t>город Магадан</t>
  </si>
  <si>
    <t>ООО "КАШИРСКИЙ РО"</t>
  </si>
  <si>
    <t>Зона №5 Каширская</t>
  </si>
  <si>
    <t>ООО "КОМПАНИЯ "РИФЕЙ"</t>
  </si>
  <si>
    <t>Северное АПО (АПО-1)</t>
  </si>
  <si>
    <t>Государственное бюджетное учреждение Херсонской области "Экологический оператор Херсонской области"</t>
  </si>
  <si>
    <t>Рыбинская зона</t>
  </si>
  <si>
    <t>АО "АВТОСПЕЦБАЗА"</t>
  </si>
  <si>
    <t>ООО "ЭКОАЛЬЯНС"</t>
  </si>
  <si>
    <t>ГУП "ЖКХ РС (Я)"</t>
  </si>
  <si>
    <t>Арктическая зона</t>
  </si>
  <si>
    <t>ООО "ЖКХ"</t>
  </si>
  <si>
    <t>Зона-2</t>
  </si>
  <si>
    <t>ООО "СПЕЦТРАНС"</t>
  </si>
  <si>
    <t>Красноярская левобережная</t>
  </si>
  <si>
    <t>МУП "КБ И БО"</t>
  </si>
  <si>
    <t>Первая зона</t>
  </si>
  <si>
    <t>Зона №7 Арзамасская</t>
  </si>
  <si>
    <t>ООО "НИЖЭКОЛОГИЯ-НН"</t>
  </si>
  <si>
    <t>Зона №1 Новоигумновская</t>
  </si>
  <si>
    <t>ООО "ГРИНТА"</t>
  </si>
  <si>
    <t>Восточная зона Республики Татарстан</t>
  </si>
  <si>
    <t>ООО "СИТИМАТИК ЧУВАШИЯ"</t>
  </si>
  <si>
    <t>Вся территория (Чувашская Республика - Чувашия)</t>
  </si>
  <si>
    <t>МУП "УККР"</t>
  </si>
  <si>
    <t>Северо-Енисейская</t>
  </si>
  <si>
    <t>ООО "РЕГИОНАЛЬНЫЙ ОПЕРАТОР СЕВЕРА"</t>
  </si>
  <si>
    <t>ООО "АЭРОСИТИ-2000"</t>
  </si>
  <si>
    <t>ООО "ЭКОЮГ"</t>
  </si>
  <si>
    <t>Новороссийская зона</t>
  </si>
  <si>
    <t>ООО "ВЕГА"</t>
  </si>
  <si>
    <t>Бутурлиновский межмуниципальный кластер</t>
  </si>
  <si>
    <t>ООО "РЕГИОНАЛЬНЫЙ ОПЕРАТОР ПО ОБРАЩЕНИЮ С ТКО"</t>
  </si>
  <si>
    <t>ООО "ОРБ НИЖНИЙ"</t>
  </si>
  <si>
    <t>Зона №6 Выксунская</t>
  </si>
  <si>
    <t>Зона №8 Сергачская</t>
  </si>
  <si>
    <t>ООО "РЕАЛ-КСТОВО"</t>
  </si>
  <si>
    <t>Зона №5 Кстовская</t>
  </si>
  <si>
    <t>МУП "ПЕРЕРАБОТЧИК"</t>
  </si>
  <si>
    <t>Нерюнгринская зона</t>
  </si>
  <si>
    <t>ГП КО "ЕСОО"</t>
  </si>
  <si>
    <t>ООО "СПЕЦТРАНС-ОЛА"</t>
  </si>
  <si>
    <t>Ольский ГО</t>
  </si>
  <si>
    <t>ООО "УК КОМФОРТ"</t>
  </si>
  <si>
    <t>Олекминская зона</t>
  </si>
  <si>
    <t>ООО "ЦЭБ"</t>
  </si>
  <si>
    <t>АО "ТСК"</t>
  </si>
  <si>
    <t>ООО "ТЭО"</t>
  </si>
  <si>
    <t>Территория Тюменской области, за исключением территорий ХМАО-Югры и ЯНАО</t>
  </si>
  <si>
    <t>ООО "МЕЖРЕГИОНАЛЬНАЯ ЭКОЛОГИЧЕСКАЯ КОМПАНИЯ"</t>
  </si>
  <si>
    <t>ООО "ЭКОПРОМСЕРВИС"</t>
  </si>
  <si>
    <t>Алексинская зона</t>
  </si>
  <si>
    <t>ООО "РУЗСКИЙ РО"</t>
  </si>
  <si>
    <t>Зона №3 Рузская</t>
  </si>
  <si>
    <t>ООО "ЧИСТЫЙ ГОРОД КЕМЕРОВО"</t>
  </si>
  <si>
    <t>Кемеровская область - Север</t>
  </si>
  <si>
    <t>АО "КУПРИТ"</t>
  </si>
  <si>
    <t>АО "ПРО ТКО"</t>
  </si>
  <si>
    <t>АО "СПЕЦАТХ"</t>
  </si>
  <si>
    <t>МУП "АПП"</t>
  </si>
  <si>
    <t>Алданская зона</t>
  </si>
  <si>
    <t>ГП "КРЭО"</t>
  </si>
  <si>
    <t>ООО "КЭО"</t>
  </si>
  <si>
    <t>ООО "ЭКОЛОГИЧЕСКИЕ СИСТЕМЫ ЯКУТИИ"</t>
  </si>
  <si>
    <t>Центрально-восточная зона</t>
  </si>
  <si>
    <t>ООО "РТ-НЭО ИРКУТСК"</t>
  </si>
  <si>
    <t>Зона 2 (Юг)</t>
  </si>
  <si>
    <t>МУП "ТЕНЬКАЭКОРЕСУРС"</t>
  </si>
  <si>
    <t>Седьмая зона "Тенькинский городской округ"</t>
  </si>
  <si>
    <t>ООО "ЖЭУ"</t>
  </si>
  <si>
    <t>Кластер №3</t>
  </si>
  <si>
    <t>ООО "СПЕЦЭКОМАШ"</t>
  </si>
  <si>
    <t>Кластер №1</t>
  </si>
  <si>
    <t>ООО "ЭКОИНТЕГРАТОР"</t>
  </si>
  <si>
    <t>ООО "ЭКО - ТРАНС"</t>
  </si>
  <si>
    <t>Владимирская область - Зона № 3</t>
  </si>
  <si>
    <t>ООО "АКВАЛАЙН"</t>
  </si>
  <si>
    <t>Зона №2 Восточная</t>
  </si>
  <si>
    <t>ООО "ЧИСТЫЙ СЛЕД"</t>
  </si>
  <si>
    <t>ООО "ОЛЕРОН+"</t>
  </si>
  <si>
    <t>ООО "СИТИЛЮКС 52"</t>
  </si>
  <si>
    <t>Зона №3 Богородская</t>
  </si>
  <si>
    <t>ООО "ЭКОСИТИ"</t>
  </si>
  <si>
    <t>Зона №4</t>
  </si>
  <si>
    <t>ООО "БЛАГОУСТРОЙСТВО"</t>
  </si>
  <si>
    <t>Зона деятельности №2</t>
  </si>
  <si>
    <t>Зона деятельности №1</t>
  </si>
  <si>
    <t>ООО "ПРОФИ"</t>
  </si>
  <si>
    <t>Ленская зона</t>
  </si>
  <si>
    <t>ООО "ЭКО-ПРОНСК"</t>
  </si>
  <si>
    <t>ООО "ЭКО-СИТИ"</t>
  </si>
  <si>
    <t>зона-1</t>
  </si>
  <si>
    <t>ООО "ЭКОСИСТЕМА"</t>
  </si>
  <si>
    <t>Челябинский кластер (Кластер №3)</t>
  </si>
  <si>
    <t>ООО "АВТОСИТИ"</t>
  </si>
  <si>
    <t>Кластер № 2</t>
  </si>
  <si>
    <t>ООО "ЗСТ"</t>
  </si>
  <si>
    <t>Горный кластер (Кластер №4)</t>
  </si>
  <si>
    <t>ООО "АВТОТРАНС"</t>
  </si>
  <si>
    <t>Рубцовская зона</t>
  </si>
  <si>
    <t>Алейская зона</t>
  </si>
  <si>
    <t>Каменская зона</t>
  </si>
  <si>
    <t>Славгородская зона</t>
  </si>
  <si>
    <t>Панинский межмуниципальный кластер</t>
  </si>
  <si>
    <t>Донецкая Народная Республика</t>
  </si>
  <si>
    <t>ГУП ДНР "ДОНСНАБКОМПЛЕКТ"</t>
  </si>
  <si>
    <t>ООО "ДОМ - СТРОЙ"</t>
  </si>
  <si>
    <t>ООО "СРО ТКО"</t>
  </si>
  <si>
    <t>Зона 1 (Север)</t>
  </si>
  <si>
    <t>Кореновская зона</t>
  </si>
  <si>
    <t>Тихорецкая зона</t>
  </si>
  <si>
    <t>Выселковская зона</t>
  </si>
  <si>
    <t>Мостовская зона</t>
  </si>
  <si>
    <t>Староминская зона</t>
  </si>
  <si>
    <t>Минусинская</t>
  </si>
  <si>
    <t>ООО "ЯГОДНИНСКИЙ РЕГИОНАЛЬНЫЙ ОПЕРАТОР ПО ОБРАЩЕНИЮ С ТВЁРДЫМИ КОММУНАЛЬНЫМИ ОТХОДАМИ"</t>
  </si>
  <si>
    <t>Ягоднинский МО</t>
  </si>
  <si>
    <t>Зона №9 (Уренская)</t>
  </si>
  <si>
    <t>ООО "ЭКОГРУПП"</t>
  </si>
  <si>
    <t>Зона деятельности №4+</t>
  </si>
  <si>
    <t>ООО "СПЕЦАВТОХОЗЯЙСТВО"</t>
  </si>
  <si>
    <t>АО "КИРОВСКИЙ УГОЛЬНЫЙ РАЗРЕЗ"</t>
  </si>
  <si>
    <t>Нюрбинская зона</t>
  </si>
  <si>
    <t>ООО УК "ЖКХ"</t>
  </si>
  <si>
    <t>Верхневилюйская зона</t>
  </si>
  <si>
    <t>ООО "ЭРА"</t>
  </si>
  <si>
    <t>Зона № 5</t>
  </si>
  <si>
    <t>Зона № 3</t>
  </si>
  <si>
    <t>Западное АПО (АПО-2)</t>
  </si>
  <si>
    <t>ООО "ЗЕНИТ-ДАЛЬНИЙ ВОСТОК"</t>
  </si>
  <si>
    <t>Зона деятельности № 3</t>
  </si>
  <si>
    <t>МУП ЖКХ "ИУЛЬТИНСКОЕ"</t>
  </si>
  <si>
    <t>Зона №22</t>
  </si>
  <si>
    <t>МП ЖКХ БИЛИБИНСКОГО МУНИЦИПАЛЬНОГО РАЙОНА</t>
  </si>
  <si>
    <t>Зона №8 - Омолон</t>
  </si>
  <si>
    <t>МП "ЧРКХ"</t>
  </si>
  <si>
    <t>Зона №11 - с. Айон</t>
  </si>
  <si>
    <t>Зона №6 - г. Билибино, с Кепервеем</t>
  </si>
  <si>
    <t>Зона №12 - с. Биллингс</t>
  </si>
  <si>
    <t>Зона №13 - г. Певек</t>
  </si>
  <si>
    <t>Зона №14 - с. Рыткучи</t>
  </si>
  <si>
    <t>Зона №5 - с. Анюйск</t>
  </si>
  <si>
    <t>Зона №7 - с. Илирней</t>
  </si>
  <si>
    <t>Зона №9 - Островное</t>
  </si>
  <si>
    <t>МУП "АЙСБЕРГ"</t>
  </si>
  <si>
    <t>Зона №23</t>
  </si>
  <si>
    <t>Зона №19</t>
  </si>
  <si>
    <t>Зона №20</t>
  </si>
  <si>
    <t>Зона №21</t>
  </si>
  <si>
    <t>Зона №24</t>
  </si>
  <si>
    <t>ООО "ЭКОТЕК"</t>
  </si>
  <si>
    <t>Кемеровская область - Юг</t>
  </si>
  <si>
    <t>ООО "ВОДОСНАБЖЕНИЕ"</t>
  </si>
  <si>
    <t>Омсукчанский ГО</t>
  </si>
  <si>
    <t>Красноярская правобережная</t>
  </si>
  <si>
    <t>КГУП "ПЭО"</t>
  </si>
  <si>
    <t>Единая зона</t>
  </si>
  <si>
    <t>ООО "ОНИКС"</t>
  </si>
  <si>
    <t>ООО "ЭКОСТРОЙ-ДОН"</t>
  </si>
  <si>
    <t>Красносулинский МЭОК</t>
  </si>
  <si>
    <t>МУП "КОМЭНЕРГО"</t>
  </si>
  <si>
    <t>Хасынский муниципальный округ</t>
  </si>
  <si>
    <t>ООО "ВОСТОК"</t>
  </si>
  <si>
    <t>АПО-3</t>
  </si>
  <si>
    <t>АУ "КЫЗЫЛ-ОЗЕК-СЕРВИС"</t>
  </si>
  <si>
    <t>АПО-2</t>
  </si>
  <si>
    <t>Миллеровский МЭОК</t>
  </si>
  <si>
    <t>АПО-1</t>
  </si>
  <si>
    <t>МУП "ТЭС"</t>
  </si>
  <si>
    <t>Сусуманский городской округ</t>
  </si>
  <si>
    <t>ООО УК "АЙХАЛЦЕНТР"</t>
  </si>
  <si>
    <t>Мирнинская зона</t>
  </si>
  <si>
    <t>ООО "МАГНИТ"</t>
  </si>
  <si>
    <t>ООО "БЛАГОУСТРОЙСТВО-1"</t>
  </si>
  <si>
    <t>Хасавюртовская территориальная зона</t>
  </si>
  <si>
    <t>ГУП "ТСП"</t>
  </si>
  <si>
    <t>Зона №1 Восточная</t>
  </si>
  <si>
    <t>ООО "ТСАХ"</t>
  </si>
  <si>
    <t>АО "КРАЙЖИЛКОМРЕСУРС"</t>
  </si>
  <si>
    <t>Белореченская зона</t>
  </si>
  <si>
    <t>МАУ "ГОРСЕРВИС"</t>
  </si>
  <si>
    <t>Дербентская территориальная зона</t>
  </si>
  <si>
    <t>ООО "ЖИЛКОМСЕРВИС"</t>
  </si>
  <si>
    <t>Сунтарская зона</t>
  </si>
  <si>
    <t>ООО "ЭКОЛОГИСТИКА"</t>
  </si>
  <si>
    <t>ООО УПРАВЛЯЮЩАЯ КОМПАНИЯ "ГЛОБУС"</t>
  </si>
  <si>
    <t>МБУ "СЕВЕРО-ЭВЕНСКИЙ ОЦ"</t>
  </si>
  <si>
    <t>Северо-Эвенский городской округ</t>
  </si>
  <si>
    <t>СМУП "КОММУНАЛЬНИК"</t>
  </si>
  <si>
    <t>Среднеканский ГО</t>
  </si>
  <si>
    <t>МБУ "БЛАГОУСТРОЙСТВО Г. МАХАЧКАЛЫ"</t>
  </si>
  <si>
    <t>Махачкалинская территориальная зона</t>
  </si>
  <si>
    <t>кластер №4</t>
  </si>
  <si>
    <t>кластер №5</t>
  </si>
  <si>
    <t>кластер №3</t>
  </si>
  <si>
    <t>кластер №6</t>
  </si>
  <si>
    <t>ООО "САЙДАМ"</t>
  </si>
  <si>
    <t>Вилюйская зона</t>
  </si>
  <si>
    <t>Зона №2 Западная</t>
  </si>
  <si>
    <t>ООО "СЕРВИС ГРУПП"</t>
  </si>
  <si>
    <t>Зона №4 - с. Мейныпильгыно, с. Хатырка</t>
  </si>
  <si>
    <t>Зона №1 - пгт. Беринговский, с. Алькатваам</t>
  </si>
  <si>
    <t>Зона №15</t>
  </si>
  <si>
    <t>ОБЕСПЕЧЕННОСТЬ ИНФРАСТРУКТУРОЙ ПО ЗАХОРОНЕНИЮ ТКО</t>
  </si>
  <si>
    <t>Шитов</t>
  </si>
  <si>
    <t>Нелегальные объекты</t>
  </si>
  <si>
    <t>Белые пятна</t>
  </si>
  <si>
    <t>765 приказ</t>
  </si>
  <si>
    <t>Захоронение с превышением мощностей</t>
  </si>
  <si>
    <t>Исчерпание полигонов за 3 года</t>
  </si>
  <si>
    <t>Дорожная карта</t>
  </si>
  <si>
    <t>Индекс по дорожной карте</t>
  </si>
  <si>
    <t>Превышение мощностей</t>
  </si>
  <si>
    <t>Дефицит за 3 года</t>
  </si>
  <si>
    <t>ОБЕСПЕЧЕННОСТЬ ИНФРАСТРУКТУРОЙ ПО ОБРАБОТКЕ ТКО</t>
  </si>
  <si>
    <t>Макрушин</t>
  </si>
  <si>
    <t>Индекс обработки в 2024 г</t>
  </si>
  <si>
    <t>Индекс обработки в 2028 г.</t>
  </si>
  <si>
    <t>Доля обработки ТКО в 2024 г.</t>
  </si>
  <si>
    <t>Доля обработки ТКО в 2028 г.</t>
  </si>
  <si>
    <t>Доля обработки в 2024 г.</t>
  </si>
  <si>
    <t>План по обработке на 2028 г.</t>
  </si>
  <si>
    <t>Данные требуют проверки</t>
  </si>
  <si>
    <t>ОБЕСПЕЧЕННОСТЬ ИНФРАСТРУКТУРОЙ ПО УТИЛИЗАЦИИ И ОБЕЗВРЕЖИВАНИЮ ТКО</t>
  </si>
  <si>
    <t>Панфилов</t>
  </si>
  <si>
    <t>Индекс утилизации в 2024 г</t>
  </si>
  <si>
    <t>Индекс утилизации в 2028 г.</t>
  </si>
  <si>
    <t>Доля утилизации ТКО в 2024 г.</t>
  </si>
  <si>
    <t>Доля утилизации ТКО в 2028 г.</t>
  </si>
  <si>
    <t>Доля утилизации в 2024 г.</t>
  </si>
  <si>
    <t>План по утилизации в 2028 г.</t>
  </si>
  <si>
    <t>Комментарий</t>
  </si>
  <si>
    <t>ОБРАЩЕНИЯ В РЭО-РАДАР</t>
  </si>
  <si>
    <t>Нестерова</t>
  </si>
  <si>
    <t>Количество обращений</t>
  </si>
  <si>
    <t>Количество обращений на 1000 чел.</t>
  </si>
  <si>
    <t>ДОРОЖНЫЕ КАРТЫ ПО ИНВЕСТИЦИОННЫМ ПРОЕКТАМ</t>
  </si>
  <si>
    <t>Голованова</t>
  </si>
  <si>
    <t>Дорожные карты по инвестпроектам</t>
  </si>
  <si>
    <t>Отставание по дорожной карте</t>
  </si>
  <si>
    <t>Отставание минимальное</t>
  </si>
  <si>
    <t>Отставание максимальное</t>
  </si>
  <si>
    <t>Отставание среднее</t>
  </si>
  <si>
    <t>небольшое</t>
  </si>
  <si>
    <t>среднее</t>
  </si>
  <si>
    <t>существенное</t>
  </si>
  <si>
    <t>не подписана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</si>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</sst>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176" formatCode="_(* #\ ##0.00_);_(* \(#\ ##0.00\);_(* &quot;-&quot;??_);_(@_)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0.0"/>
    <numFmt numFmtId="181" formatCode="dd\.mm\.yyyy"/>
    <numFmt numFmtId="182" formatCode="#\ ##0"/>
    <numFmt numFmtId="183" formatCode="#\ ##0.00"/>
    <numFmt numFmtId="184" formatCode="0%;\-0%;0%"/>
    <numFmt numFmtId="185" formatCode="0.0%"/>
  </numFmts>
  <fonts count="39">
    <font>
      <sz val="12"/>
      <color theme="1"/>
      <name val="Calibri"/>
      <charset val="204"/>
      <scheme val="minor"/>
    </font>
    <font>
      <sz val="10"/>
      <name val="Times New Roman"/>
      <charset val="204"/>
    </font>
    <font>
      <sz val="12"/>
      <color rgb="FF000000"/>
      <name val="Calibri (Основной текст)"/>
      <charset val="204"/>
    </font>
    <font>
      <b/>
      <sz val="12"/>
      <color theme="1"/>
      <name val="Calibri (Основной текст)"/>
      <charset val="204"/>
    </font>
    <font>
      <sz val="12"/>
      <color theme="1"/>
      <name val="Calibri (Основной текст)"/>
      <charset val="204"/>
    </font>
    <font>
      <sz val="12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name val="Calibri"/>
      <charset val="204"/>
      <scheme val="minor"/>
    </font>
    <font>
      <sz val="9"/>
      <name val="DejaVu Sans"/>
      <charset val="204"/>
    </font>
    <font>
      <sz val="9"/>
      <name val="DejaVu Sans"/>
      <charset val="134"/>
    </font>
    <font>
      <sz val="11"/>
      <color theme="1"/>
      <name val="Calibri"/>
      <charset val="134"/>
      <scheme val="minor"/>
    </font>
    <font>
      <sz val="12"/>
      <color rgb="FF000000"/>
      <name val="Calibri"/>
      <charset val="134"/>
      <scheme val="minor"/>
    </font>
    <font>
      <sz val="11"/>
      <color theme="1"/>
      <name val="Circe"/>
      <charset val="204"/>
    </font>
    <font>
      <b/>
      <sz val="11"/>
      <color theme="1"/>
      <name val="Circe"/>
      <charset val="204"/>
    </font>
    <font>
      <sz val="12"/>
      <color rgb="FFFF0000"/>
      <name val="Calibri"/>
      <charset val="204"/>
      <scheme val="minor"/>
    </font>
    <font>
      <b/>
      <sz val="12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204"/>
      <scheme val="minor"/>
    </font>
    <font>
      <sz val="10"/>
      <color theme="1"/>
      <name val="Liberation Sans"/>
      <charset val="134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6">
    <xf numFmtId="0" fontId="0" fillId="0" borderId="0"/>
    <xf numFmtId="176" fontId="0" fillId="0" borderId="0" applyFont="0" applyFill="0" applyBorder="0" applyAlignment="0" applyProtection="0"/>
    <xf numFmtId="177" fontId="17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17" fillId="0" borderId="0" applyFont="0" applyFill="0" applyBorder="0" applyAlignment="0" applyProtection="0">
      <alignment vertical="center"/>
    </xf>
    <xf numFmtId="179" fontId="1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14" borderId="49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50" applyNumberFormat="0" applyFill="0" applyAlignment="0" applyProtection="0">
      <alignment vertical="center"/>
    </xf>
    <xf numFmtId="0" fontId="24" fillId="0" borderId="50" applyNumberFormat="0" applyFill="0" applyAlignment="0" applyProtection="0">
      <alignment vertical="center"/>
    </xf>
    <xf numFmtId="0" fontId="25" fillId="0" borderId="51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5" borderId="52" applyNumberFormat="0" applyAlignment="0" applyProtection="0">
      <alignment vertical="center"/>
    </xf>
    <xf numFmtId="0" fontId="27" fillId="16" borderId="53" applyNumberFormat="0" applyAlignment="0" applyProtection="0">
      <alignment vertical="center"/>
    </xf>
    <xf numFmtId="0" fontId="28" fillId="16" borderId="52" applyNumberFormat="0" applyAlignment="0" applyProtection="0">
      <alignment vertical="center"/>
    </xf>
    <xf numFmtId="0" fontId="29" fillId="17" borderId="54" applyNumberFormat="0" applyAlignment="0" applyProtection="0">
      <alignment vertical="center"/>
    </xf>
    <xf numFmtId="0" fontId="30" fillId="0" borderId="55" applyNumberFormat="0" applyFill="0" applyAlignment="0" applyProtection="0">
      <alignment vertical="center"/>
    </xf>
    <xf numFmtId="0" fontId="31" fillId="0" borderId="56" applyNumberFormat="0" applyFill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6" fillId="38" borderId="0" applyNumberFormat="0" applyBorder="0" applyAlignment="0" applyProtection="0">
      <alignment vertical="center"/>
    </xf>
    <xf numFmtId="0" fontId="36" fillId="39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6" fillId="42" borderId="0" applyNumberFormat="0" applyBorder="0" applyAlignment="0" applyProtection="0">
      <alignment vertical="center"/>
    </xf>
    <xf numFmtId="0" fontId="36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1" fillId="0" borderId="0"/>
    <xf numFmtId="0" fontId="37" fillId="0" borderId="0"/>
    <xf numFmtId="0" fontId="0" fillId="0" borderId="0"/>
    <xf numFmtId="0" fontId="37" fillId="0" borderId="0"/>
    <xf numFmtId="0" fontId="37" fillId="0" borderId="0"/>
    <xf numFmtId="0" fontId="38" fillId="0" borderId="0"/>
    <xf numFmtId="9" fontId="37" fillId="0" borderId="0" applyFont="0" applyFill="0" applyBorder="0" applyAlignment="0" applyProtection="0"/>
    <xf numFmtId="9" fontId="0" fillId="0" borderId="0" applyFont="0" applyFill="0" applyBorder="0" applyAlignment="0" applyProtection="0"/>
    <xf numFmtId="176" fontId="37" fillId="0" borderId="0" applyFont="0" applyFill="0" applyBorder="0" applyAlignment="0" applyProtection="0"/>
    <xf numFmtId="176" fontId="38" fillId="0" borderId="0" applyFont="0" applyFill="0" applyBorder="0" applyProtection="0"/>
  </cellStyleXfs>
  <cellXfs count="354">
    <xf numFmtId="0" fontId="0" fillId="0" borderId="0" xfId="0"/>
    <xf numFmtId="0" fontId="1" fillId="2" borderId="1" xfId="56" applyFont="1" applyFill="1" applyBorder="1" applyAlignment="1">
      <alignment horizontal="left" vertical="center" wrapText="1"/>
    </xf>
    <xf numFmtId="0" fontId="1" fillId="2" borderId="1" xfId="56" applyFont="1" applyFill="1" applyBorder="1" applyAlignment="1">
      <alignment horizontal="center" vertical="center" wrapText="1"/>
    </xf>
    <xf numFmtId="0" fontId="2" fillId="0" borderId="2" xfId="0" applyFont="1" applyBorder="1"/>
    <xf numFmtId="0" fontId="3" fillId="0" borderId="0" xfId="0" applyFont="1"/>
    <xf numFmtId="0" fontId="4" fillId="0" borderId="0" xfId="0" applyFont="1" applyAlignment="1">
      <alignment vertical="top" wrapText="1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181" fontId="4" fillId="0" borderId="0" xfId="0" applyNumberFormat="1" applyFont="1" applyAlignment="1">
      <alignment horizontal="center"/>
    </xf>
    <xf numFmtId="9" fontId="4" fillId="0" borderId="0" xfId="0" applyNumberFormat="1" applyFont="1" applyAlignment="1">
      <alignment horizontal="right"/>
    </xf>
    <xf numFmtId="9" fontId="4" fillId="0" borderId="0" xfId="3" applyFont="1" applyAlignment="1">
      <alignment horizontal="center"/>
    </xf>
    <xf numFmtId="9" fontId="4" fillId="0" borderId="0" xfId="3" applyFont="1" applyAlignment="1">
      <alignment horizontal="center" vertical="center"/>
    </xf>
    <xf numFmtId="1" fontId="4" fillId="0" borderId="0" xfId="0" applyNumberFormat="1" applyFont="1" applyAlignment="1">
      <alignment horizontal="center" vertical="top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top" wrapText="1"/>
    </xf>
    <xf numFmtId="1" fontId="2" fillId="0" borderId="0" xfId="3" applyNumberFormat="1" applyFont="1" applyFill="1" applyBorder="1" applyAlignment="1">
      <alignment wrapText="1"/>
    </xf>
    <xf numFmtId="1" fontId="2" fillId="0" borderId="0" xfId="3" applyNumberFormat="1" applyFont="1" applyFill="1" applyBorder="1" applyAlignment="1">
      <alignment horizontal="center" vertical="center" wrapText="1"/>
    </xf>
    <xf numFmtId="182" fontId="2" fillId="0" borderId="0" xfId="1" applyNumberFormat="1" applyFont="1" applyFill="1" applyBorder="1" applyAlignment="1">
      <alignment wrapText="1"/>
    </xf>
    <xf numFmtId="0" fontId="2" fillId="0" borderId="0" xfId="0" applyFont="1"/>
    <xf numFmtId="1" fontId="2" fillId="3" borderId="0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80" fontId="3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180" fontId="4" fillId="0" borderId="0" xfId="0" applyNumberFormat="1" applyFont="1" applyAlignment="1">
      <alignment horizontal="center" vertical="top" wrapText="1"/>
    </xf>
    <xf numFmtId="182" fontId="2" fillId="0" borderId="0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 applyAlignment="1">
      <alignment wrapText="1"/>
    </xf>
    <xf numFmtId="9" fontId="2" fillId="0" borderId="0" xfId="3" applyFont="1" applyFill="1" applyBorder="1" applyAlignment="1">
      <alignment wrapText="1"/>
    </xf>
    <xf numFmtId="0" fontId="4" fillId="0" borderId="0" xfId="0" applyFont="1" applyAlignment="1">
      <alignment horizontal="left"/>
    </xf>
    <xf numFmtId="9" fontId="4" fillId="0" borderId="0" xfId="0" applyNumberFormat="1" applyFont="1" applyAlignment="1">
      <alignment horizontal="center" vertical="center"/>
    </xf>
    <xf numFmtId="176" fontId="4" fillId="0" borderId="0" xfId="1" applyFont="1" applyAlignment="1">
      <alignment horizontal="center"/>
    </xf>
    <xf numFmtId="182" fontId="2" fillId="3" borderId="0" xfId="1" applyNumberFormat="1" applyFont="1" applyFill="1" applyBorder="1" applyAlignment="1">
      <alignment wrapText="1"/>
    </xf>
    <xf numFmtId="183" fontId="2" fillId="0" borderId="0" xfId="1" applyNumberFormat="1" applyFont="1" applyFill="1" applyBorder="1" applyAlignment="1">
      <alignment wrapText="1"/>
    </xf>
    <xf numFmtId="9" fontId="4" fillId="0" borderId="0" xfId="0" applyNumberFormat="1" applyFont="1" applyAlignment="1">
      <alignment horizontal="center"/>
    </xf>
    <xf numFmtId="9" fontId="4" fillId="0" borderId="0" xfId="3" applyFont="1" applyAlignment="1">
      <alignment horizontal="center" vertical="top" wrapText="1"/>
    </xf>
    <xf numFmtId="9" fontId="2" fillId="3" borderId="0" xfId="3" applyFont="1" applyFill="1" applyBorder="1" applyAlignment="1">
      <alignment wrapText="1"/>
    </xf>
    <xf numFmtId="180" fontId="2" fillId="0" borderId="0" xfId="3" applyNumberFormat="1" applyFont="1" applyFill="1" applyBorder="1" applyAlignment="1">
      <alignment wrapText="1"/>
    </xf>
    <xf numFmtId="1" fontId="2" fillId="4" borderId="0" xfId="3" applyNumberFormat="1" applyFont="1" applyFill="1" applyBorder="1" applyAlignment="1">
      <alignment wrapText="1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5" fillId="0" borderId="0" xfId="0" applyFont="1"/>
    <xf numFmtId="0" fontId="6" fillId="0" borderId="0" xfId="56" applyFont="1" applyAlignment="1">
      <alignment vertical="top"/>
    </xf>
    <xf numFmtId="0" fontId="6" fillId="0" borderId="0" xfId="56" applyFont="1"/>
    <xf numFmtId="0" fontId="6" fillId="0" borderId="0" xfId="56" applyFont="1" applyAlignment="1">
      <alignment horizontal="center"/>
    </xf>
    <xf numFmtId="0" fontId="7" fillId="0" borderId="0" xfId="0" applyFont="1"/>
    <xf numFmtId="1" fontId="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81" fontId="4" fillId="0" borderId="0" xfId="0" applyNumberFormat="1" applyFont="1" applyAlignment="1">
      <alignment horizontal="left"/>
    </xf>
    <xf numFmtId="0" fontId="8" fillId="0" borderId="1" xfId="56" applyFont="1" applyBorder="1" applyAlignment="1">
      <alignment horizontal="center" vertical="center"/>
    </xf>
    <xf numFmtId="0" fontId="9" fillId="0" borderId="1" xfId="56" applyFont="1" applyBorder="1" applyAlignment="1">
      <alignment horizontal="center" vertical="center" wrapText="1" shrinkToFit="1" readingOrder="1"/>
    </xf>
    <xf numFmtId="181" fontId="9" fillId="0" borderId="1" xfId="56" applyNumberFormat="1" applyFont="1" applyBorder="1" applyAlignment="1">
      <alignment horizontal="center" vertical="center" wrapText="1" shrinkToFit="1" readingOrder="1"/>
    </xf>
    <xf numFmtId="0" fontId="10" fillId="0" borderId="1" xfId="56" applyFont="1" applyBorder="1" applyAlignment="1">
      <alignment horizontal="center" vertical="top" wrapText="1" shrinkToFit="1" readingOrder="1"/>
    </xf>
    <xf numFmtId="49" fontId="10" fillId="0" borderId="1" xfId="56" applyNumberFormat="1" applyFont="1" applyBorder="1" applyAlignment="1">
      <alignment horizontal="center" vertical="top" wrapText="1" shrinkToFit="1" readingOrder="1"/>
    </xf>
    <xf numFmtId="0" fontId="11" fillId="5" borderId="0" xfId="56" applyFill="1" applyAlignment="1">
      <alignment horizontal="center" vertical="top"/>
    </xf>
    <xf numFmtId="0" fontId="11" fillId="3" borderId="0" xfId="56" applyFill="1" applyAlignment="1">
      <alignment horizontal="center" vertical="top"/>
    </xf>
    <xf numFmtId="0" fontId="6" fillId="3" borderId="0" xfId="56" applyFont="1" applyFill="1" applyAlignment="1">
      <alignment vertical="top"/>
    </xf>
    <xf numFmtId="182" fontId="4" fillId="0" borderId="0" xfId="0" applyNumberFormat="1" applyFont="1" applyAlignment="1">
      <alignment horizontal="center"/>
    </xf>
    <xf numFmtId="181" fontId="4" fillId="6" borderId="0" xfId="0" applyNumberFormat="1" applyFont="1" applyFill="1" applyAlignment="1">
      <alignment horizontal="center"/>
    </xf>
    <xf numFmtId="180" fontId="2" fillId="4" borderId="0" xfId="3" applyNumberFormat="1" applyFont="1" applyFill="1" applyBorder="1" applyAlignment="1">
      <alignment wrapText="1"/>
    </xf>
    <xf numFmtId="182" fontId="4" fillId="3" borderId="0" xfId="0" applyNumberFormat="1" applyFont="1" applyFill="1"/>
    <xf numFmtId="182" fontId="3" fillId="0" borderId="0" xfId="0" applyNumberFormat="1" applyFont="1" applyAlignment="1">
      <alignment horizontal="center"/>
    </xf>
    <xf numFmtId="182" fontId="4" fillId="0" borderId="0" xfId="0" applyNumberFormat="1" applyFont="1"/>
    <xf numFmtId="182" fontId="4" fillId="0" borderId="0" xfId="0" applyNumberFormat="1" applyFont="1" applyAlignment="1">
      <alignment horizontal="center" vertical="top" wrapText="1"/>
    </xf>
    <xf numFmtId="180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9" fontId="4" fillId="0" borderId="0" xfId="3" applyFont="1" applyFill="1" applyAlignment="1">
      <alignment horizontal="center"/>
    </xf>
    <xf numFmtId="184" fontId="0" fillId="0" borderId="0" xfId="0" applyNumberFormat="1" applyAlignment="1">
      <alignment horizontal="center" wrapText="1"/>
    </xf>
    <xf numFmtId="1" fontId="2" fillId="3" borderId="0" xfId="3" applyNumberFormat="1" applyFont="1" applyFill="1" applyBorder="1" applyAlignment="1">
      <alignment wrapText="1"/>
    </xf>
    <xf numFmtId="0" fontId="5" fillId="0" borderId="0" xfId="0" applyFont="1" applyAlignment="1">
      <alignment vertical="top" wrapText="1"/>
    </xf>
    <xf numFmtId="180" fontId="5" fillId="0" borderId="0" xfId="0" applyNumberFormat="1" applyFont="1" applyAlignment="1">
      <alignment horizontal="center"/>
    </xf>
    <xf numFmtId="9" fontId="5" fillId="0" borderId="0" xfId="3" applyFont="1" applyAlignment="1">
      <alignment horizontal="center"/>
    </xf>
    <xf numFmtId="1" fontId="5" fillId="0" borderId="0" xfId="0" applyNumberFormat="1" applyFont="1" applyAlignment="1">
      <alignment horizontal="center" vertical="top" wrapText="1"/>
    </xf>
    <xf numFmtId="1" fontId="12" fillId="0" borderId="0" xfId="3" applyNumberFormat="1" applyFont="1" applyFill="1" applyBorder="1" applyAlignment="1">
      <alignment wrapText="1"/>
    </xf>
    <xf numFmtId="0" fontId="12" fillId="0" borderId="0" xfId="0" applyFont="1"/>
    <xf numFmtId="1" fontId="12" fillId="0" borderId="0" xfId="3" applyNumberFormat="1" applyFont="1" applyFill="1" applyBorder="1" applyAlignment="1">
      <alignment horizontal="center" wrapText="1"/>
    </xf>
    <xf numFmtId="1" fontId="12" fillId="0" borderId="0" xfId="3" applyNumberFormat="1" applyFont="1" applyFill="1" applyBorder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4" fillId="0" borderId="3" xfId="0" applyFont="1" applyBorder="1" applyAlignment="1">
      <alignment horizontal="center" wrapText="1"/>
    </xf>
    <xf numFmtId="0" fontId="14" fillId="0" borderId="3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/>
    <xf numFmtId="0" fontId="13" fillId="0" borderId="1" xfId="0" applyFont="1" applyBorder="1" applyAlignment="1">
      <alignment wrapText="1"/>
    </xf>
    <xf numFmtId="1" fontId="12" fillId="7" borderId="0" xfId="0" applyNumberFormat="1" applyFont="1" applyFill="1" applyAlignment="1">
      <alignment horizontal="center" vertical="center" wrapText="1"/>
    </xf>
    <xf numFmtId="0" fontId="15" fillId="0" borderId="0" xfId="0" applyFont="1"/>
    <xf numFmtId="0" fontId="0" fillId="3" borderId="0" xfId="0" applyFill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185" fontId="4" fillId="0" borderId="0" xfId="0" applyNumberFormat="1" applyFont="1" applyAlignment="1">
      <alignment horizontal="center"/>
    </xf>
    <xf numFmtId="181" fontId="3" fillId="0" borderId="0" xfId="0" applyNumberFormat="1" applyFont="1" applyAlignment="1">
      <alignment horizontal="left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textRotation="90" wrapText="1"/>
    </xf>
    <xf numFmtId="0" fontId="4" fillId="0" borderId="12" xfId="0" applyFont="1" applyBorder="1" applyAlignment="1">
      <alignment horizontal="center" textRotation="90" wrapText="1"/>
    </xf>
    <xf numFmtId="0" fontId="4" fillId="0" borderId="13" xfId="0" applyFont="1" applyBorder="1" applyAlignment="1">
      <alignment horizontal="center" textRotation="90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textRotation="90" wrapText="1"/>
    </xf>
    <xf numFmtId="0" fontId="4" fillId="0" borderId="1" xfId="0" applyFont="1" applyBorder="1" applyAlignment="1">
      <alignment horizontal="center" textRotation="90" wrapText="1"/>
    </xf>
    <xf numFmtId="0" fontId="4" fillId="0" borderId="10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center" vertical="center" wrapText="1"/>
    </xf>
    <xf numFmtId="1" fontId="3" fillId="0" borderId="12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16" xfId="0" applyNumberFormat="1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2" fillId="0" borderId="26" xfId="0" applyFont="1" applyBorder="1"/>
    <xf numFmtId="2" fontId="4" fillId="0" borderId="4" xfId="0" applyNumberFormat="1" applyFont="1" applyBorder="1" applyAlignment="1">
      <alignment horizontal="center"/>
    </xf>
    <xf numFmtId="2" fontId="4" fillId="0" borderId="27" xfId="0" applyNumberFormat="1" applyFont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0" fontId="4" fillId="8" borderId="28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8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center"/>
    </xf>
    <xf numFmtId="0" fontId="4" fillId="10" borderId="29" xfId="0" applyFont="1" applyFill="1" applyBorder="1" applyAlignment="1">
      <alignment horizontal="center"/>
    </xf>
    <xf numFmtId="0" fontId="4" fillId="0" borderId="30" xfId="0" applyFont="1" applyBorder="1" applyAlignment="1">
      <alignment horizontal="center" vertical="center" wrapText="1"/>
    </xf>
    <xf numFmtId="182" fontId="4" fillId="0" borderId="31" xfId="0" applyNumberFormat="1" applyFont="1" applyBorder="1" applyAlignment="1">
      <alignment horizontal="center" vertical="center" wrapText="1"/>
    </xf>
    <xf numFmtId="182" fontId="4" fillId="0" borderId="7" xfId="0" applyNumberFormat="1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182" fontId="4" fillId="0" borderId="32" xfId="0" applyNumberFormat="1" applyFont="1" applyBorder="1" applyAlignment="1">
      <alignment horizontal="center" vertical="center" wrapText="1"/>
    </xf>
    <xf numFmtId="182" fontId="4" fillId="0" borderId="33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0" xfId="0" applyFont="1" applyBorder="1" applyAlignment="1">
      <alignment horizontal="center" vertical="top" wrapText="1"/>
    </xf>
    <xf numFmtId="182" fontId="4" fillId="0" borderId="9" xfId="0" applyNumberFormat="1" applyFont="1" applyBorder="1" applyAlignment="1">
      <alignment horizontal="center" vertical="top" wrapText="1"/>
    </xf>
    <xf numFmtId="182" fontId="4" fillId="0" borderId="1" xfId="0" applyNumberFormat="1" applyFont="1" applyBorder="1" applyAlignment="1">
      <alignment horizontal="center" vertical="top" wrapText="1"/>
    </xf>
    <xf numFmtId="0" fontId="4" fillId="0" borderId="17" xfId="0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81" fontId="3" fillId="0" borderId="13" xfId="0" applyNumberFormat="1" applyFont="1" applyBorder="1" applyAlignment="1">
      <alignment horizontal="center" vertical="center" wrapText="1"/>
    </xf>
    <xf numFmtId="182" fontId="3" fillId="0" borderId="22" xfId="0" applyNumberFormat="1" applyFont="1" applyBorder="1" applyAlignment="1">
      <alignment horizontal="center" vertical="center" wrapText="1"/>
    </xf>
    <xf numFmtId="182" fontId="3" fillId="0" borderId="12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7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82" fontId="3" fillId="0" borderId="17" xfId="0" applyNumberFormat="1" applyFont="1" applyBorder="1" applyAlignment="1">
      <alignment horizontal="center" vertical="center" wrapText="1"/>
    </xf>
    <xf numFmtId="182" fontId="3" fillId="0" borderId="20" xfId="0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182" fontId="4" fillId="8" borderId="22" xfId="1" applyNumberFormat="1" applyFont="1" applyFill="1" applyBorder="1" applyAlignment="1">
      <alignment horizontal="center"/>
    </xf>
    <xf numFmtId="182" fontId="4" fillId="8" borderId="12" xfId="1" applyNumberFormat="1" applyFont="1" applyFill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82" fontId="4" fillId="9" borderId="9" xfId="1" applyNumberFormat="1" applyFont="1" applyFill="1" applyBorder="1" applyAlignment="1">
      <alignment horizontal="center"/>
    </xf>
    <xf numFmtId="182" fontId="4" fillId="9" borderId="1" xfId="1" applyNumberFormat="1" applyFont="1" applyFill="1" applyBorder="1" applyAlignment="1">
      <alignment horizontal="center"/>
    </xf>
    <xf numFmtId="182" fontId="4" fillId="8" borderId="9" xfId="1" applyNumberFormat="1" applyFont="1" applyFill="1" applyBorder="1" applyAlignment="1">
      <alignment horizontal="center"/>
    </xf>
    <xf numFmtId="182" fontId="4" fillId="8" borderId="1" xfId="1" applyNumberFormat="1" applyFont="1" applyFill="1" applyBorder="1" applyAlignment="1">
      <alignment horizontal="center"/>
    </xf>
    <xf numFmtId="182" fontId="4" fillId="10" borderId="9" xfId="1" applyNumberFormat="1" applyFont="1" applyFill="1" applyBorder="1" applyAlignment="1">
      <alignment horizontal="center"/>
    </xf>
    <xf numFmtId="182" fontId="4" fillId="10" borderId="1" xfId="1" applyNumberFormat="1" applyFont="1" applyFill="1" applyBorder="1" applyAlignment="1">
      <alignment horizontal="center"/>
    </xf>
    <xf numFmtId="182" fontId="4" fillId="0" borderId="8" xfId="0" applyNumberFormat="1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182" fontId="4" fillId="0" borderId="37" xfId="0" applyNumberFormat="1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185" fontId="4" fillId="0" borderId="10" xfId="0" applyNumberFormat="1" applyFont="1" applyBorder="1" applyAlignment="1">
      <alignment horizontal="center" vertical="top" wrapText="1"/>
    </xf>
    <xf numFmtId="185" fontId="4" fillId="0" borderId="38" xfId="0" applyNumberFormat="1" applyFont="1" applyBorder="1" applyAlignment="1">
      <alignment horizontal="center" vertical="top" wrapText="1"/>
    </xf>
    <xf numFmtId="182" fontId="3" fillId="0" borderId="13" xfId="0" applyNumberFormat="1" applyFont="1" applyBorder="1" applyAlignment="1">
      <alignment horizontal="center" vertical="center" wrapText="1"/>
    </xf>
    <xf numFmtId="182" fontId="3" fillId="0" borderId="3" xfId="0" applyNumberFormat="1" applyFont="1" applyBorder="1" applyAlignment="1">
      <alignment horizontal="center" vertical="center" wrapText="1"/>
    </xf>
    <xf numFmtId="181" fontId="16" fillId="0" borderId="13" xfId="0" applyNumberFormat="1" applyFont="1" applyBorder="1" applyAlignment="1">
      <alignment horizontal="center" vertical="center" wrapText="1"/>
    </xf>
    <xf numFmtId="182" fontId="3" fillId="0" borderId="32" xfId="0" applyNumberFormat="1" applyFont="1" applyBorder="1" applyAlignment="1">
      <alignment horizontal="center" vertical="center" wrapText="1"/>
    </xf>
    <xf numFmtId="182" fontId="3" fillId="0" borderId="33" xfId="0" applyNumberFormat="1" applyFont="1" applyBorder="1" applyAlignment="1">
      <alignment horizontal="center" vertical="center" wrapText="1"/>
    </xf>
    <xf numFmtId="185" fontId="3" fillId="0" borderId="18" xfId="3" applyNumberFormat="1" applyFont="1" applyFill="1" applyBorder="1" applyAlignment="1">
      <alignment horizontal="center" vertical="center" wrapText="1"/>
    </xf>
    <xf numFmtId="185" fontId="3" fillId="0" borderId="39" xfId="3" applyNumberFormat="1" applyFont="1" applyFill="1" applyBorder="1" applyAlignment="1">
      <alignment horizontal="center" vertical="center" wrapText="1"/>
    </xf>
    <xf numFmtId="185" fontId="4" fillId="8" borderId="13" xfId="3" applyNumberFormat="1" applyFont="1" applyFill="1" applyBorder="1" applyAlignment="1">
      <alignment horizontal="center"/>
    </xf>
    <xf numFmtId="185" fontId="4" fillId="0" borderId="3" xfId="3" applyNumberFormat="1" applyFont="1" applyFill="1" applyBorder="1" applyAlignment="1">
      <alignment horizontal="center"/>
    </xf>
    <xf numFmtId="182" fontId="4" fillId="10" borderId="22" xfId="1" applyNumberFormat="1" applyFont="1" applyFill="1" applyBorder="1" applyAlignment="1">
      <alignment horizontal="center"/>
    </xf>
    <xf numFmtId="182" fontId="4" fillId="10" borderId="12" xfId="1" applyNumberFormat="1" applyFont="1" applyFill="1" applyBorder="1" applyAlignment="1">
      <alignment horizontal="center"/>
    </xf>
    <xf numFmtId="185" fontId="4" fillId="9" borderId="10" xfId="3" applyNumberFormat="1" applyFont="1" applyFill="1" applyBorder="1" applyAlignment="1">
      <alignment horizontal="center"/>
    </xf>
    <xf numFmtId="185" fontId="4" fillId="0" borderId="38" xfId="3" applyNumberFormat="1" applyFont="1" applyFill="1" applyBorder="1" applyAlignment="1">
      <alignment horizontal="center"/>
    </xf>
    <xf numFmtId="185" fontId="4" fillId="8" borderId="10" xfId="3" applyNumberFormat="1" applyFont="1" applyFill="1" applyBorder="1" applyAlignment="1">
      <alignment horizontal="center"/>
    </xf>
    <xf numFmtId="185" fontId="4" fillId="10" borderId="10" xfId="3" applyNumberFormat="1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185" fontId="4" fillId="0" borderId="1" xfId="0" applyNumberFormat="1" applyFont="1" applyBorder="1" applyAlignment="1">
      <alignment horizontal="center" vertical="top" wrapText="1"/>
    </xf>
    <xf numFmtId="182" fontId="3" fillId="0" borderId="37" xfId="0" applyNumberFormat="1" applyFont="1" applyBorder="1" applyAlignment="1">
      <alignment horizontal="center" vertical="center" wrapText="1"/>
    </xf>
    <xf numFmtId="185" fontId="3" fillId="0" borderId="20" xfId="3" applyNumberFormat="1" applyFont="1" applyFill="1" applyBorder="1" applyAlignment="1">
      <alignment horizontal="center" vertical="center" wrapText="1"/>
    </xf>
    <xf numFmtId="180" fontId="3" fillId="0" borderId="20" xfId="0" applyNumberFormat="1" applyFont="1" applyBorder="1" applyAlignment="1">
      <alignment horizontal="center" vertical="center"/>
    </xf>
    <xf numFmtId="9" fontId="3" fillId="0" borderId="18" xfId="3" applyFont="1" applyFill="1" applyBorder="1" applyAlignment="1">
      <alignment horizontal="center" vertical="center"/>
    </xf>
    <xf numFmtId="185" fontId="4" fillId="10" borderId="12" xfId="3" applyNumberFormat="1" applyFont="1" applyFill="1" applyBorder="1" applyAlignment="1">
      <alignment horizontal="center"/>
    </xf>
    <xf numFmtId="185" fontId="4" fillId="0" borderId="12" xfId="3" applyNumberFormat="1" applyFont="1" applyFill="1" applyBorder="1" applyAlignment="1">
      <alignment horizontal="center"/>
    </xf>
    <xf numFmtId="180" fontId="4" fillId="0" borderId="12" xfId="0" applyNumberFormat="1" applyFont="1" applyBorder="1" applyAlignment="1">
      <alignment horizontal="center"/>
    </xf>
    <xf numFmtId="9" fontId="4" fillId="0" borderId="13" xfId="0" applyNumberFormat="1" applyFont="1" applyBorder="1" applyAlignment="1">
      <alignment horizontal="center"/>
    </xf>
    <xf numFmtId="185" fontId="4" fillId="8" borderId="1" xfId="3" applyNumberFormat="1" applyFont="1" applyFill="1" applyBorder="1" applyAlignment="1">
      <alignment horizontal="center"/>
    </xf>
    <xf numFmtId="185" fontId="4" fillId="0" borderId="1" xfId="3" applyNumberFormat="1" applyFont="1" applyFill="1" applyBorder="1" applyAlignment="1">
      <alignment horizontal="center"/>
    </xf>
    <xf numFmtId="180" fontId="4" fillId="0" borderId="1" xfId="0" applyNumberFormat="1" applyFont="1" applyBorder="1" applyAlignment="1">
      <alignment horizontal="center"/>
    </xf>
    <xf numFmtId="9" fontId="4" fillId="0" borderId="10" xfId="0" applyNumberFormat="1" applyFont="1" applyBorder="1" applyAlignment="1">
      <alignment horizontal="center"/>
    </xf>
    <xf numFmtId="185" fontId="4" fillId="9" borderId="1" xfId="3" applyNumberFormat="1" applyFont="1" applyFill="1" applyBorder="1" applyAlignment="1">
      <alignment horizontal="center"/>
    </xf>
    <xf numFmtId="185" fontId="4" fillId="10" borderId="1" xfId="3" applyNumberFormat="1" applyFont="1" applyFill="1" applyBorder="1" applyAlignment="1">
      <alignment horizontal="center"/>
    </xf>
    <xf numFmtId="0" fontId="4" fillId="0" borderId="42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center" wrapText="1"/>
    </xf>
    <xf numFmtId="9" fontId="3" fillId="0" borderId="18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85" fontId="4" fillId="8" borderId="12" xfId="3" applyNumberFormat="1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3" fillId="0" borderId="22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 wrapText="1"/>
    </xf>
    <xf numFmtId="9" fontId="3" fillId="0" borderId="13" xfId="0" applyNumberFormat="1" applyFont="1" applyBorder="1" applyAlignment="1">
      <alignment horizontal="center" vertical="center" wrapText="1"/>
    </xf>
    <xf numFmtId="9" fontId="3" fillId="0" borderId="11" xfId="0" applyNumberFormat="1" applyFont="1" applyBorder="1" applyAlignment="1">
      <alignment horizontal="center" vertical="center" wrapText="1"/>
    </xf>
    <xf numFmtId="9" fontId="3" fillId="0" borderId="26" xfId="0" applyNumberFormat="1" applyFont="1" applyBorder="1" applyAlignment="1">
      <alignment horizontal="center" vertical="center" wrapText="1"/>
    </xf>
    <xf numFmtId="9" fontId="3" fillId="0" borderId="17" xfId="0" applyNumberFormat="1" applyFont="1" applyBorder="1" applyAlignment="1">
      <alignment horizontal="center" vertical="center" wrapText="1"/>
    </xf>
    <xf numFmtId="9" fontId="3" fillId="0" borderId="20" xfId="0" applyNumberFormat="1" applyFont="1" applyBorder="1" applyAlignment="1">
      <alignment horizontal="center" vertical="center" wrapText="1"/>
    </xf>
    <xf numFmtId="9" fontId="3" fillId="0" borderId="18" xfId="0" applyNumberFormat="1" applyFont="1" applyBorder="1" applyAlignment="1">
      <alignment horizontal="center" vertical="center" wrapText="1"/>
    </xf>
    <xf numFmtId="9" fontId="3" fillId="0" borderId="19" xfId="0" applyNumberFormat="1" applyFont="1" applyBorder="1" applyAlignment="1">
      <alignment horizontal="center" vertical="center" wrapText="1"/>
    </xf>
    <xf numFmtId="9" fontId="3" fillId="0" borderId="43" xfId="0" applyNumberFormat="1" applyFont="1" applyBorder="1" applyAlignment="1">
      <alignment horizontal="center" vertical="center" wrapText="1"/>
    </xf>
    <xf numFmtId="9" fontId="4" fillId="10" borderId="22" xfId="3" applyFont="1" applyFill="1" applyBorder="1" applyAlignment="1">
      <alignment horizontal="center"/>
    </xf>
    <xf numFmtId="9" fontId="4" fillId="10" borderId="12" xfId="3" applyFont="1" applyFill="1" applyBorder="1" applyAlignment="1">
      <alignment horizontal="center"/>
    </xf>
    <xf numFmtId="9" fontId="4" fillId="9" borderId="12" xfId="3" applyFont="1" applyFill="1" applyBorder="1" applyAlignment="1">
      <alignment horizontal="center"/>
    </xf>
    <xf numFmtId="9" fontId="4" fillId="9" borderId="13" xfId="3" applyFont="1" applyFill="1" applyBorder="1" applyAlignment="1">
      <alignment horizontal="center"/>
    </xf>
    <xf numFmtId="9" fontId="4" fillId="10" borderId="11" xfId="3" applyFont="1" applyFill="1" applyBorder="1" applyAlignment="1">
      <alignment horizontal="center"/>
    </xf>
    <xf numFmtId="9" fontId="4" fillId="9" borderId="26" xfId="3" applyFont="1" applyFill="1" applyBorder="1" applyAlignment="1">
      <alignment horizontal="center"/>
    </xf>
    <xf numFmtId="9" fontId="4" fillId="10" borderId="9" xfId="3" applyFont="1" applyFill="1" applyBorder="1" applyAlignment="1">
      <alignment horizontal="center"/>
    </xf>
    <xf numFmtId="9" fontId="4" fillId="9" borderId="1" xfId="3" applyFont="1" applyFill="1" applyBorder="1" applyAlignment="1">
      <alignment horizontal="center"/>
    </xf>
    <xf numFmtId="9" fontId="4" fillId="10" borderId="1" xfId="3" applyFont="1" applyFill="1" applyBorder="1" applyAlignment="1">
      <alignment horizontal="center"/>
    </xf>
    <xf numFmtId="9" fontId="4" fillId="10" borderId="10" xfId="3" applyFont="1" applyFill="1" applyBorder="1" applyAlignment="1">
      <alignment horizontal="center"/>
    </xf>
    <xf numFmtId="9" fontId="4" fillId="10" borderId="15" xfId="3" applyFont="1" applyFill="1" applyBorder="1" applyAlignment="1">
      <alignment horizontal="center"/>
    </xf>
    <xf numFmtId="9" fontId="4" fillId="10" borderId="2" xfId="3" applyFont="1" applyFill="1" applyBorder="1" applyAlignment="1">
      <alignment horizontal="center"/>
    </xf>
    <xf numFmtId="9" fontId="4" fillId="9" borderId="10" xfId="3" applyFont="1" applyFill="1" applyBorder="1" applyAlignment="1">
      <alignment horizontal="center"/>
    </xf>
    <xf numFmtId="9" fontId="4" fillId="9" borderId="2" xfId="3" applyFont="1" applyFill="1" applyBorder="1" applyAlignment="1">
      <alignment horizontal="center"/>
    </xf>
    <xf numFmtId="9" fontId="4" fillId="9" borderId="9" xfId="3" applyFont="1" applyFill="1" applyBorder="1" applyAlignment="1">
      <alignment horizontal="center"/>
    </xf>
    <xf numFmtId="9" fontId="4" fillId="8" borderId="15" xfId="3" applyFont="1" applyFill="1" applyBorder="1" applyAlignment="1">
      <alignment horizontal="center"/>
    </xf>
    <xf numFmtId="9" fontId="4" fillId="8" borderId="1" xfId="3" applyFont="1" applyFill="1" applyBorder="1" applyAlignment="1">
      <alignment horizontal="center"/>
    </xf>
    <xf numFmtId="9" fontId="4" fillId="8" borderId="2" xfId="3" applyFont="1" applyFill="1" applyBorder="1" applyAlignment="1">
      <alignment horizontal="center"/>
    </xf>
    <xf numFmtId="9" fontId="4" fillId="8" borderId="9" xfId="3" applyFont="1" applyFill="1" applyBorder="1" applyAlignment="1">
      <alignment horizontal="center"/>
    </xf>
    <xf numFmtId="9" fontId="4" fillId="8" borderId="10" xfId="3" applyFont="1" applyFill="1" applyBorder="1" applyAlignment="1">
      <alignment horizontal="center"/>
    </xf>
    <xf numFmtId="9" fontId="4" fillId="9" borderId="15" xfId="3" applyFont="1" applyFill="1" applyBorder="1" applyAlignment="1">
      <alignment horizontal="center"/>
    </xf>
    <xf numFmtId="0" fontId="4" fillId="0" borderId="30" xfId="0" applyFont="1" applyBorder="1" applyAlignment="1">
      <alignment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top" wrapText="1"/>
    </xf>
    <xf numFmtId="9" fontId="3" fillId="0" borderId="16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2" fontId="3" fillId="0" borderId="17" xfId="0" applyNumberFormat="1" applyFont="1" applyBorder="1" applyAlignment="1">
      <alignment horizontal="center" vertical="center" wrapText="1"/>
    </xf>
    <xf numFmtId="0" fontId="4" fillId="10" borderId="16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2" fontId="4" fillId="9" borderId="4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10" borderId="44" xfId="0" applyFont="1" applyFill="1" applyBorder="1" applyAlignment="1">
      <alignment horizontal="center"/>
    </xf>
    <xf numFmtId="0" fontId="4" fillId="0" borderId="38" xfId="0" applyFont="1" applyBorder="1" applyAlignment="1">
      <alignment horizontal="center"/>
    </xf>
    <xf numFmtId="2" fontId="4" fillId="10" borderId="22" xfId="0" applyNumberFormat="1" applyFont="1" applyFill="1" applyBorder="1" applyAlignment="1">
      <alignment horizontal="center"/>
    </xf>
    <xf numFmtId="2" fontId="4" fillId="8" borderId="22" xfId="0" applyNumberFormat="1" applyFont="1" applyFill="1" applyBorder="1" applyAlignment="1">
      <alignment horizontal="center"/>
    </xf>
    <xf numFmtId="0" fontId="4" fillId="8" borderId="44" xfId="0" applyFont="1" applyFill="1" applyBorder="1" applyAlignment="1">
      <alignment horizontal="center"/>
    </xf>
    <xf numFmtId="0" fontId="4" fillId="9" borderId="44" xfId="0" applyFont="1" applyFill="1" applyBorder="1" applyAlignment="1">
      <alignment horizontal="center"/>
    </xf>
    <xf numFmtId="2" fontId="4" fillId="9" borderId="22" xfId="0" applyNumberFormat="1" applyFont="1" applyFill="1" applyBorder="1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4" fillId="11" borderId="0" xfId="0" applyFont="1" applyFill="1" applyAlignment="1">
      <alignment horizontal="center"/>
    </xf>
    <xf numFmtId="0" fontId="4" fillId="12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2" fillId="0" borderId="43" xfId="0" applyFont="1" applyBorder="1"/>
    <xf numFmtId="0" fontId="4" fillId="9" borderId="46" xfId="0" applyFon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182" fontId="4" fillId="9" borderId="17" xfId="1" applyNumberFormat="1" applyFont="1" applyFill="1" applyBorder="1" applyAlignment="1">
      <alignment horizontal="center"/>
    </xf>
    <xf numFmtId="182" fontId="4" fillId="9" borderId="20" xfId="1" applyNumberFormat="1" applyFont="1" applyFill="1" applyBorder="1" applyAlignment="1">
      <alignment horizontal="center"/>
    </xf>
    <xf numFmtId="185" fontId="4" fillId="9" borderId="18" xfId="3" applyNumberFormat="1" applyFont="1" applyFill="1" applyBorder="1" applyAlignment="1">
      <alignment horizontal="center"/>
    </xf>
    <xf numFmtId="185" fontId="4" fillId="0" borderId="39" xfId="3" applyNumberFormat="1" applyFont="1" applyFill="1" applyBorder="1" applyAlignment="1">
      <alignment horizontal="center"/>
    </xf>
    <xf numFmtId="185" fontId="4" fillId="9" borderId="20" xfId="3" applyNumberFormat="1" applyFont="1" applyFill="1" applyBorder="1" applyAlignment="1">
      <alignment horizontal="center"/>
    </xf>
    <xf numFmtId="185" fontId="4" fillId="0" borderId="20" xfId="3" applyNumberFormat="1" applyFont="1" applyFill="1" applyBorder="1" applyAlignment="1">
      <alignment horizontal="center"/>
    </xf>
    <xf numFmtId="180" fontId="4" fillId="0" borderId="20" xfId="0" applyNumberFormat="1" applyFont="1" applyBorder="1" applyAlignment="1">
      <alignment horizontal="center"/>
    </xf>
    <xf numFmtId="9" fontId="4" fillId="0" borderId="18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9" fontId="4" fillId="9" borderId="17" xfId="3" applyFont="1" applyFill="1" applyBorder="1" applyAlignment="1">
      <alignment horizontal="center"/>
    </xf>
    <xf numFmtId="9" fontId="4" fillId="9" borderId="20" xfId="3" applyFont="1" applyFill="1" applyBorder="1" applyAlignment="1">
      <alignment horizontal="center"/>
    </xf>
    <xf numFmtId="9" fontId="4" fillId="8" borderId="20" xfId="3" applyFont="1" applyFill="1" applyBorder="1" applyAlignment="1">
      <alignment horizontal="center"/>
    </xf>
    <xf numFmtId="9" fontId="4" fillId="8" borderId="18" xfId="3" applyFont="1" applyFill="1" applyBorder="1" applyAlignment="1">
      <alignment horizontal="center"/>
    </xf>
    <xf numFmtId="9" fontId="4" fillId="8" borderId="19" xfId="3" applyFont="1" applyFill="1" applyBorder="1" applyAlignment="1">
      <alignment horizontal="center"/>
    </xf>
    <xf numFmtId="9" fontId="4" fillId="10" borderId="20" xfId="3" applyFont="1" applyFill="1" applyBorder="1" applyAlignment="1">
      <alignment horizontal="center"/>
    </xf>
    <xf numFmtId="9" fontId="4" fillId="10" borderId="43" xfId="3" applyFont="1" applyFill="1" applyBorder="1" applyAlignment="1">
      <alignment horizontal="center"/>
    </xf>
    <xf numFmtId="0" fontId="4" fillId="9" borderId="21" xfId="0" applyFont="1" applyFill="1" applyBorder="1" applyAlignment="1">
      <alignment horizontal="center"/>
    </xf>
    <xf numFmtId="0" fontId="4" fillId="0" borderId="39" xfId="0" applyFont="1" applyBorder="1" applyAlignment="1">
      <alignment horizontal="center"/>
    </xf>
    <xf numFmtId="2" fontId="4" fillId="10" borderId="47" xfId="0" applyNumberFormat="1" applyFont="1" applyFill="1" applyBorder="1" applyAlignment="1">
      <alignment horizontal="center"/>
    </xf>
    <xf numFmtId="0" fontId="4" fillId="0" borderId="48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textRotation="90" wrapText="1"/>
    </xf>
    <xf numFmtId="0" fontId="4" fillId="0" borderId="9" xfId="0" applyFont="1" applyBorder="1" applyAlignment="1">
      <alignment horizontal="center" textRotation="90" wrapText="1"/>
    </xf>
    <xf numFmtId="0" fontId="3" fillId="0" borderId="26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4" fillId="0" borderId="22" xfId="0" applyFont="1" applyBorder="1" applyAlignment="1">
      <alignment horizontal="center" vertical="center"/>
    </xf>
    <xf numFmtId="0" fontId="2" fillId="0" borderId="26" xfId="0" applyFont="1" applyBorder="1" applyAlignment="1">
      <alignment vertical="center"/>
    </xf>
    <xf numFmtId="2" fontId="4" fillId="0" borderId="22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13" xfId="0" applyNumberFormat="1" applyFont="1" applyBorder="1" applyAlignment="1">
      <alignment horizontal="center"/>
    </xf>
    <xf numFmtId="0" fontId="4" fillId="9" borderId="16" xfId="0" applyFont="1" applyFill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2" fontId="4" fillId="0" borderId="9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182" fontId="4" fillId="9" borderId="22" xfId="1" applyNumberFormat="1" applyFont="1" applyFill="1" applyBorder="1" applyAlignment="1">
      <alignment horizontal="center"/>
    </xf>
    <xf numFmtId="182" fontId="4" fillId="9" borderId="12" xfId="1" applyNumberFormat="1" applyFont="1" applyFill="1" applyBorder="1" applyAlignment="1">
      <alignment horizontal="center"/>
    </xf>
    <xf numFmtId="185" fontId="4" fillId="9" borderId="13" xfId="3" applyNumberFormat="1" applyFont="1" applyFill="1" applyBorder="1" applyAlignment="1">
      <alignment horizontal="center"/>
    </xf>
    <xf numFmtId="185" fontId="4" fillId="9" borderId="12" xfId="3" applyNumberFormat="1" applyFont="1" applyFill="1" applyBorder="1" applyAlignment="1">
      <alignment horizontal="center"/>
    </xf>
    <xf numFmtId="9" fontId="4" fillId="9" borderId="22" xfId="3" applyFont="1" applyFill="1" applyBorder="1" applyAlignment="1">
      <alignment horizontal="center"/>
    </xf>
    <xf numFmtId="9" fontId="4" fillId="9" borderId="11" xfId="3" applyFont="1" applyFill="1" applyBorder="1" applyAlignment="1">
      <alignment horizontal="center"/>
    </xf>
    <xf numFmtId="0" fontId="4" fillId="0" borderId="17" xfId="0" applyFont="1" applyBorder="1" applyAlignment="1">
      <alignment horizontal="center" vertical="center"/>
    </xf>
    <xf numFmtId="0" fontId="2" fillId="0" borderId="43" xfId="0" applyFont="1" applyBorder="1" applyAlignment="1">
      <alignment vertical="center"/>
    </xf>
    <xf numFmtId="2" fontId="4" fillId="0" borderId="17" xfId="0" applyNumberFormat="1" applyFont="1" applyBorder="1" applyAlignment="1">
      <alignment horizontal="center"/>
    </xf>
    <xf numFmtId="2" fontId="4" fillId="0" borderId="20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4" fillId="8" borderId="21" xfId="0" applyFont="1" applyFill="1" applyBorder="1" applyAlignment="1">
      <alignment horizontal="center"/>
    </xf>
    <xf numFmtId="182" fontId="4" fillId="8" borderId="17" xfId="1" applyNumberFormat="1" applyFont="1" applyFill="1" applyBorder="1" applyAlignment="1">
      <alignment horizontal="center"/>
    </xf>
    <xf numFmtId="182" fontId="4" fillId="8" borderId="20" xfId="1" applyNumberFormat="1" applyFont="1" applyFill="1" applyBorder="1" applyAlignment="1">
      <alignment horizontal="center"/>
    </xf>
    <xf numFmtId="185" fontId="4" fillId="8" borderId="18" xfId="3" applyNumberFormat="1" applyFont="1" applyFill="1" applyBorder="1" applyAlignment="1">
      <alignment horizontal="center"/>
    </xf>
    <xf numFmtId="9" fontId="4" fillId="9" borderId="18" xfId="3" applyFont="1" applyFill="1" applyBorder="1" applyAlignment="1">
      <alignment horizontal="center"/>
    </xf>
    <xf numFmtId="9" fontId="4" fillId="9" borderId="19" xfId="3" applyFont="1" applyFill="1" applyBorder="1" applyAlignment="1">
      <alignment horizontal="center"/>
    </xf>
    <xf numFmtId="9" fontId="4" fillId="9" borderId="43" xfId="3" applyFont="1" applyFill="1" applyBorder="1" applyAlignment="1">
      <alignment horizontal="center"/>
    </xf>
  </cellXfs>
  <cellStyles count="66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  <cellStyle name="Обычный 2" xfId="49"/>
    <cellStyle name="Обычный 2 3" xfId="50"/>
    <cellStyle name="Обычный 2 3 2" xfId="51"/>
    <cellStyle name="Обычный 2 3 3" xfId="52"/>
    <cellStyle name="Обычный 2 3 4" xfId="53"/>
    <cellStyle name="Обычный 2 3 5" xfId="54"/>
    <cellStyle name="Обычный 2 3 6" xfId="55"/>
    <cellStyle name="Обычный 3" xfId="56"/>
    <cellStyle name="Обычный 4" xfId="57"/>
    <cellStyle name="Обычный 5" xfId="58"/>
    <cellStyle name="Обычный 6" xfId="59"/>
    <cellStyle name="Обычный 7" xfId="60"/>
    <cellStyle name="Обычный 8" xfId="61"/>
    <cellStyle name="Процентный 2" xfId="62"/>
    <cellStyle name="Процентный 3" xfId="63"/>
    <cellStyle name="Финансовый 2" xfId="64"/>
    <cellStyle name="Финансовый 3" xfId="65"/>
  </cellStyles>
  <tableStyles count="0" defaultTableStyle="TableStyleMedium2" defaultPivotStyle="PivotStyleLight16"/>
  <colors>
    <mruColors>
      <color rgb="00FF9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theme" Target="theme/theme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4">
    <pageSetUpPr fitToPage="1"/>
  </sheetPr>
  <dimension ref="A1:CA99"/>
  <sheetViews>
    <sheetView topLeftCell="A55" workbookViewId="0">
      <selection activeCell="H72" sqref="H72"/>
    </sheetView>
  </sheetViews>
  <sheetFormatPr defaultColWidth="10.8583333333333" defaultRowHeight="15"/>
  <cols>
    <col min="1" max="1" width="10.8583333333333" style="6"/>
    <col min="2" max="2" width="5" style="9" customWidth="1"/>
    <col min="3" max="3" width="33.3583333333333" style="6" customWidth="1"/>
    <col min="4" max="4" width="3.64166666666667" style="9" customWidth="1"/>
    <col min="5" max="5" width="4.35833333333333" style="9" customWidth="1"/>
    <col min="6" max="7" width="3.64166666666667" style="9" customWidth="1"/>
    <col min="8" max="9" width="17.3583333333333" style="9" customWidth="1"/>
    <col min="10" max="13" width="12.3583333333333" style="9" customWidth="1"/>
    <col min="14" max="16" width="11.5" style="62" customWidth="1"/>
    <col min="17" max="18" width="11.5" style="97" customWidth="1"/>
    <col min="19" max="22" width="12.3583333333333" style="9" customWidth="1"/>
    <col min="23" max="25" width="11.5" style="62" customWidth="1"/>
    <col min="26" max="27" width="11.5" style="97" customWidth="1"/>
    <col min="28" max="29" width="12.8583333333333" style="9" customWidth="1"/>
    <col min="30" max="32" width="11.5" style="62" customWidth="1"/>
    <col min="33" max="34" width="11.5" style="97" customWidth="1"/>
    <col min="35" max="36" width="12.8583333333333" style="9" customWidth="1"/>
    <col min="37" max="40" width="12.3583333333333" style="9" customWidth="1"/>
    <col min="41" max="41" width="12.8583333333333" style="9" customWidth="1"/>
    <col min="42" max="42" width="12.8583333333333" style="9" hidden="1" customWidth="1"/>
    <col min="43" max="43" width="12.8583333333333" style="9" customWidth="1"/>
    <col min="44" max="44" width="12.8583333333333" style="9" hidden="1" customWidth="1"/>
    <col min="45" max="45" width="12.8583333333333" style="9" customWidth="1"/>
    <col min="46" max="46" width="12.8583333333333" style="9" hidden="1" customWidth="1"/>
    <col min="47" max="47" width="12.8583333333333" style="9" customWidth="1"/>
    <col min="48" max="48" width="12.8583333333333" style="9" hidden="1" customWidth="1"/>
    <col min="49" max="49" width="15" style="9" customWidth="1"/>
    <col min="50" max="53" width="12.3583333333333" style="9" customWidth="1"/>
    <col min="54" max="54" width="14.1416666666667" style="9" hidden="1" customWidth="1"/>
    <col min="55" max="60" width="14.1416666666667" style="9" customWidth="1"/>
    <col min="61" max="61" width="12.6416666666667" style="9" customWidth="1"/>
    <col min="62" max="65" width="11.6416666666667" style="9" customWidth="1"/>
    <col min="66" max="78" width="12.6416666666667" style="9" customWidth="1"/>
    <col min="79" max="79" width="11.8583333333333" style="9" customWidth="1"/>
    <col min="80" max="16384" width="10.8583333333333" style="6"/>
  </cols>
  <sheetData>
    <row r="1" hidden="1" spans="1:79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CA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T1" s="6">
        <f t="shared" si="1"/>
        <v>72</v>
      </c>
      <c r="BU1" s="6">
        <f t="shared" si="1"/>
        <v>73</v>
      </c>
      <c r="BV1" s="6">
        <f t="shared" si="1"/>
        <v>74</v>
      </c>
      <c r="BW1" s="6">
        <f t="shared" si="1"/>
        <v>75</v>
      </c>
      <c r="BX1" s="6">
        <f t="shared" si="1"/>
        <v>76</v>
      </c>
      <c r="BY1" s="6">
        <f t="shared" si="1"/>
        <v>77</v>
      </c>
      <c r="BZ1" s="6">
        <f t="shared" si="1"/>
        <v>78</v>
      </c>
      <c r="CA1" s="6">
        <f t="shared" si="1"/>
        <v>79</v>
      </c>
    </row>
    <row r="2" ht="15.6" spans="3:3">
      <c r="C2" s="4" t="s">
        <v>0</v>
      </c>
    </row>
    <row r="3" ht="15.6" spans="3:3">
      <c r="C3" s="98">
        <v>45566</v>
      </c>
    </row>
    <row r="4" ht="15.75" spans="10:60">
      <c r="J4" s="6"/>
      <c r="K4" s="6"/>
      <c r="L4" s="6"/>
      <c r="S4" s="6"/>
      <c r="T4" s="6"/>
      <c r="U4" s="6"/>
      <c r="AK4" s="6"/>
      <c r="AL4" s="6"/>
      <c r="AM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B4" s="6"/>
      <c r="BC4" s="6"/>
      <c r="BD4" s="6"/>
      <c r="BE4" s="6"/>
      <c r="BF4" s="6"/>
      <c r="BG4" s="6"/>
      <c r="BH4" s="6"/>
    </row>
    <row r="5" s="94" customFormat="1" ht="37" customHeight="1" spans="2:79">
      <c r="B5" s="99" t="s">
        <v>1</v>
      </c>
      <c r="C5" s="319" t="s">
        <v>2</v>
      </c>
      <c r="D5" s="179" t="s">
        <v>3</v>
      </c>
      <c r="E5" s="102"/>
      <c r="F5" s="102"/>
      <c r="G5" s="103"/>
      <c r="H5" s="101" t="s">
        <v>4</v>
      </c>
      <c r="I5" s="101"/>
      <c r="J5" s="102"/>
      <c r="K5" s="102"/>
      <c r="L5" s="102"/>
      <c r="M5" s="141"/>
      <c r="N5" s="142" t="s">
        <v>5</v>
      </c>
      <c r="O5" s="143"/>
      <c r="P5" s="143"/>
      <c r="Q5" s="143"/>
      <c r="R5" s="143"/>
      <c r="S5" s="143"/>
      <c r="T5" s="143"/>
      <c r="U5" s="143"/>
      <c r="V5" s="178"/>
      <c r="W5" s="179" t="s">
        <v>6</v>
      </c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3"/>
      <c r="AO5" s="101" t="s">
        <v>7</v>
      </c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264"/>
      <c r="BC5" s="179" t="s">
        <v>8</v>
      </c>
      <c r="BD5" s="103"/>
      <c r="BE5" s="95"/>
      <c r="BF5" s="95"/>
      <c r="BG5" s="95"/>
      <c r="BH5" s="95"/>
      <c r="BI5" s="286"/>
      <c r="BJ5" s="286">
        <v>0</v>
      </c>
      <c r="BK5" s="286">
        <v>0.2</v>
      </c>
      <c r="BL5" s="286">
        <v>0</v>
      </c>
      <c r="BM5" s="286">
        <v>0.05</v>
      </c>
      <c r="BN5" s="286">
        <v>0.05</v>
      </c>
      <c r="BO5" s="286">
        <v>0.05</v>
      </c>
      <c r="BP5" s="286"/>
      <c r="BQ5" s="286">
        <v>0.05</v>
      </c>
      <c r="BR5" s="286">
        <v>0.05</v>
      </c>
      <c r="BS5" s="286"/>
      <c r="BT5" s="286">
        <v>0</v>
      </c>
      <c r="BU5" s="286">
        <v>0.05</v>
      </c>
      <c r="BV5" s="286">
        <v>0.05</v>
      </c>
      <c r="BW5" s="286">
        <v>0.05</v>
      </c>
      <c r="BX5" s="286">
        <v>0.05</v>
      </c>
      <c r="BY5" s="286">
        <v>0.25</v>
      </c>
      <c r="BZ5" s="286">
        <v>0.1</v>
      </c>
      <c r="CA5" s="286">
        <f>SUM(BJ5:BZ5)</f>
        <v>1</v>
      </c>
    </row>
    <row r="6" s="95" customFormat="1" ht="37" customHeight="1" spans="2:79">
      <c r="B6" s="104"/>
      <c r="C6" s="320"/>
      <c r="D6" s="321" t="s">
        <v>9</v>
      </c>
      <c r="E6" s="107" t="s">
        <v>10</v>
      </c>
      <c r="F6" s="107" t="s">
        <v>11</v>
      </c>
      <c r="G6" s="108" t="s">
        <v>12</v>
      </c>
      <c r="H6" s="109" t="s">
        <v>13</v>
      </c>
      <c r="I6" s="109" t="s">
        <v>14</v>
      </c>
      <c r="J6" s="99" t="s">
        <v>15</v>
      </c>
      <c r="K6" s="144"/>
      <c r="L6" s="144"/>
      <c r="M6" s="100"/>
      <c r="N6" s="145" t="s">
        <v>16</v>
      </c>
      <c r="O6" s="146"/>
      <c r="P6" s="146"/>
      <c r="Q6" s="146"/>
      <c r="R6" s="180"/>
      <c r="S6" s="99" t="s">
        <v>17</v>
      </c>
      <c r="T6" s="144"/>
      <c r="U6" s="144"/>
      <c r="V6" s="100"/>
      <c r="W6" s="181" t="s">
        <v>18</v>
      </c>
      <c r="X6" s="182"/>
      <c r="Y6" s="182"/>
      <c r="Z6" s="182"/>
      <c r="AA6" s="182"/>
      <c r="AB6" s="182"/>
      <c r="AC6" s="200"/>
      <c r="AD6" s="201" t="s">
        <v>19</v>
      </c>
      <c r="AE6" s="202"/>
      <c r="AF6" s="202"/>
      <c r="AG6" s="202"/>
      <c r="AH6" s="202"/>
      <c r="AI6" s="202"/>
      <c r="AJ6" s="218"/>
      <c r="AK6" s="219" t="s">
        <v>17</v>
      </c>
      <c r="AL6" s="220"/>
      <c r="AM6" s="220"/>
      <c r="AN6" s="221"/>
      <c r="AO6" s="99" t="s">
        <v>20</v>
      </c>
      <c r="AP6" s="144"/>
      <c r="AQ6" s="144"/>
      <c r="AR6" s="100"/>
      <c r="AS6" s="219" t="s">
        <v>21</v>
      </c>
      <c r="AT6" s="220"/>
      <c r="AU6" s="220"/>
      <c r="AV6" s="221"/>
      <c r="AW6" s="113" t="s">
        <v>22</v>
      </c>
      <c r="AX6" s="219" t="s">
        <v>23</v>
      </c>
      <c r="AY6" s="220"/>
      <c r="AZ6" s="220"/>
      <c r="BA6" s="220"/>
      <c r="BB6" s="221" t="s">
        <v>24</v>
      </c>
      <c r="BC6" s="265" t="s">
        <v>25</v>
      </c>
      <c r="BD6" s="266" t="s">
        <v>26</v>
      </c>
      <c r="BE6" s="94"/>
      <c r="BF6" s="94"/>
      <c r="BG6" s="94"/>
      <c r="BH6" s="94"/>
      <c r="BI6" s="94" t="s">
        <v>27</v>
      </c>
      <c r="BJ6" s="94" t="s">
        <v>28</v>
      </c>
      <c r="BK6" s="94" t="s">
        <v>29</v>
      </c>
      <c r="BL6" s="94" t="s">
        <v>30</v>
      </c>
      <c r="BM6" s="94" t="s">
        <v>31</v>
      </c>
      <c r="BN6" s="94" t="s">
        <v>32</v>
      </c>
      <c r="BO6" s="94" t="s">
        <v>33</v>
      </c>
      <c r="BP6" s="94" t="s">
        <v>34</v>
      </c>
      <c r="BQ6" s="94" t="s">
        <v>35</v>
      </c>
      <c r="BR6" s="94" t="s">
        <v>36</v>
      </c>
      <c r="BS6" s="94" t="s">
        <v>34</v>
      </c>
      <c r="BT6" s="94" t="s">
        <v>37</v>
      </c>
      <c r="BU6" s="94" t="s">
        <v>38</v>
      </c>
      <c r="BV6" s="94" t="s">
        <v>39</v>
      </c>
      <c r="BW6" s="94" t="s">
        <v>40</v>
      </c>
      <c r="BX6" s="94" t="s">
        <v>41</v>
      </c>
      <c r="BY6" s="94" t="s">
        <v>42</v>
      </c>
      <c r="BZ6" s="94" t="s">
        <v>43</v>
      </c>
      <c r="CA6" s="94" t="s">
        <v>44</v>
      </c>
    </row>
    <row r="7" s="5" customFormat="1" ht="52.75" customHeight="1" spans="2:79">
      <c r="B7" s="104"/>
      <c r="C7" s="320"/>
      <c r="D7" s="322"/>
      <c r="E7" s="111"/>
      <c r="F7" s="111"/>
      <c r="G7" s="112"/>
      <c r="H7" s="113"/>
      <c r="I7" s="113"/>
      <c r="J7" s="147" t="s">
        <v>45</v>
      </c>
      <c r="K7" s="148" t="s">
        <v>46</v>
      </c>
      <c r="L7" s="148" t="s">
        <v>47</v>
      </c>
      <c r="M7" s="149" t="s">
        <v>48</v>
      </c>
      <c r="N7" s="150" t="s">
        <v>49</v>
      </c>
      <c r="O7" s="151" t="s">
        <v>50</v>
      </c>
      <c r="P7" s="151" t="s">
        <v>51</v>
      </c>
      <c r="Q7" s="183" t="s">
        <v>52</v>
      </c>
      <c r="R7" s="184" t="s">
        <v>53</v>
      </c>
      <c r="S7" s="147" t="s">
        <v>45</v>
      </c>
      <c r="T7" s="148" t="s">
        <v>46</v>
      </c>
      <c r="U7" s="148" t="s">
        <v>47</v>
      </c>
      <c r="V7" s="149" t="s">
        <v>48</v>
      </c>
      <c r="W7" s="150" t="s">
        <v>54</v>
      </c>
      <c r="X7" s="151" t="s">
        <v>55</v>
      </c>
      <c r="Y7" s="151" t="s">
        <v>51</v>
      </c>
      <c r="Z7" s="203" t="s">
        <v>52</v>
      </c>
      <c r="AA7" s="203" t="s">
        <v>53</v>
      </c>
      <c r="AB7" s="148" t="s">
        <v>56</v>
      </c>
      <c r="AC7" s="149" t="s">
        <v>57</v>
      </c>
      <c r="AD7" s="150" t="s">
        <v>54</v>
      </c>
      <c r="AE7" s="151" t="s">
        <v>55</v>
      </c>
      <c r="AF7" s="151" t="s">
        <v>51</v>
      </c>
      <c r="AG7" s="203" t="s">
        <v>52</v>
      </c>
      <c r="AH7" s="203" t="s">
        <v>53</v>
      </c>
      <c r="AI7" s="148" t="s">
        <v>56</v>
      </c>
      <c r="AJ7" s="100" t="s">
        <v>57</v>
      </c>
      <c r="AK7" s="222" t="s">
        <v>45</v>
      </c>
      <c r="AL7" s="148" t="s">
        <v>46</v>
      </c>
      <c r="AM7" s="148" t="s">
        <v>47</v>
      </c>
      <c r="AN7" s="223" t="s">
        <v>48</v>
      </c>
      <c r="AO7" s="147" t="s">
        <v>58</v>
      </c>
      <c r="AP7" s="148" t="s">
        <v>59</v>
      </c>
      <c r="AQ7" s="148" t="s">
        <v>60</v>
      </c>
      <c r="AR7" s="149" t="s">
        <v>61</v>
      </c>
      <c r="AS7" s="222" t="s">
        <v>58</v>
      </c>
      <c r="AT7" s="148" t="s">
        <v>59</v>
      </c>
      <c r="AU7" s="148" t="s">
        <v>60</v>
      </c>
      <c r="AV7" s="223" t="s">
        <v>61</v>
      </c>
      <c r="AW7" s="267" t="s">
        <v>62</v>
      </c>
      <c r="AX7" s="222" t="s">
        <v>45</v>
      </c>
      <c r="AY7" s="148" t="s">
        <v>46</v>
      </c>
      <c r="AZ7" s="148" t="s">
        <v>47</v>
      </c>
      <c r="BA7" s="148" t="s">
        <v>48</v>
      </c>
      <c r="BB7" s="223" t="s">
        <v>63</v>
      </c>
      <c r="BC7" s="147" t="s">
        <v>56</v>
      </c>
      <c r="BD7" s="149" t="s">
        <v>64</v>
      </c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</row>
    <row r="8" s="21" customFormat="1" ht="15.75" spans="2:60">
      <c r="B8" s="114">
        <v>1</v>
      </c>
      <c r="C8" s="224">
        <f>B8+1</f>
        <v>2</v>
      </c>
      <c r="D8" s="152">
        <f t="shared" ref="D8:BD8" si="2">C8+1</f>
        <v>3</v>
      </c>
      <c r="E8" s="117">
        <f t="shared" si="2"/>
        <v>4</v>
      </c>
      <c r="F8" s="117">
        <f t="shared" si="2"/>
        <v>5</v>
      </c>
      <c r="G8" s="115">
        <f t="shared" si="2"/>
        <v>6</v>
      </c>
      <c r="H8" s="118">
        <f t="shared" si="2"/>
        <v>7</v>
      </c>
      <c r="I8" s="118">
        <f t="shared" si="2"/>
        <v>8</v>
      </c>
      <c r="J8" s="152">
        <f t="shared" si="2"/>
        <v>9</v>
      </c>
      <c r="K8" s="117">
        <f t="shared" si="2"/>
        <v>10</v>
      </c>
      <c r="L8" s="117">
        <f t="shared" si="2"/>
        <v>11</v>
      </c>
      <c r="M8" s="115">
        <f t="shared" si="2"/>
        <v>12</v>
      </c>
      <c r="N8" s="152">
        <f t="shared" si="2"/>
        <v>13</v>
      </c>
      <c r="O8" s="117">
        <f t="shared" si="2"/>
        <v>14</v>
      </c>
      <c r="P8" s="117">
        <f t="shared" si="2"/>
        <v>15</v>
      </c>
      <c r="Q8" s="115">
        <f t="shared" si="2"/>
        <v>16</v>
      </c>
      <c r="R8" s="152">
        <f t="shared" si="2"/>
        <v>17</v>
      </c>
      <c r="S8" s="152">
        <f t="shared" si="2"/>
        <v>18</v>
      </c>
      <c r="T8" s="117">
        <f t="shared" si="2"/>
        <v>19</v>
      </c>
      <c r="U8" s="117">
        <f t="shared" si="2"/>
        <v>20</v>
      </c>
      <c r="V8" s="115">
        <f t="shared" si="2"/>
        <v>21</v>
      </c>
      <c r="W8" s="152">
        <f t="shared" si="2"/>
        <v>22</v>
      </c>
      <c r="X8" s="117">
        <f t="shared" si="2"/>
        <v>23</v>
      </c>
      <c r="Y8" s="117">
        <f t="shared" si="2"/>
        <v>24</v>
      </c>
      <c r="Z8" s="117">
        <f t="shared" si="2"/>
        <v>25</v>
      </c>
      <c r="AA8" s="117"/>
      <c r="AB8" s="117">
        <f>Z8+1</f>
        <v>26</v>
      </c>
      <c r="AC8" s="115">
        <f t="shared" si="2"/>
        <v>27</v>
      </c>
      <c r="AD8" s="152">
        <f t="shared" si="2"/>
        <v>28</v>
      </c>
      <c r="AE8" s="117">
        <f t="shared" si="2"/>
        <v>29</v>
      </c>
      <c r="AF8" s="117">
        <f t="shared" si="2"/>
        <v>30</v>
      </c>
      <c r="AG8" s="117">
        <f t="shared" si="2"/>
        <v>31</v>
      </c>
      <c r="AH8" s="117">
        <f t="shared" si="2"/>
        <v>32</v>
      </c>
      <c r="AI8" s="117">
        <f t="shared" si="2"/>
        <v>33</v>
      </c>
      <c r="AJ8" s="115">
        <f t="shared" si="2"/>
        <v>34</v>
      </c>
      <c r="AK8" s="116">
        <f t="shared" si="2"/>
        <v>35</v>
      </c>
      <c r="AL8" s="117">
        <f t="shared" si="2"/>
        <v>36</v>
      </c>
      <c r="AM8" s="117">
        <f t="shared" si="2"/>
        <v>37</v>
      </c>
      <c r="AN8" s="224">
        <f t="shared" si="2"/>
        <v>38</v>
      </c>
      <c r="AO8" s="152">
        <f t="shared" si="2"/>
        <v>39</v>
      </c>
      <c r="AP8" s="117">
        <f t="shared" si="2"/>
        <v>40</v>
      </c>
      <c r="AQ8" s="117">
        <f t="shared" si="2"/>
        <v>41</v>
      </c>
      <c r="AR8" s="115">
        <f t="shared" si="2"/>
        <v>42</v>
      </c>
      <c r="AS8" s="116">
        <f t="shared" si="2"/>
        <v>43</v>
      </c>
      <c r="AT8" s="117">
        <f t="shared" si="2"/>
        <v>44</v>
      </c>
      <c r="AU8" s="117">
        <f t="shared" si="2"/>
        <v>45</v>
      </c>
      <c r="AV8" s="224">
        <f t="shared" si="2"/>
        <v>46</v>
      </c>
      <c r="AW8" s="118">
        <f t="shared" si="2"/>
        <v>47</v>
      </c>
      <c r="AX8" s="116">
        <f t="shared" si="2"/>
        <v>48</v>
      </c>
      <c r="AY8" s="117">
        <f t="shared" si="2"/>
        <v>49</v>
      </c>
      <c r="AZ8" s="117">
        <f t="shared" si="2"/>
        <v>50</v>
      </c>
      <c r="BA8" s="117">
        <f t="shared" si="2"/>
        <v>51</v>
      </c>
      <c r="BB8" s="224">
        <f t="shared" si="2"/>
        <v>52</v>
      </c>
      <c r="BC8" s="152">
        <f t="shared" si="2"/>
        <v>53</v>
      </c>
      <c r="BD8" s="115">
        <f t="shared" si="2"/>
        <v>54</v>
      </c>
      <c r="BE8" s="94"/>
      <c r="BF8" s="94"/>
      <c r="BG8" s="94"/>
      <c r="BH8" s="94"/>
    </row>
    <row r="9" s="96" customFormat="1" ht="30" customHeight="1" spans="2:79">
      <c r="B9" s="119"/>
      <c r="C9" s="323" t="s">
        <v>65</v>
      </c>
      <c r="D9" s="154"/>
      <c r="E9" s="122"/>
      <c r="F9" s="122"/>
      <c r="G9" s="123"/>
      <c r="H9" s="124" t="str">
        <f>_xlfn.TEXTJOIN(,0,COUNTIF('РО - регионы'!$D$16:$D$104,2)," / ",COUNTIF('РО - регионы'!$D$16:$D$104,1)," / ",COUNTIF('РО - регионы'!$D$16:$D$104,0)," из ",COUNTIF('РО - регионы'!$D$16:$D$104,"&lt;&gt;"""))</f>
        <v>4 / 40 / 45 из 89</v>
      </c>
      <c r="I9" s="153"/>
      <c r="J9" s="154"/>
      <c r="K9" s="122"/>
      <c r="L9" s="122"/>
      <c r="M9" s="155"/>
      <c r="N9" s="156" t="str">
        <f>_xlfn.TEXTJOIN(,0,COUNTIF(Спецтехника!$D$16:$D$104,2)," / ",COUNTIF(Спецтехника!$D$16:$D$104,1)," / ",COUNTIF(Спецтехника!$D$16:$D$104,0)," из ",COUNTIF(Спецтехника!$D$16:$D$104,"&lt;&gt;"""))</f>
        <v>17 / 21 / 51 из 89</v>
      </c>
      <c r="O9" s="157"/>
      <c r="P9" s="157"/>
      <c r="Q9" s="185"/>
      <c r="R9" s="186"/>
      <c r="S9" s="154"/>
      <c r="T9" s="122"/>
      <c r="U9" s="122"/>
      <c r="V9" s="187"/>
      <c r="W9" s="188" t="str">
        <f>_xlfn.TEXTJOIN(,0,COUNTIF(МНО!$D$16:$D$104,2)," / ",COUNTIF(МНО!$D$16:$D$104,1)," / ",COUNTIF(МНО!$D$16:$D$104,0)," из ",COUNTIF(МНО!$D$16:$D$104,"&lt;&gt;"""))</f>
        <v>22 / 21 / 46 из 89</v>
      </c>
      <c r="X9" s="189"/>
      <c r="Y9" s="189"/>
      <c r="Z9" s="189"/>
      <c r="AA9" s="189"/>
      <c r="AB9" s="189"/>
      <c r="AC9" s="204"/>
      <c r="AD9" s="188" t="str">
        <f>_xlfn.TEXTJOIN(,0,COUNTIF(Контейнеры!$D$16:$D$104,2)," / ",COUNTIF(Контейнеры!$D$16:$D$104,1)," / ",COUNTIF(Контейнеры!$D$16:$D$104,0)," из ",COUNTIF(Контейнеры!$D$16:$D$104,"&lt;&gt;"""))</f>
        <v>23 / 24 / 42 из 89</v>
      </c>
      <c r="AE9" s="189"/>
      <c r="AF9" s="189"/>
      <c r="AG9" s="189"/>
      <c r="AH9" s="189"/>
      <c r="AI9" s="189"/>
      <c r="AJ9" s="204"/>
      <c r="AK9" s="121"/>
      <c r="AL9" s="122"/>
      <c r="AM9" s="122"/>
      <c r="AN9" s="187"/>
      <c r="AO9" s="233" t="str">
        <f>_xlfn.TEXTJOIN(,0,COUNTIF(Обработка!$D$16:$D$104,2)," / ",COUNTIF(Обработка!$D$16:$D$104,1)," / ",COUNTIF(Обработка!$D$16:$D$104,0)," из ",COUNTIF(Обработка!$D$16:$D$104,"&lt;&gt;"""))</f>
        <v>4 / 23 / 23 из 89</v>
      </c>
      <c r="AP9" s="234"/>
      <c r="AQ9" s="234"/>
      <c r="AR9" s="235"/>
      <c r="AS9" s="236" t="str">
        <f>_xlfn.TEXTJOIN(,0,COUNTIF(Утилизация!$D$16:$D$104,2)," / ",COUNTIF(Утилизация!$D$16:$D$104,1)," / ",COUNTIF(Утилизация!$D$16:$D$104,0)," из ",COUNTIF(Утилизация!$D$16:$D$104,"&lt;&gt;"""))</f>
        <v>25 / 29 / 6 из 89</v>
      </c>
      <c r="AT9" s="234"/>
      <c r="AU9" s="234"/>
      <c r="AV9" s="237"/>
      <c r="AW9" s="268" t="str">
        <f>_xlfn.TEXTJOIN(,0,COUNTIF(Захоронение!$D$16:$D$104,2),"/",COUNTIF(Захоронение!$D$16:$D$104,1),"/",COUNTIF(Захоронение!$D$16:$D$104,0)," из ",COUNTIF(Захоронение!$D$16:$D$104,"&lt;&gt;"""))</f>
        <v>29/16/44 из 89</v>
      </c>
      <c r="AX9" s="269"/>
      <c r="AY9" s="270"/>
      <c r="AZ9" s="270"/>
      <c r="BA9" s="187"/>
      <c r="BB9" s="271" t="str">
        <f>'ДК ИП'!F15</f>
        <v>14 / 19 / 13</v>
      </c>
      <c r="BC9" s="154"/>
      <c r="BD9" s="123"/>
      <c r="BE9" s="287"/>
      <c r="BF9" s="287"/>
      <c r="BG9" s="287"/>
      <c r="BH9" s="287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</row>
    <row r="10" s="96" customFormat="1" ht="30" customHeight="1" spans="2:79">
      <c r="B10" s="125"/>
      <c r="C10" s="324" t="s">
        <v>66</v>
      </c>
      <c r="D10" s="159">
        <f>Штаб!G15</f>
        <v>36</v>
      </c>
      <c r="E10" s="160">
        <f>Штаб!H15</f>
        <v>14</v>
      </c>
      <c r="F10" s="160">
        <f>Штаб!I15</f>
        <v>15</v>
      </c>
      <c r="G10" s="161">
        <f>Штаб!J15</f>
        <v>24</v>
      </c>
      <c r="H10" s="130" t="str">
        <f>_xlfn.TEXTJOIN(,0,'РО - регионы'!I15," из ",'РО - регионы'!H15)</f>
        <v>4/97/159 из 260</v>
      </c>
      <c r="I10" s="158"/>
      <c r="J10" s="159"/>
      <c r="K10" s="160"/>
      <c r="L10" s="160"/>
      <c r="M10" s="161"/>
      <c r="N10" s="162">
        <f>Спецтехника!E15</f>
        <v>25984</v>
      </c>
      <c r="O10" s="163">
        <f>Спецтехника!F15</f>
        <v>23597</v>
      </c>
      <c r="P10" s="163">
        <f>Спецтехника!G15</f>
        <v>2387</v>
      </c>
      <c r="Q10" s="190">
        <f>Спецтехника!H15</f>
        <v>0.091864224137931</v>
      </c>
      <c r="R10" s="191"/>
      <c r="S10" s="159"/>
      <c r="T10" s="160"/>
      <c r="U10" s="160"/>
      <c r="V10" s="161"/>
      <c r="W10" s="162">
        <f>МНО!Q15</f>
        <v>1201872</v>
      </c>
      <c r="X10" s="163">
        <f>МНО!I15</f>
        <v>980980</v>
      </c>
      <c r="Y10" s="163">
        <f>МНО!L15</f>
        <v>220892</v>
      </c>
      <c r="Z10" s="205">
        <f>МНО!R15</f>
        <v>0.1837899543379</v>
      </c>
      <c r="AA10" s="205"/>
      <c r="AB10" s="206">
        <f>МНО!N15</f>
        <v>5.9442443379488</v>
      </c>
      <c r="AC10" s="207">
        <f>МНО!S15</f>
        <v>0.673922183414993</v>
      </c>
      <c r="AD10" s="162">
        <f>Контейнеры!Q15</f>
        <v>2366240</v>
      </c>
      <c r="AE10" s="163">
        <f>Контейнеры!I15</f>
        <v>2005049</v>
      </c>
      <c r="AF10" s="163">
        <f>Контейнеры!L15</f>
        <v>361191</v>
      </c>
      <c r="AG10" s="205">
        <f>Контейнеры!R15</f>
        <v>0.152643434309284</v>
      </c>
      <c r="AH10" s="205"/>
      <c r="AI10" s="206">
        <f>Контейнеры!N15</f>
        <v>13.7190432820722</v>
      </c>
      <c r="AJ10" s="225">
        <f>Контейнеры!S15</f>
        <v>0.817968346826422</v>
      </c>
      <c r="AK10" s="226"/>
      <c r="AL10" s="160"/>
      <c r="AM10" s="160"/>
      <c r="AN10" s="227"/>
      <c r="AO10" s="238">
        <f>Обработка!G15</f>
        <v>0.543</v>
      </c>
      <c r="AP10" s="239">
        <v>0</v>
      </c>
      <c r="AQ10" s="239">
        <f>Обработка!H15</f>
        <v>0.807</v>
      </c>
      <c r="AR10" s="240">
        <v>0</v>
      </c>
      <c r="AS10" s="241">
        <f>Утилизация!G15</f>
        <v>0.139</v>
      </c>
      <c r="AT10" s="239">
        <v>0</v>
      </c>
      <c r="AU10" s="239">
        <f>Утилизация!H15</f>
        <v>0.286</v>
      </c>
      <c r="AV10" s="242">
        <v>0</v>
      </c>
      <c r="AW10" s="272"/>
      <c r="AX10" s="226"/>
      <c r="AY10" s="160"/>
      <c r="AZ10" s="160"/>
      <c r="BA10" s="161"/>
      <c r="BB10" s="273"/>
      <c r="BC10" s="159"/>
      <c r="BD10" s="161"/>
      <c r="BE10" s="287"/>
      <c r="BF10" s="287"/>
      <c r="BG10" s="287"/>
      <c r="BH10" s="287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</row>
    <row r="11" ht="30" customHeight="1" spans="1:79">
      <c r="A11" s="6" t="s">
        <v>67</v>
      </c>
      <c r="B11" s="325">
        <f t="shared" ref="B11:B74" si="3">B10+1</f>
        <v>1</v>
      </c>
      <c r="C11" s="326" t="s">
        <v>68</v>
      </c>
      <c r="D11" s="327" t="str">
        <f>VLOOKUP($C11,Штаб!$B$16:$J$104,6,0)</f>
        <v/>
      </c>
      <c r="E11" s="328" t="str">
        <f>VLOOKUP($C11,Штаб!$B$16:$J$104,7,0)</f>
        <v/>
      </c>
      <c r="F11" s="328" t="str">
        <f>VLOOKUP($C11,Штаб!$B$16:$J$104,8,0)</f>
        <v/>
      </c>
      <c r="G11" s="329" t="str">
        <f>VLOOKUP($C11,Штаб!$B$16:$J$104,9,0)</f>
        <v>✔️</v>
      </c>
      <c r="H11" s="330" t="str">
        <f>VLOOKUP(C11,'РО - регионы'!$B$16:$I$104,8,0)</f>
        <v>0 / 0 / 1 из 1</v>
      </c>
      <c r="I11" s="164"/>
      <c r="J11" s="131"/>
      <c r="K11" s="165"/>
      <c r="L11" s="165"/>
      <c r="M11" s="166"/>
      <c r="N11" s="336">
        <f>VLOOKUP(C11,Спецтехника!$B$16:$J$104,4,0)</f>
        <v>1502</v>
      </c>
      <c r="O11" s="337">
        <f>VLOOKUP(C11,Спецтехника!$B$16:$J$104,5,0)</f>
        <v>1502</v>
      </c>
      <c r="P11" s="337">
        <f>VLOOKUP(C11,Спецтехника!$B$16:$J$104,6,0)</f>
        <v>0</v>
      </c>
      <c r="Q11" s="338">
        <f>VLOOKUP(C11,Спецтехника!$B$16:$J$104,7,0)</f>
        <v>0</v>
      </c>
      <c r="R11" s="193"/>
      <c r="S11" s="131"/>
      <c r="T11" s="165"/>
      <c r="U11" s="165"/>
      <c r="V11" s="166"/>
      <c r="W11" s="336">
        <f>VLOOKUP($C11,МНО!$B$16:$AB$104,16,0)</f>
        <v>0</v>
      </c>
      <c r="X11" s="337">
        <f>VLOOKUP($C11,МНО!$B$16:$AB$104,8,0)</f>
        <v>0</v>
      </c>
      <c r="Y11" s="337">
        <f>VLOOKUP($C11,МНО!$B$16:$AB$104,11,0)</f>
        <v>0</v>
      </c>
      <c r="Z11" s="339">
        <f>VLOOKUP($C11,МНО!$B$16:$AB$104,17,0)</f>
        <v>0</v>
      </c>
      <c r="AA11" s="209"/>
      <c r="AB11" s="210"/>
      <c r="AC11" s="211"/>
      <c r="AD11" s="336">
        <f>VLOOKUP($C11,Контейнеры!$B$16:$AB$104,16,0)</f>
        <v>0</v>
      </c>
      <c r="AE11" s="337">
        <f>VLOOKUP($C11,Контейнеры!$B$16:$AB$104,8,0)</f>
        <v>0</v>
      </c>
      <c r="AF11" s="337">
        <f>VLOOKUP($C11,Контейнеры!$B$16:$AB$104,11,0)</f>
        <v>0</v>
      </c>
      <c r="AG11" s="339">
        <f>VLOOKUP($C11,Контейнеры!$B$16:$AB$104,17,0)</f>
        <v>0</v>
      </c>
      <c r="AH11" s="209"/>
      <c r="AI11" s="210"/>
      <c r="AJ11" s="211"/>
      <c r="AK11" s="229"/>
      <c r="AL11" s="165"/>
      <c r="AM11" s="165"/>
      <c r="AN11" s="230"/>
      <c r="AO11" s="340">
        <f>VLOOKUP($C11,Обработка!$B$16:$L$104,6,0)</f>
        <v>0.987</v>
      </c>
      <c r="AP11" s="245">
        <f t="shared" ref="AP11:AP74" si="4">AO11-$AO$10</f>
        <v>0.444</v>
      </c>
      <c r="AQ11" s="245">
        <f>VLOOKUP($C11,Обработка!$B$16:$L$104,7,0)</f>
        <v>0.9</v>
      </c>
      <c r="AR11" s="246">
        <f t="shared" ref="AR11:AR74" si="5">AQ11-$AQ$10</f>
        <v>0.093</v>
      </c>
      <c r="AS11" s="341">
        <f>VLOOKUP($C11,Утилизация!$B$16:$L$104,6,0)</f>
        <v>0.508</v>
      </c>
      <c r="AT11" s="245">
        <f t="shared" ref="AT11:AT74" si="6">AS11-$AS$10</f>
        <v>0.369</v>
      </c>
      <c r="AU11" s="245">
        <f>VLOOKUP($C11,Утилизация!$B$16:$L$104,7,0)</f>
        <v>0.47</v>
      </c>
      <c r="AV11" s="248">
        <f t="shared" ref="AV11:AV74" si="7">AU11-$AU$10</f>
        <v>0.184</v>
      </c>
      <c r="AW11" s="330" t="str">
        <f>VLOOKUP(C11,Захоронение!$B$16:$Q$104,16,0)</f>
        <v/>
      </c>
      <c r="AX11" s="229"/>
      <c r="AY11" s="165"/>
      <c r="AZ11" s="165"/>
      <c r="BA11" s="166"/>
      <c r="BB11" s="276" t="str">
        <f>VLOOKUP(C11,'ДК ИП'!$B$16:$S$104,5,0)</f>
        <v>не подписана</v>
      </c>
      <c r="BC11" s="327">
        <f>VLOOKUP(C11,'Радар олд'!$B$3:$E$87,4,0)</f>
        <v>0.0315594081523503</v>
      </c>
      <c r="BD11" s="166"/>
      <c r="BI11" s="9">
        <f t="shared" ref="BI11:BI74" si="8">IF(CA11&gt;=1.3,2,IF(CA11&gt;=0.8,1,0))</f>
        <v>0</v>
      </c>
      <c r="BJ11" s="9">
        <f>VLOOKUP(C11,Штаб!$B$16:$C$104,2)</f>
        <v>2</v>
      </c>
      <c r="BK11" s="9">
        <f>VLOOKUP(C11,'РО - регионы'!$B$16:$C$104,2)</f>
        <v>0</v>
      </c>
      <c r="BL11" s="9">
        <f>VLOOKUP(C11,'РО - регионы'!$B$16:$L$104,11)</f>
        <v>0</v>
      </c>
      <c r="BM11" s="9">
        <f>VLOOKUP(C11,Спецтехника!$B$16:$C$104,2)</f>
        <v>0</v>
      </c>
      <c r="BN11" s="9">
        <f>VLOOKUP($C11,МНО!$B$16:$AB$104,6,0)</f>
        <v>0</v>
      </c>
      <c r="BO11" s="9">
        <f>VLOOKUP($C11,МНО!$B$16:$AB$104,4,0)</f>
        <v>0</v>
      </c>
      <c r="BP11" s="9">
        <f>VLOOKUP($C11,МНО!$B$16:$AB$104,5,0)</f>
        <v>0</v>
      </c>
      <c r="BQ11" s="9">
        <f>VLOOKUP($C11,Контейнеры!$B$16:$G$104,6,0)</f>
        <v>0</v>
      </c>
      <c r="BR11" s="9">
        <f>VLOOKUP($C11,Контейнеры!$B$16:$G$104,4,0)</f>
        <v>0</v>
      </c>
      <c r="BS11" s="9">
        <f>VLOOKUP($C11,Контейнеры!$B$16:$G$104,5,0)</f>
        <v>0</v>
      </c>
      <c r="BT11" s="9">
        <f>VLOOKUP($C11,'ДК МНО'!$B$16:$C$104,2,0)</f>
        <v>2</v>
      </c>
      <c r="BU11" s="9">
        <f>VLOOKUP($C11,Обработка!$B$16:$F$104,5,0)</f>
        <v>0</v>
      </c>
      <c r="BV11" s="9">
        <f>VLOOKUP($C11,Обработка!$B$16:$F$104,4,0)</f>
        <v>0</v>
      </c>
      <c r="BW11" s="9">
        <f>VLOOKUP($C11,Утилизация!$B$16:$F$104,5,0)</f>
        <v>0</v>
      </c>
      <c r="BX11" s="9">
        <f>VLOOKUP($C11,Утилизация!$B$16:$F$104,4,0)</f>
        <v>0</v>
      </c>
      <c r="BY11" s="9">
        <f>VLOOKUP($C11,Захоронение!$B$16:$C$104,2,0)</f>
        <v>0</v>
      </c>
      <c r="BZ11" s="9">
        <f>VLOOKUP($C11,'ДК ИП'!$B$16:$C$104,2,0)</f>
        <v>0</v>
      </c>
      <c r="CA11" s="9">
        <f t="shared" ref="CA11:CA74" si="9">SUMPRODUCT(BJ11:BZ11,$BJ$5:$BZ$5)</f>
        <v>0</v>
      </c>
    </row>
    <row r="12" ht="30" customHeight="1" spans="1:79">
      <c r="A12" s="6" t="s">
        <v>67</v>
      </c>
      <c r="B12" s="331">
        <f t="shared" si="3"/>
        <v>2</v>
      </c>
      <c r="C12" s="332" t="s">
        <v>69</v>
      </c>
      <c r="D12" s="333" t="str">
        <f>VLOOKUP($C12,Штаб!$B$16:$J$104,6,0)</f>
        <v/>
      </c>
      <c r="E12" s="334" t="str">
        <f>VLOOKUP($C12,Штаб!$B$16:$J$104,7,0)</f>
        <v/>
      </c>
      <c r="F12" s="334" t="str">
        <f>VLOOKUP($C12,Штаб!$B$16:$J$104,8,0)</f>
        <v/>
      </c>
      <c r="G12" s="335" t="str">
        <f>VLOOKUP($C12,Штаб!$B$16:$J$104,9,0)</f>
        <v>✔️</v>
      </c>
      <c r="H12" s="284" t="str">
        <f>VLOOKUP(C12,'РО - регионы'!$B$16:$I$104,8,0)</f>
        <v>0 / 0 / 7 из 7</v>
      </c>
      <c r="I12" s="169"/>
      <c r="J12" s="137"/>
      <c r="K12" s="170"/>
      <c r="L12" s="170"/>
      <c r="M12" s="171"/>
      <c r="N12" s="172">
        <f>VLOOKUP(C12,Спецтехника!$B$16:$J$104,4,0)</f>
        <v>1653</v>
      </c>
      <c r="O12" s="173">
        <f>VLOOKUP(C12,Спецтехника!$B$16:$J$104,5,0)</f>
        <v>1515</v>
      </c>
      <c r="P12" s="173">
        <f>VLOOKUP(C12,Спецтехника!$B$16:$J$104,6,0)</f>
        <v>138</v>
      </c>
      <c r="Q12" s="196">
        <f>VLOOKUP(C12,Спецтехника!$B$16:$J$104,7,0)</f>
        <v>0.0834845735027223</v>
      </c>
      <c r="R12" s="197"/>
      <c r="S12" s="137"/>
      <c r="T12" s="170"/>
      <c r="U12" s="170"/>
      <c r="V12" s="171"/>
      <c r="W12" s="172">
        <f>VLOOKUP($C12,МНО!$B$16:$AB$104,16,0)</f>
        <v>80049</v>
      </c>
      <c r="X12" s="173">
        <f>VLOOKUP($C12,МНО!$B$16:$AB$104,8,0)</f>
        <v>79870</v>
      </c>
      <c r="Y12" s="173">
        <f>VLOOKUP($C12,МНО!$B$16:$AB$104,11,0)</f>
        <v>179</v>
      </c>
      <c r="Z12" s="216">
        <f>VLOOKUP($C12,МНО!$B$16:$AB$104,17,0)</f>
        <v>0.00223613037014828</v>
      </c>
      <c r="AA12" s="213"/>
      <c r="AB12" s="214">
        <f>VLOOKUP($C12,МНО!$B$16:$AB$104,13,0)</f>
        <v>7.68003735872</v>
      </c>
      <c r="AC12" s="215">
        <f>VLOOKUP($C12,МНО!$B$16:$AB$104,18,0)</f>
        <v>1</v>
      </c>
      <c r="AD12" s="172">
        <f>VLOOKUP($C12,Контейнеры!$B$16:$AB$104,16,0)</f>
        <v>222866</v>
      </c>
      <c r="AE12" s="173">
        <f>VLOOKUP($C12,Контейнеры!$B$16:$AB$104,8,0)</f>
        <v>207855</v>
      </c>
      <c r="AF12" s="173">
        <f>VLOOKUP($C12,Контейнеры!$B$16:$AB$104,11,0)</f>
        <v>15011</v>
      </c>
      <c r="AG12" s="216">
        <f>VLOOKUP($C12,Контейнеры!$B$16:$AB$104,17,0)</f>
        <v>0.0673543743774286</v>
      </c>
      <c r="AH12" s="213"/>
      <c r="AI12" s="214">
        <f>VLOOKUP($C12,Контейнеры!$B$16:$AB$104,13,0)</f>
        <v>24.0259800306545</v>
      </c>
      <c r="AJ12" s="215">
        <f>VLOOKUP($C12,Контейнеры!$B$16:$AB$104,18,0)</f>
        <v>1</v>
      </c>
      <c r="AK12" s="231"/>
      <c r="AL12" s="170"/>
      <c r="AM12" s="170"/>
      <c r="AN12" s="232"/>
      <c r="AO12" s="257">
        <f>VLOOKUP($C12,Обработка!$B$16:$L$104,6,0)</f>
        <v>1</v>
      </c>
      <c r="AP12" s="250">
        <f t="shared" si="4"/>
        <v>0.457</v>
      </c>
      <c r="AQ12" s="250">
        <f>VLOOKUP($C12,Обработка!$B$16:$L$104,7,0)</f>
        <v>1</v>
      </c>
      <c r="AR12" s="255">
        <f t="shared" si="5"/>
        <v>0.193</v>
      </c>
      <c r="AS12" s="263">
        <f>VLOOKUP($C12,Утилизация!$B$16:$L$104,6,0)</f>
        <v>0.5</v>
      </c>
      <c r="AT12" s="250">
        <f t="shared" si="6"/>
        <v>0.361</v>
      </c>
      <c r="AU12" s="250">
        <f>VLOOKUP($C12,Утилизация!$B$16:$L$104,7,0)</f>
        <v>0.6</v>
      </c>
      <c r="AV12" s="256">
        <f t="shared" si="7"/>
        <v>0.314</v>
      </c>
      <c r="AW12" s="284" t="str">
        <f>VLOOKUP(C12,Захоронение!$B$16:$Q$104,16,0)</f>
        <v/>
      </c>
      <c r="AX12" s="231"/>
      <c r="AY12" s="170"/>
      <c r="AZ12" s="170"/>
      <c r="BA12" s="171"/>
      <c r="BB12" s="280" t="str">
        <f>VLOOKUP(C12,'ДК ИП'!$B$16:$S$104,5,0)</f>
        <v>не подписана</v>
      </c>
      <c r="BC12" s="327">
        <f>VLOOKUP(C12,'Радар олд'!$B$3:$E$87,4,0)</f>
        <v>0.109001463370654</v>
      </c>
      <c r="BD12" s="171"/>
      <c r="BI12" s="9">
        <f t="shared" si="8"/>
        <v>0</v>
      </c>
      <c r="BJ12" s="9">
        <f>VLOOKUP(C12,Штаб!$B$16:$C$104,2)</f>
        <v>2</v>
      </c>
      <c r="BK12" s="9">
        <f>VLOOKUP(C12,'РО - регионы'!$B$16:$C$104,2)</f>
        <v>0</v>
      </c>
      <c r="BL12" s="9">
        <f>VLOOKUP(C12,'РО - регионы'!$B$16:$L$104,11)</f>
        <v>0</v>
      </c>
      <c r="BM12" s="9">
        <f>VLOOKUP(C12,Спецтехника!$B$16:$C$104,2)</f>
        <v>0</v>
      </c>
      <c r="BN12" s="9">
        <f>VLOOKUP($C12,МНО!$B$16:$AB$104,6,0)</f>
        <v>0</v>
      </c>
      <c r="BO12" s="9">
        <f>VLOOKUP($C12,МНО!$B$16:$AB$104,4,0)</f>
        <v>0</v>
      </c>
      <c r="BP12" s="9">
        <f>VLOOKUP($C12,МНО!$B$16:$AB$104,5,0)</f>
        <v>0</v>
      </c>
      <c r="BQ12" s="9">
        <f>VLOOKUP($C12,Контейнеры!$B$16:$G$104,6,0)</f>
        <v>0</v>
      </c>
      <c r="BR12" s="9">
        <f>VLOOKUP($C12,Контейнеры!$B$16:$G$104,4,0)</f>
        <v>0</v>
      </c>
      <c r="BS12" s="9">
        <f>VLOOKUP($C12,Контейнеры!$B$16:$G$104,5,0)</f>
        <v>0</v>
      </c>
      <c r="BT12" s="9">
        <f>VLOOKUP($C12,'ДК МНО'!$B$16:$C$104,2,0)</f>
        <v>2</v>
      </c>
      <c r="BU12" s="9">
        <f>VLOOKUP($C12,Обработка!$B$16:$F$104,5,0)</f>
        <v>0</v>
      </c>
      <c r="BV12" s="9">
        <f>VLOOKUP($C12,Обработка!$B$16:$F$104,4,0)</f>
        <v>0</v>
      </c>
      <c r="BW12" s="9">
        <f>VLOOKUP($C12,Утилизация!$B$16:$F$104,5,0)</f>
        <v>0</v>
      </c>
      <c r="BX12" s="9">
        <f>VLOOKUP($C12,Утилизация!$B$16:$F$104,4,0)</f>
        <v>0</v>
      </c>
      <c r="BY12" s="9">
        <f>VLOOKUP($C12,Захоронение!$B$16:$C$104,2,0)</f>
        <v>0</v>
      </c>
      <c r="BZ12" s="9">
        <f>VLOOKUP($C12,'ДК ИП'!$B$16:$C$104,2,0)</f>
        <v>0</v>
      </c>
      <c r="CA12" s="9">
        <f t="shared" si="9"/>
        <v>0</v>
      </c>
    </row>
    <row r="13" ht="30" customHeight="1" spans="1:79">
      <c r="A13" s="6" t="s">
        <v>70</v>
      </c>
      <c r="B13" s="331">
        <f t="shared" si="3"/>
        <v>3</v>
      </c>
      <c r="C13" s="332" t="s">
        <v>71</v>
      </c>
      <c r="D13" s="333" t="str">
        <f>VLOOKUP($C13,Штаб!$B$16:$J$104,6,0)</f>
        <v/>
      </c>
      <c r="E13" s="334" t="str">
        <f>VLOOKUP($C13,Штаб!$B$16:$J$104,7,0)</f>
        <v>✔️</v>
      </c>
      <c r="F13" s="334" t="str">
        <f>VLOOKUP($C13,Штаб!$B$16:$J$104,8,0)</f>
        <v/>
      </c>
      <c r="G13" s="335" t="str">
        <f>VLOOKUP($C13,Штаб!$B$16:$J$104,9,0)</f>
        <v/>
      </c>
      <c r="H13" s="284" t="str">
        <f>VLOOKUP(C13,'РО - регионы'!$B$16:$I$104,8,0)</f>
        <v>0 / 0 / 1 из 1</v>
      </c>
      <c r="I13" s="169"/>
      <c r="J13" s="137"/>
      <c r="K13" s="170"/>
      <c r="L13" s="170"/>
      <c r="M13" s="171"/>
      <c r="N13" s="172">
        <f>VLOOKUP(C13,Спецтехника!$B$16:$J$104,4,0)</f>
        <v>869</v>
      </c>
      <c r="O13" s="173">
        <f>VLOOKUP(C13,Спецтехника!$B$16:$J$104,5,0)</f>
        <v>869</v>
      </c>
      <c r="P13" s="173">
        <f>VLOOKUP(C13,Спецтехника!$B$16:$J$104,6,0)</f>
        <v>0</v>
      </c>
      <c r="Q13" s="196">
        <f>VLOOKUP(C13,Спецтехника!$B$16:$J$104,7,0)</f>
        <v>0</v>
      </c>
      <c r="R13" s="197"/>
      <c r="S13" s="137"/>
      <c r="T13" s="170"/>
      <c r="U13" s="170"/>
      <c r="V13" s="171"/>
      <c r="W13" s="172">
        <f>VLOOKUP($C13,МНО!$B$16:$AB$104,16,0)</f>
        <v>0</v>
      </c>
      <c r="X13" s="173">
        <f>VLOOKUP($C13,МНО!$B$16:$AB$104,8,0)</f>
        <v>0</v>
      </c>
      <c r="Y13" s="173">
        <f>VLOOKUP($C13,МНО!$B$16:$AB$104,11,0)</f>
        <v>0</v>
      </c>
      <c r="Z13" s="216">
        <f>VLOOKUP($C13,МНО!$B$16:$AB$104,17,0)</f>
        <v>0</v>
      </c>
      <c r="AA13" s="213"/>
      <c r="AB13" s="214"/>
      <c r="AC13" s="215"/>
      <c r="AD13" s="172">
        <f>VLOOKUP($C13,Контейнеры!$B$16:$AB$104,16,0)</f>
        <v>0</v>
      </c>
      <c r="AE13" s="173">
        <f>VLOOKUP($C13,Контейнеры!$B$16:$AB$104,8,0)</f>
        <v>0</v>
      </c>
      <c r="AF13" s="173">
        <f>VLOOKUP($C13,Контейнеры!$B$16:$AB$104,11,0)</f>
        <v>0</v>
      </c>
      <c r="AG13" s="216">
        <f>VLOOKUP($C13,Контейнеры!$B$16:$AB$104,17,0)</f>
        <v>0</v>
      </c>
      <c r="AH13" s="213"/>
      <c r="AI13" s="214"/>
      <c r="AJ13" s="215"/>
      <c r="AK13" s="231"/>
      <c r="AL13" s="170"/>
      <c r="AM13" s="170"/>
      <c r="AN13" s="232"/>
      <c r="AO13" s="257">
        <f>VLOOKUP($C13,Обработка!$B$16:$L$104,6,0)</f>
        <v>0.751</v>
      </c>
      <c r="AP13" s="250">
        <f t="shared" si="4"/>
        <v>0.208</v>
      </c>
      <c r="AQ13" s="250">
        <f>VLOOKUP($C13,Обработка!$B$16:$L$104,7,0)</f>
        <v>1</v>
      </c>
      <c r="AR13" s="255">
        <f t="shared" si="5"/>
        <v>0.193</v>
      </c>
      <c r="AS13" s="253">
        <f>VLOOKUP($C13,Утилизация!$B$16:$L$104,6,0)</f>
        <v>0.067</v>
      </c>
      <c r="AT13" s="251">
        <f t="shared" si="6"/>
        <v>-0.072</v>
      </c>
      <c r="AU13" s="250">
        <f>VLOOKUP($C13,Утилизация!$B$16:$L$104,7,0)</f>
        <v>0.5</v>
      </c>
      <c r="AV13" s="256">
        <f t="shared" si="7"/>
        <v>0.214</v>
      </c>
      <c r="AW13" s="284" t="str">
        <f>VLOOKUP(C13,Захоронение!$B$16:$Q$104,16,0)</f>
        <v/>
      </c>
      <c r="AX13" s="231"/>
      <c r="AY13" s="170"/>
      <c r="AZ13" s="170"/>
      <c r="BA13" s="171"/>
      <c r="BB13" s="280" t="str">
        <f>VLOOKUP(C13,'ДК ИП'!$B$16:$S$104,5,0)</f>
        <v>нет</v>
      </c>
      <c r="BC13" s="327">
        <f>VLOOKUP(C13,'Радар олд'!$B$3:$E$87,4,0)</f>
        <v>0.103434175401852</v>
      </c>
      <c r="BD13" s="171"/>
      <c r="BI13" s="9">
        <f t="shared" si="8"/>
        <v>0</v>
      </c>
      <c r="BJ13" s="9">
        <f>VLOOKUP(C13,Штаб!$B$16:$C$104,2)</f>
        <v>1</v>
      </c>
      <c r="BK13" s="9">
        <f>VLOOKUP(C13,'РО - регионы'!$B$16:$C$104,2)</f>
        <v>0</v>
      </c>
      <c r="BL13" s="9">
        <f>VLOOKUP(C13,'РО - регионы'!$B$16:$L$104,11)</f>
        <v>0</v>
      </c>
      <c r="BM13" s="9">
        <f>VLOOKUP(C13,Спецтехника!$B$16:$C$104,2)</f>
        <v>0</v>
      </c>
      <c r="BN13" s="9">
        <f>VLOOKUP($C13,МНО!$B$16:$AB$104,6,0)</f>
        <v>0</v>
      </c>
      <c r="BO13" s="9">
        <f>VLOOKUP($C13,МНО!$B$16:$AB$104,4,0)</f>
        <v>0</v>
      </c>
      <c r="BP13" s="9">
        <f>VLOOKUP($C13,МНО!$B$16:$AB$104,5,0)</f>
        <v>0</v>
      </c>
      <c r="BQ13" s="9">
        <f>VLOOKUP($C13,Контейнеры!$B$16:$G$104,6,0)</f>
        <v>0</v>
      </c>
      <c r="BR13" s="9">
        <f>VLOOKUP($C13,Контейнеры!$B$16:$G$104,4,0)</f>
        <v>0</v>
      </c>
      <c r="BS13" s="9">
        <f>VLOOKUP($C13,Контейнеры!$B$16:$G$104,5,0)</f>
        <v>0</v>
      </c>
      <c r="BT13" s="9">
        <f>VLOOKUP($C13,'ДК МНО'!$B$16:$C$104,2,0)</f>
        <v>2</v>
      </c>
      <c r="BU13" s="9">
        <f>VLOOKUP($C13,Обработка!$B$16:$F$104,5,0)</f>
        <v>0</v>
      </c>
      <c r="BV13" s="9">
        <f>VLOOKUP($C13,Обработка!$B$16:$F$104,4,0)</f>
        <v>0</v>
      </c>
      <c r="BW13" s="9">
        <f>VLOOKUP($C13,Утилизация!$B$16:$F$104,5,0)</f>
        <v>0</v>
      </c>
      <c r="BX13" s="9">
        <f>VLOOKUP($C13,Утилизация!$B$16:$F$104,4,0)</f>
        <v>2</v>
      </c>
      <c r="BY13" s="9">
        <f>VLOOKUP($C13,Захоронение!$B$16:$C$104,2,0)</f>
        <v>0</v>
      </c>
      <c r="BZ13" s="9">
        <f>VLOOKUP($C13,'ДК ИП'!$B$16:$C$104,2,0)</f>
        <v>0</v>
      </c>
      <c r="CA13" s="9">
        <f t="shared" si="9"/>
        <v>0.1</v>
      </c>
    </row>
    <row r="14" ht="30" customHeight="1" spans="1:79">
      <c r="A14" s="6" t="s">
        <v>70</v>
      </c>
      <c r="B14" s="331">
        <f t="shared" si="3"/>
        <v>4</v>
      </c>
      <c r="C14" s="332" t="s">
        <v>72</v>
      </c>
      <c r="D14" s="333" t="str">
        <f>VLOOKUP($C14,Штаб!$B$16:$J$104,6,0)</f>
        <v/>
      </c>
      <c r="E14" s="334" t="str">
        <f>VLOOKUP($C14,Штаб!$B$16:$J$104,7,0)</f>
        <v/>
      </c>
      <c r="F14" s="334" t="str">
        <f>VLOOKUP($C14,Штаб!$B$16:$J$104,8,0)</f>
        <v>✔️</v>
      </c>
      <c r="G14" s="335" t="str">
        <f>VLOOKUP($C14,Штаб!$B$16:$J$104,9,0)</f>
        <v/>
      </c>
      <c r="H14" s="284" t="str">
        <f>VLOOKUP(C14,'РО - регионы'!$B$16:$I$104,8,0)</f>
        <v>0 / 0 / 1 из 1</v>
      </c>
      <c r="I14" s="169"/>
      <c r="J14" s="137"/>
      <c r="K14" s="170"/>
      <c r="L14" s="170"/>
      <c r="M14" s="171"/>
      <c r="N14" s="172">
        <f>VLOOKUP(C14,Спецтехника!$B$16:$J$104,4,0)</f>
        <v>171</v>
      </c>
      <c r="O14" s="173">
        <f>VLOOKUP(C14,Спецтехника!$B$16:$J$104,5,0)</f>
        <v>171</v>
      </c>
      <c r="P14" s="173">
        <f>VLOOKUP(C14,Спецтехника!$B$16:$J$104,6,0)</f>
        <v>0</v>
      </c>
      <c r="Q14" s="196">
        <f>VLOOKUP(C14,Спецтехника!$B$16:$J$104,7,0)</f>
        <v>0</v>
      </c>
      <c r="R14" s="197"/>
      <c r="S14" s="137"/>
      <c r="T14" s="170"/>
      <c r="U14" s="170"/>
      <c r="V14" s="171"/>
      <c r="W14" s="172">
        <f>VLOOKUP($C14,МНО!$B$16:$AB$104,16,0)</f>
        <v>4970</v>
      </c>
      <c r="X14" s="173">
        <f>VLOOKUP($C14,МНО!$B$16:$AB$104,8,0)</f>
        <v>4920</v>
      </c>
      <c r="Y14" s="173">
        <f>VLOOKUP($C14,МНО!$B$16:$AB$104,11,0)</f>
        <v>50</v>
      </c>
      <c r="Z14" s="216">
        <f>VLOOKUP($C14,МНО!$B$16:$AB$104,17,0)</f>
        <v>0.0100603621730382</v>
      </c>
      <c r="AA14" s="213"/>
      <c r="AB14" s="214">
        <f>VLOOKUP($C14,МНО!$B$16:$AB$104,13,0)</f>
        <v>6.53070053836006</v>
      </c>
      <c r="AC14" s="215">
        <f>VLOOKUP($C14,МНО!$B$16:$AB$104,18,0)</f>
        <v>1</v>
      </c>
      <c r="AD14" s="174">
        <f>VLOOKUP($C14,Контейнеры!$B$16:$AB$104,16,0)</f>
        <v>12524</v>
      </c>
      <c r="AE14" s="175">
        <f>VLOOKUP($C14,Контейнеры!$B$16:$AB$104,8,0)</f>
        <v>12374</v>
      </c>
      <c r="AF14" s="175">
        <f>VLOOKUP($C14,Контейнеры!$B$16:$AB$104,11,0)</f>
        <v>150</v>
      </c>
      <c r="AG14" s="212">
        <f>VLOOKUP($C14,Контейнеры!$B$16:$AB$104,17,0)</f>
        <v>0.0119770041520281</v>
      </c>
      <c r="AH14" s="213"/>
      <c r="AI14" s="214">
        <f>VLOOKUP($C14,Контейнеры!$B$16:$AB$104,13,0)</f>
        <v>18.8502189087164</v>
      </c>
      <c r="AJ14" s="215">
        <f>VLOOKUP($C14,Контейнеры!$B$16:$AB$104,18,0)</f>
        <v>1</v>
      </c>
      <c r="AK14" s="231"/>
      <c r="AL14" s="170"/>
      <c r="AM14" s="170"/>
      <c r="AN14" s="232"/>
      <c r="AO14" s="257">
        <f>VLOOKUP($C14,Обработка!$B$16:$L$104,6,0)</f>
        <v>0.996</v>
      </c>
      <c r="AP14" s="250">
        <f t="shared" si="4"/>
        <v>0.453</v>
      </c>
      <c r="AQ14" s="250">
        <f>VLOOKUP($C14,Обработка!$B$16:$L$104,7,0)</f>
        <v>0.85</v>
      </c>
      <c r="AR14" s="255">
        <f t="shared" si="5"/>
        <v>0.0429999999999999</v>
      </c>
      <c r="AS14" s="258">
        <f>VLOOKUP($C14,Утилизация!$B$16:$L$104,6,0)</f>
        <v>0.07</v>
      </c>
      <c r="AT14" s="259">
        <f t="shared" si="6"/>
        <v>-0.069</v>
      </c>
      <c r="AU14" s="251">
        <f>VLOOKUP($C14,Утилизация!$B$16:$L$104,7,0)</f>
        <v>0.063</v>
      </c>
      <c r="AV14" s="254">
        <f t="shared" si="7"/>
        <v>-0.223</v>
      </c>
      <c r="AW14" s="284" t="str">
        <f>VLOOKUP(C14,Захоронение!$B$16:$Q$104,16,0)</f>
        <v/>
      </c>
      <c r="AX14" s="231"/>
      <c r="AY14" s="170"/>
      <c r="AZ14" s="170"/>
      <c r="BA14" s="171"/>
      <c r="BB14" s="280" t="str">
        <f>VLOOKUP(C14,'ДК ИП'!$B$16:$S$104,5,0)</f>
        <v>не подписана</v>
      </c>
      <c r="BC14" s="327">
        <f>VLOOKUP(C14,'Радар олд'!$B$3:$E$87,4,0)</f>
        <v>0.0655050438883794</v>
      </c>
      <c r="BD14" s="171"/>
      <c r="BI14" s="9">
        <f t="shared" si="8"/>
        <v>0</v>
      </c>
      <c r="BJ14" s="9">
        <f>VLOOKUP(C14,Штаб!$B$16:$C$104,2)</f>
        <v>1</v>
      </c>
      <c r="BK14" s="9">
        <f>VLOOKUP(C14,'РО - регионы'!$B$16:$C$104,2)</f>
        <v>0</v>
      </c>
      <c r="BL14" s="9">
        <f>VLOOKUP(C14,'РО - регионы'!$B$16:$L$104,11)</f>
        <v>0</v>
      </c>
      <c r="BM14" s="9">
        <f>VLOOKUP(C14,Спецтехника!$B$16:$C$104,2)</f>
        <v>0</v>
      </c>
      <c r="BN14" s="9">
        <f>VLOOKUP($C14,МНО!$B$16:$AB$104,6,0)</f>
        <v>0</v>
      </c>
      <c r="BO14" s="9">
        <f>VLOOKUP($C14,МНО!$B$16:$AB$104,4,0)</f>
        <v>0</v>
      </c>
      <c r="BP14" s="9">
        <f>VLOOKUP($C14,МНО!$B$16:$AB$104,5,0)</f>
        <v>0</v>
      </c>
      <c r="BQ14" s="9">
        <f>VLOOKUP($C14,Контейнеры!$B$16:$G$104,6,0)</f>
        <v>0</v>
      </c>
      <c r="BR14" s="9">
        <f>VLOOKUP($C14,Контейнеры!$B$16:$G$104,4,0)</f>
        <v>0</v>
      </c>
      <c r="BS14" s="9">
        <f>VLOOKUP($C14,Контейнеры!$B$16:$G$104,5,0)</f>
        <v>0</v>
      </c>
      <c r="BT14" s="9">
        <f>VLOOKUP($C14,'ДК МНО'!$B$16:$C$104,2,0)</f>
        <v>2</v>
      </c>
      <c r="BU14" s="9">
        <f>VLOOKUP($C14,Обработка!$B$16:$F$104,5,0)</f>
        <v>0</v>
      </c>
      <c r="BV14" s="9">
        <f>VLOOKUP($C14,Обработка!$B$16:$F$104,4,0)</f>
        <v>0</v>
      </c>
      <c r="BW14" s="9">
        <f>VLOOKUP($C14,Утилизация!$B$16:$F$104,5,0)</f>
        <v>2</v>
      </c>
      <c r="BX14" s="9">
        <f>VLOOKUP($C14,Утилизация!$B$16:$F$104,4,0)</f>
        <v>1</v>
      </c>
      <c r="BY14" s="9">
        <f>VLOOKUP($C14,Захоронение!$B$16:$C$104,2,0)</f>
        <v>0</v>
      </c>
      <c r="BZ14" s="9">
        <f>VLOOKUP($C14,'ДК ИП'!$B$16:$C$104,2,0)</f>
        <v>0</v>
      </c>
      <c r="CA14" s="9">
        <f t="shared" si="9"/>
        <v>0.15</v>
      </c>
    </row>
    <row r="15" ht="30" customHeight="1" spans="1:79">
      <c r="A15" s="6" t="s">
        <v>67</v>
      </c>
      <c r="B15" s="331">
        <f t="shared" si="3"/>
        <v>5</v>
      </c>
      <c r="C15" s="332" t="s">
        <v>73</v>
      </c>
      <c r="D15" s="333" t="str">
        <f>VLOOKUP($C15,Штаб!$B$16:$J$104,6,0)</f>
        <v/>
      </c>
      <c r="E15" s="334" t="str">
        <f>VLOOKUP($C15,Штаб!$B$16:$J$104,7,0)</f>
        <v>✔️</v>
      </c>
      <c r="F15" s="334" t="str">
        <f>VLOOKUP($C15,Штаб!$B$16:$J$104,8,0)</f>
        <v/>
      </c>
      <c r="G15" s="335" t="str">
        <f>VLOOKUP($C15,Штаб!$B$16:$J$104,9,0)</f>
        <v/>
      </c>
      <c r="H15" s="284" t="str">
        <f>VLOOKUP(C15,'РО - регионы'!$B$16:$I$104,8,0)</f>
        <v>0 / 0 / 2 из 2</v>
      </c>
      <c r="I15" s="169"/>
      <c r="J15" s="137"/>
      <c r="K15" s="170"/>
      <c r="L15" s="170"/>
      <c r="M15" s="171"/>
      <c r="N15" s="174">
        <f>VLOOKUP(C15,Спецтехника!$B$16:$J$104,4,0)</f>
        <v>272</v>
      </c>
      <c r="O15" s="175">
        <f>VLOOKUP(C15,Спецтехника!$B$16:$J$104,5,0)</f>
        <v>243</v>
      </c>
      <c r="P15" s="175">
        <f>VLOOKUP(C15,Спецтехника!$B$16:$J$104,6,0)</f>
        <v>29</v>
      </c>
      <c r="Q15" s="198">
        <f>VLOOKUP(C15,Спецтехника!$B$16:$J$104,7,0)</f>
        <v>0.106617647058824</v>
      </c>
      <c r="R15" s="197"/>
      <c r="S15" s="137"/>
      <c r="T15" s="170"/>
      <c r="U15" s="170"/>
      <c r="V15" s="171"/>
      <c r="W15" s="172">
        <f>VLOOKUP($C15,МНО!$B$16:$AB$104,16,0)</f>
        <v>10374</v>
      </c>
      <c r="X15" s="173">
        <f>VLOOKUP($C15,МНО!$B$16:$AB$104,8,0)</f>
        <v>9955</v>
      </c>
      <c r="Y15" s="173">
        <f>VLOOKUP($C15,МНО!$B$16:$AB$104,11,0)</f>
        <v>419</v>
      </c>
      <c r="Z15" s="216">
        <f>VLOOKUP($C15,МНО!$B$16:$AB$104,17,0)</f>
        <v>0.0403894351262772</v>
      </c>
      <c r="AA15" s="213"/>
      <c r="AB15" s="214">
        <f>VLOOKUP($C15,МНО!$B$16:$AB$104,13,0)</f>
        <v>5.70781842652637</v>
      </c>
      <c r="AC15" s="215">
        <f>VLOOKUP($C15,МНО!$B$16:$AB$104,18,0)</f>
        <v>1</v>
      </c>
      <c r="AD15" s="172">
        <f>VLOOKUP($C15,Контейнеры!$B$16:$AB$104,16,0)</f>
        <v>19938</v>
      </c>
      <c r="AE15" s="173">
        <f>VLOOKUP($C15,Контейнеры!$B$16:$AB$104,8,0)</f>
        <v>16568</v>
      </c>
      <c r="AF15" s="173">
        <f>VLOOKUP($C15,Контейнеры!$B$16:$AB$104,11,0)</f>
        <v>3370</v>
      </c>
      <c r="AG15" s="216">
        <f>VLOOKUP($C15,Контейнеры!$B$16:$AB$104,17,0)</f>
        <v>0.169023974320393</v>
      </c>
      <c r="AH15" s="213"/>
      <c r="AI15" s="214">
        <f>VLOOKUP($C15,Контейнеры!$B$16:$AB$104,13,0)</f>
        <v>11.2620144921625</v>
      </c>
      <c r="AJ15" s="215">
        <f>VLOOKUP($C15,Контейнеры!$B$16:$AB$104,18,0)</f>
        <v>0.538411542961133</v>
      </c>
      <c r="AK15" s="231"/>
      <c r="AL15" s="170"/>
      <c r="AM15" s="170"/>
      <c r="AN15" s="232"/>
      <c r="AO15" s="261">
        <f>VLOOKUP($C15,Обработка!$B$16:$L$104,6,0)</f>
        <v>0.414</v>
      </c>
      <c r="AP15" s="259">
        <f t="shared" si="4"/>
        <v>-0.129</v>
      </c>
      <c r="AQ15" s="250">
        <f>VLOOKUP($C15,Обработка!$B$16:$L$104,7,0)</f>
        <v>1</v>
      </c>
      <c r="AR15" s="255">
        <f t="shared" si="5"/>
        <v>0.193</v>
      </c>
      <c r="AS15" s="258">
        <f>VLOOKUP($C15,Утилизация!$B$16:$L$104,6,0)</f>
        <v>0.124</v>
      </c>
      <c r="AT15" s="259">
        <f t="shared" si="6"/>
        <v>-0.015</v>
      </c>
      <c r="AU15" s="259">
        <f>VLOOKUP($C15,Утилизация!$B$16:$L$104,7,0)</f>
        <v>0.259</v>
      </c>
      <c r="AV15" s="260">
        <f t="shared" si="7"/>
        <v>-0.027</v>
      </c>
      <c r="AW15" s="284" t="str">
        <f>VLOOKUP(C15,Захоронение!$B$16:$Q$104,16,0)</f>
        <v/>
      </c>
      <c r="AX15" s="231"/>
      <c r="AY15" s="170"/>
      <c r="AZ15" s="170"/>
      <c r="BA15" s="171"/>
      <c r="BB15" s="280" t="str">
        <f>VLOOKUP(C15,'ДК ИП'!$B$16:$S$104,5,0)</f>
        <v>не подписана</v>
      </c>
      <c r="BC15" s="327">
        <f>VLOOKUP(C15,'Радар олд'!$B$3:$E$87,4,0)</f>
        <v>0.06049730141251</v>
      </c>
      <c r="BD15" s="171"/>
      <c r="BI15" s="9">
        <f t="shared" si="8"/>
        <v>0</v>
      </c>
      <c r="BJ15" s="9">
        <f>VLOOKUP(C15,Штаб!$B$16:$C$104,2)</f>
        <v>1</v>
      </c>
      <c r="BK15" s="9">
        <f>VLOOKUP(C15,'РО - регионы'!$B$16:$C$104,2)</f>
        <v>0</v>
      </c>
      <c r="BL15" s="9">
        <f>VLOOKUP(C15,'РО - регионы'!$B$16:$L$104,11)</f>
        <v>0</v>
      </c>
      <c r="BM15" s="9">
        <f>VLOOKUP(C15,Спецтехника!$B$16:$C$104,2)</f>
        <v>1</v>
      </c>
      <c r="BN15" s="9">
        <f>VLOOKUP($C15,МНО!$B$16:$AB$104,6,0)</f>
        <v>0</v>
      </c>
      <c r="BO15" s="9">
        <f>VLOOKUP($C15,МНО!$B$16:$AB$104,4,0)</f>
        <v>1</v>
      </c>
      <c r="BP15" s="9">
        <f>VLOOKUP($C15,МНО!$B$16:$AB$104,5,0)</f>
        <v>0</v>
      </c>
      <c r="BQ15" s="9">
        <f>VLOOKUP($C15,Контейнеры!$B$16:$G$104,6,0)</f>
        <v>1</v>
      </c>
      <c r="BR15" s="9">
        <f>VLOOKUP($C15,Контейнеры!$B$16:$G$104,4,0)</f>
        <v>0</v>
      </c>
      <c r="BS15" s="9">
        <f>VLOOKUP($C15,Контейнеры!$B$16:$G$104,5,0)</f>
        <v>2</v>
      </c>
      <c r="BT15" s="9">
        <f>VLOOKUP($C15,'ДК МНО'!$B$16:$C$104,2,0)</f>
        <v>2</v>
      </c>
      <c r="BU15" s="9">
        <f>VLOOKUP($C15,Обработка!$B$16:$F$104,5,0)</f>
        <v>0</v>
      </c>
      <c r="BV15" s="9">
        <f>VLOOKUP($C15,Обработка!$B$16:$F$104,4,0)</f>
        <v>1</v>
      </c>
      <c r="BW15" s="9">
        <f>VLOOKUP($C15,Утилизация!$B$16:$F$104,5,0)</f>
        <v>1</v>
      </c>
      <c r="BX15" s="9">
        <f>VLOOKUP($C15,Утилизация!$B$16:$F$104,4,0)</f>
        <v>1</v>
      </c>
      <c r="BY15" s="9">
        <f>VLOOKUP($C15,Захоронение!$B$16:$C$104,2,0)</f>
        <v>0</v>
      </c>
      <c r="BZ15" s="9">
        <f>VLOOKUP($C15,'ДК ИП'!$B$16:$C$104,2,0)</f>
        <v>0</v>
      </c>
      <c r="CA15" s="9">
        <f t="shared" si="9"/>
        <v>0.3</v>
      </c>
    </row>
    <row r="16" ht="30" customHeight="1" spans="1:79">
      <c r="A16" s="6" t="s">
        <v>74</v>
      </c>
      <c r="B16" s="331">
        <f t="shared" si="3"/>
        <v>6</v>
      </c>
      <c r="C16" s="332" t="s">
        <v>75</v>
      </c>
      <c r="D16" s="333" t="str">
        <f>VLOOKUP($C16,Штаб!$B$16:$J$104,6,0)</f>
        <v/>
      </c>
      <c r="E16" s="334" t="str">
        <f>VLOOKUP($C16,Штаб!$B$16:$J$104,7,0)</f>
        <v>✔️</v>
      </c>
      <c r="F16" s="334" t="str">
        <f>VLOOKUP($C16,Штаб!$B$16:$J$104,8,0)</f>
        <v/>
      </c>
      <c r="G16" s="335" t="str">
        <f>VLOOKUP($C16,Штаб!$B$16:$J$104,9,0)</f>
        <v/>
      </c>
      <c r="H16" s="284" t="str">
        <f>VLOOKUP(C16,'РО - регионы'!$B$16:$I$104,8,0)</f>
        <v>0 / 0 / 2 из 2</v>
      </c>
      <c r="I16" s="169"/>
      <c r="J16" s="137"/>
      <c r="K16" s="170"/>
      <c r="L16" s="170"/>
      <c r="M16" s="171"/>
      <c r="N16" s="172">
        <f>VLOOKUP(C16,Спецтехника!$B$16:$J$104,4,0)</f>
        <v>334</v>
      </c>
      <c r="O16" s="173">
        <f>VLOOKUP(C16,Спецтехника!$B$16:$J$104,5,0)</f>
        <v>320</v>
      </c>
      <c r="P16" s="173">
        <f>VLOOKUP(C16,Спецтехника!$B$16:$J$104,6,0)</f>
        <v>14</v>
      </c>
      <c r="Q16" s="196">
        <f>VLOOKUP(C16,Спецтехника!$B$16:$J$104,7,0)</f>
        <v>0.0419161676646707</v>
      </c>
      <c r="R16" s="197"/>
      <c r="S16" s="137"/>
      <c r="T16" s="170"/>
      <c r="U16" s="170"/>
      <c r="V16" s="171"/>
      <c r="W16" s="174">
        <f>VLOOKUP($C16,МНО!$B$16:$AB$104,16,0)</f>
        <v>19326</v>
      </c>
      <c r="X16" s="175">
        <f>VLOOKUP($C16,МНО!$B$16:$AB$104,8,0)</f>
        <v>15259</v>
      </c>
      <c r="Y16" s="175">
        <f>VLOOKUP($C16,МНО!$B$16:$AB$104,11,0)</f>
        <v>4067</v>
      </c>
      <c r="Z16" s="212">
        <f>VLOOKUP($C16,МНО!$B$16:$AB$104,17,0)</f>
        <v>0.210441891752044</v>
      </c>
      <c r="AA16" s="213"/>
      <c r="AB16" s="214">
        <f>VLOOKUP($C16,МНО!$B$16:$AB$104,13,0)</f>
        <v>3.11739948079148</v>
      </c>
      <c r="AC16" s="215">
        <f>VLOOKUP($C16,МНО!$B$16:$AB$104,18,0)</f>
        <v>1</v>
      </c>
      <c r="AD16" s="174">
        <f>VLOOKUP($C16,Контейнеры!$B$16:$AB$104,16,0)</f>
        <v>44672</v>
      </c>
      <c r="AE16" s="175">
        <f>VLOOKUP($C16,Контейнеры!$B$16:$AB$104,8,0)</f>
        <v>32765</v>
      </c>
      <c r="AF16" s="175">
        <f>VLOOKUP($C16,Контейнеры!$B$16:$AB$104,11,0)</f>
        <v>11907</v>
      </c>
      <c r="AG16" s="212">
        <f>VLOOKUP($C16,Контейнеры!$B$16:$AB$104,17,0)</f>
        <v>0.266542800859599</v>
      </c>
      <c r="AH16" s="213"/>
      <c r="AI16" s="214">
        <f>VLOOKUP($C16,Контейнеры!$B$16:$AB$104,13,0)</f>
        <v>8.18507845084806</v>
      </c>
      <c r="AJ16" s="215">
        <f>VLOOKUP($C16,Контейнеры!$B$16:$AB$104,18,0)</f>
        <v>0.936865582020416</v>
      </c>
      <c r="AK16" s="231"/>
      <c r="AL16" s="170"/>
      <c r="AM16" s="170"/>
      <c r="AN16" s="232"/>
      <c r="AO16" s="249">
        <f>VLOOKUP($C16,Обработка!$B$16:$L$104,6,0)</f>
        <v>0.271</v>
      </c>
      <c r="AP16" s="251">
        <f t="shared" si="4"/>
        <v>-0.272</v>
      </c>
      <c r="AQ16" s="250">
        <f>VLOOKUP($C16,Обработка!$B$16:$L$104,7,0)</f>
        <v>1</v>
      </c>
      <c r="AR16" s="255">
        <f t="shared" si="5"/>
        <v>0.193</v>
      </c>
      <c r="AS16" s="258">
        <f>VLOOKUP($C16,Утилизация!$B$16:$L$104,6,0)</f>
        <v>0.118</v>
      </c>
      <c r="AT16" s="259">
        <f t="shared" si="6"/>
        <v>-0.021</v>
      </c>
      <c r="AU16" s="250">
        <f>VLOOKUP($C16,Утилизация!$B$16:$L$104,7,0)</f>
        <v>0.327198</v>
      </c>
      <c r="AV16" s="256">
        <f t="shared" si="7"/>
        <v>0.041198</v>
      </c>
      <c r="AW16" s="284" t="str">
        <f>VLOOKUP(C16,Захоронение!$B$16:$Q$104,16,0)</f>
        <v/>
      </c>
      <c r="AX16" s="231"/>
      <c r="AY16" s="170"/>
      <c r="AZ16" s="170"/>
      <c r="BA16" s="171"/>
      <c r="BB16" s="280" t="str">
        <f>VLOOKUP(C16,'ДК ИП'!$B$16:$S$104,5,0)</f>
        <v>небольшое</v>
      </c>
      <c r="BC16" s="327">
        <f>VLOOKUP(C16,'Радар олд'!$B$3:$E$87,4,0)</f>
        <v>0.115662790256147</v>
      </c>
      <c r="BD16" s="171"/>
      <c r="BI16" s="9">
        <f t="shared" si="8"/>
        <v>0</v>
      </c>
      <c r="BJ16" s="9">
        <f>VLOOKUP(C16,Штаб!$B$16:$C$104,2)</f>
        <v>1</v>
      </c>
      <c r="BK16" s="9">
        <f>VLOOKUP(C16,'РО - регионы'!$B$16:$C$104,2)</f>
        <v>0</v>
      </c>
      <c r="BL16" s="9">
        <f>VLOOKUP(C16,'РО - регионы'!$B$16:$L$104,11)</f>
        <v>0</v>
      </c>
      <c r="BM16" s="9">
        <f>VLOOKUP(C16,Спецтехника!$B$16:$C$104,2)</f>
        <v>0</v>
      </c>
      <c r="BN16" s="9">
        <f>VLOOKUP($C16,МНО!$B$16:$AB$104,6,0)</f>
        <v>1</v>
      </c>
      <c r="BO16" s="9">
        <f>VLOOKUP($C16,МНО!$B$16:$AB$104,4,0)</f>
        <v>1</v>
      </c>
      <c r="BP16" s="9">
        <f>VLOOKUP($C16,МНО!$B$16:$AB$104,5,0)</f>
        <v>0</v>
      </c>
      <c r="BQ16" s="9">
        <f>VLOOKUP($C16,Контейнеры!$B$16:$G$104,6,0)</f>
        <v>1</v>
      </c>
      <c r="BR16" s="9">
        <f>VLOOKUP($C16,Контейнеры!$B$16:$G$104,4,0)</f>
        <v>0</v>
      </c>
      <c r="BS16" s="9">
        <f>VLOOKUP($C16,Контейнеры!$B$16:$G$104,5,0)</f>
        <v>0</v>
      </c>
      <c r="BT16" s="9">
        <f>VLOOKUP($C16,'ДК МНО'!$B$16:$C$104,2,0)</f>
        <v>2</v>
      </c>
      <c r="BU16" s="9">
        <f>VLOOKUP($C16,Обработка!$B$16:$F$104,5,0)</f>
        <v>0</v>
      </c>
      <c r="BV16" s="9">
        <f>VLOOKUP($C16,Обработка!$B$16:$F$104,4,0)</f>
        <v>2</v>
      </c>
      <c r="BW16" s="9">
        <f>VLOOKUP($C16,Утилизация!$B$16:$F$104,5,0)</f>
        <v>0</v>
      </c>
      <c r="BX16" s="9">
        <f>VLOOKUP($C16,Утилизация!$B$16:$F$104,4,0)</f>
        <v>1</v>
      </c>
      <c r="BY16" s="9">
        <f>VLOOKUP($C16,Захоронение!$B$16:$C$104,2,0)</f>
        <v>0</v>
      </c>
      <c r="BZ16" s="9">
        <f>VLOOKUP($C16,'ДК ИП'!$B$16:$C$104,2,0)</f>
        <v>0</v>
      </c>
      <c r="CA16" s="9">
        <f t="shared" si="9"/>
        <v>0.3</v>
      </c>
    </row>
    <row r="17" ht="30" customHeight="1" spans="1:79">
      <c r="A17" s="6" t="s">
        <v>74</v>
      </c>
      <c r="B17" s="331">
        <f t="shared" si="3"/>
        <v>7</v>
      </c>
      <c r="C17" s="332" t="s">
        <v>76</v>
      </c>
      <c r="D17" s="333" t="str">
        <f>VLOOKUP($C17,Штаб!$B$16:$J$104,6,0)</f>
        <v/>
      </c>
      <c r="E17" s="334" t="str">
        <f>VLOOKUP($C17,Штаб!$B$16:$J$104,7,0)</f>
        <v/>
      </c>
      <c r="F17" s="334" t="str">
        <f>VLOOKUP($C17,Штаб!$B$16:$J$104,8,0)</f>
        <v/>
      </c>
      <c r="G17" s="335" t="str">
        <f>VLOOKUP($C17,Штаб!$B$16:$J$104,9,0)</f>
        <v>✔️</v>
      </c>
      <c r="H17" s="284" t="str">
        <f>VLOOKUP(C17,'РО - регионы'!$B$16:$I$104,8,0)</f>
        <v>0 / 0 / 1 из 1</v>
      </c>
      <c r="I17" s="169"/>
      <c r="J17" s="137"/>
      <c r="K17" s="170"/>
      <c r="L17" s="170"/>
      <c r="M17" s="171"/>
      <c r="N17" s="172">
        <f>VLOOKUP(C17,Спецтехника!$B$16:$J$104,4,0)</f>
        <v>150</v>
      </c>
      <c r="O17" s="173">
        <f>VLOOKUP(C17,Спецтехника!$B$16:$J$104,5,0)</f>
        <v>150</v>
      </c>
      <c r="P17" s="173">
        <f>VLOOKUP(C17,Спецтехника!$B$16:$J$104,6,0)</f>
        <v>0</v>
      </c>
      <c r="Q17" s="196">
        <f>VLOOKUP(C17,Спецтехника!$B$16:$J$104,7,0)</f>
        <v>0</v>
      </c>
      <c r="R17" s="197"/>
      <c r="S17" s="137"/>
      <c r="T17" s="170"/>
      <c r="U17" s="170"/>
      <c r="V17" s="171"/>
      <c r="W17" s="172">
        <f>VLOOKUP($C17,МНО!$B$16:$AB$104,16,0)</f>
        <v>14213</v>
      </c>
      <c r="X17" s="173">
        <f>VLOOKUP($C17,МНО!$B$16:$AB$104,8,0)</f>
        <v>12185</v>
      </c>
      <c r="Y17" s="173">
        <f>VLOOKUP($C17,МНО!$B$16:$AB$104,11,0)</f>
        <v>2028</v>
      </c>
      <c r="Z17" s="216">
        <f>VLOOKUP($C17,МНО!$B$16:$AB$104,17,0)</f>
        <v>0.142686273130233</v>
      </c>
      <c r="AA17" s="213"/>
      <c r="AB17" s="214">
        <f>VLOOKUP($C17,МНО!$B$16:$AB$104,13,0)</f>
        <v>10.1731515529654</v>
      </c>
      <c r="AC17" s="215">
        <f>VLOOKUP($C17,МНО!$B$16:$AB$104,18,0)</f>
        <v>0.671645904530923</v>
      </c>
      <c r="AD17" s="176">
        <f>VLOOKUP($C17,Контейнеры!$B$16:$AB$104,16,0)</f>
        <v>24306</v>
      </c>
      <c r="AE17" s="177">
        <f>VLOOKUP($C17,Контейнеры!$B$16:$AB$104,8,0)</f>
        <v>19704</v>
      </c>
      <c r="AF17" s="177">
        <f>VLOOKUP($C17,Контейнеры!$B$16:$AB$104,11,0)</f>
        <v>4602</v>
      </c>
      <c r="AG17" s="217">
        <f>VLOOKUP($C17,Контейнеры!$B$16:$AB$104,17,0)</f>
        <v>0.189335966428042</v>
      </c>
      <c r="AH17" s="213"/>
      <c r="AI17" s="214">
        <f>VLOOKUP($C17,Контейнеры!$B$16:$AB$104,13,0)</f>
        <v>17.4381712222384</v>
      </c>
      <c r="AJ17" s="215">
        <f>VLOOKUP($C17,Контейнеры!$B$16:$AB$104,18,0)</f>
        <v>0.649632389304672</v>
      </c>
      <c r="AK17" s="231"/>
      <c r="AL17" s="170"/>
      <c r="AM17" s="170"/>
      <c r="AN17" s="232"/>
      <c r="AO17" s="249">
        <f>VLOOKUP($C17,Обработка!$B$16:$L$104,6,0)</f>
        <v>0</v>
      </c>
      <c r="AP17" s="251">
        <f t="shared" si="4"/>
        <v>-0.543</v>
      </c>
      <c r="AQ17" s="259">
        <f>VLOOKUP($C17,Обработка!$B$16:$L$104,7,0)</f>
        <v>0.788</v>
      </c>
      <c r="AR17" s="262">
        <f t="shared" si="5"/>
        <v>-0.0190000000000001</v>
      </c>
      <c r="AS17" s="253">
        <f>VLOOKUP($C17,Утилизация!$B$16:$L$104,6,0)</f>
        <v>0</v>
      </c>
      <c r="AT17" s="251">
        <f t="shared" si="6"/>
        <v>-0.139</v>
      </c>
      <c r="AU17" s="250">
        <f>VLOOKUP($C17,Утилизация!$B$16:$L$104,7,0)</f>
        <v>0.3043</v>
      </c>
      <c r="AV17" s="256">
        <f t="shared" si="7"/>
        <v>0.0183</v>
      </c>
      <c r="AW17" s="284" t="str">
        <f>VLOOKUP(C17,Захоронение!$B$16:$Q$104,16,0)</f>
        <v/>
      </c>
      <c r="AX17" s="231"/>
      <c r="AY17" s="170"/>
      <c r="AZ17" s="170"/>
      <c r="BA17" s="171"/>
      <c r="BB17" s="280" t="str">
        <f>VLOOKUP(C17,'ДК ИП'!$B$16:$S$104,5,0)</f>
        <v>небольшое</v>
      </c>
      <c r="BC17" s="327">
        <f>VLOOKUP(C17,'Радар олд'!$B$3:$E$87,4,0)</f>
        <v>0.0327452464079792</v>
      </c>
      <c r="BD17" s="171"/>
      <c r="BI17" s="9">
        <f t="shared" si="8"/>
        <v>0</v>
      </c>
      <c r="BJ17" s="9">
        <f>VLOOKUP(C17,Штаб!$B$16:$C$104,2)</f>
        <v>2</v>
      </c>
      <c r="BK17" s="9">
        <f>VLOOKUP(C17,'РО - регионы'!$B$16:$C$104,2)</f>
        <v>0</v>
      </c>
      <c r="BL17" s="9">
        <f>VLOOKUP(C17,'РО - регионы'!$B$16:$L$104,11)</f>
        <v>0</v>
      </c>
      <c r="BM17" s="9">
        <f>VLOOKUP(C17,Спецтехника!$B$16:$C$104,2)</f>
        <v>0</v>
      </c>
      <c r="BN17" s="9">
        <f>VLOOKUP($C17,МНО!$B$16:$AB$104,6,0)</f>
        <v>0</v>
      </c>
      <c r="BO17" s="9">
        <f>VLOOKUP($C17,МНО!$B$16:$AB$104,4,0)</f>
        <v>0</v>
      </c>
      <c r="BP17" s="9">
        <f>VLOOKUP($C17,МНО!$B$16:$AB$104,5,0)</f>
        <v>2</v>
      </c>
      <c r="BQ17" s="9">
        <f>VLOOKUP($C17,Контейнеры!$B$16:$G$104,6,0)</f>
        <v>1</v>
      </c>
      <c r="BR17" s="9">
        <f>VLOOKUP($C17,Контейнеры!$B$16:$G$104,4,0)</f>
        <v>0</v>
      </c>
      <c r="BS17" s="9">
        <f>VLOOKUP($C17,Контейнеры!$B$16:$G$104,5,0)</f>
        <v>2</v>
      </c>
      <c r="BT17" s="9">
        <f>VLOOKUP($C17,'ДК МНО'!$B$16:$C$104,2,0)</f>
        <v>2</v>
      </c>
      <c r="BU17" s="9">
        <f>VLOOKUP($C17,Обработка!$B$16:$F$104,5,0)</f>
        <v>1</v>
      </c>
      <c r="BV17" s="9">
        <f>VLOOKUP($C17,Обработка!$B$16:$F$104,4,0)</f>
        <v>2</v>
      </c>
      <c r="BW17" s="9">
        <f>VLOOKUP($C17,Утилизация!$B$16:$F$104,5,0)</f>
        <v>0</v>
      </c>
      <c r="BX17" s="9">
        <f>VLOOKUP($C17,Утилизация!$B$16:$F$104,4,0)</f>
        <v>2</v>
      </c>
      <c r="BY17" s="9">
        <f>VLOOKUP($C17,Захоронение!$B$16:$C$104,2,0)</f>
        <v>0</v>
      </c>
      <c r="BZ17" s="9">
        <f>VLOOKUP($C17,'ДК ИП'!$B$16:$C$104,2,0)</f>
        <v>0</v>
      </c>
      <c r="CA17" s="9">
        <f t="shared" si="9"/>
        <v>0.3</v>
      </c>
    </row>
    <row r="18" ht="30" customHeight="1" spans="1:79">
      <c r="A18" s="6" t="s">
        <v>67</v>
      </c>
      <c r="B18" s="331">
        <f t="shared" si="3"/>
        <v>8</v>
      </c>
      <c r="C18" s="332" t="s">
        <v>77</v>
      </c>
      <c r="D18" s="333" t="str">
        <f>VLOOKUP($C18,Штаб!$B$16:$J$104,6,0)</f>
        <v/>
      </c>
      <c r="E18" s="334" t="str">
        <f>VLOOKUP($C18,Штаб!$B$16:$J$104,7,0)</f>
        <v/>
      </c>
      <c r="F18" s="334" t="str">
        <f>VLOOKUP($C18,Штаб!$B$16:$J$104,8,0)</f>
        <v>✔️</v>
      </c>
      <c r="G18" s="335" t="str">
        <f>VLOOKUP($C18,Штаб!$B$16:$J$104,9,0)</f>
        <v/>
      </c>
      <c r="H18" s="284" t="str">
        <f>VLOOKUP(C18,'РО - регионы'!$B$16:$I$104,8,0)</f>
        <v>0 / 0 / 2 из 2</v>
      </c>
      <c r="I18" s="169"/>
      <c r="J18" s="137"/>
      <c r="K18" s="170"/>
      <c r="L18" s="170"/>
      <c r="M18" s="171"/>
      <c r="N18" s="172">
        <f>VLOOKUP(C18,Спецтехника!$B$16:$J$104,4,0)</f>
        <v>225</v>
      </c>
      <c r="O18" s="173">
        <f>VLOOKUP(C18,Спецтехника!$B$16:$J$104,5,0)</f>
        <v>207</v>
      </c>
      <c r="P18" s="173">
        <f>VLOOKUP(C18,Спецтехника!$B$16:$J$104,6,0)</f>
        <v>18</v>
      </c>
      <c r="Q18" s="196">
        <f>VLOOKUP(C18,Спецтехника!$B$16:$J$104,7,0)</f>
        <v>0.08</v>
      </c>
      <c r="R18" s="197"/>
      <c r="S18" s="137"/>
      <c r="T18" s="170"/>
      <c r="U18" s="170"/>
      <c r="V18" s="171"/>
      <c r="W18" s="176">
        <f>VLOOKUP($C18,МНО!$B$16:$AB$104,16,0)</f>
        <v>10443</v>
      </c>
      <c r="X18" s="177">
        <f>VLOOKUP($C18,МНО!$B$16:$AB$104,8,0)</f>
        <v>7506</v>
      </c>
      <c r="Y18" s="177">
        <f>VLOOKUP($C18,МНО!$B$16:$AB$104,11,0)</f>
        <v>2937</v>
      </c>
      <c r="Z18" s="217">
        <f>VLOOKUP($C18,МНО!$B$16:$AB$104,17,0)</f>
        <v>0.281241022694628</v>
      </c>
      <c r="AA18" s="213"/>
      <c r="AB18" s="214">
        <f>VLOOKUP($C18,МНО!$B$16:$AB$104,13,0)</f>
        <v>6.91399313030921</v>
      </c>
      <c r="AC18" s="215">
        <f>VLOOKUP($C18,МНО!$B$16:$AB$104,18,0)</f>
        <v>1</v>
      </c>
      <c r="AD18" s="176">
        <f>VLOOKUP($C18,Контейнеры!$B$16:$AB$104,16,0)</f>
        <v>23217</v>
      </c>
      <c r="AE18" s="177">
        <f>VLOOKUP($C18,Контейнеры!$B$16:$AB$104,8,0)</f>
        <v>16513</v>
      </c>
      <c r="AF18" s="177">
        <f>VLOOKUP($C18,Контейнеры!$B$16:$AB$104,11,0)</f>
        <v>6704</v>
      </c>
      <c r="AG18" s="217">
        <f>VLOOKUP($C18,Контейнеры!$B$16:$AB$104,17,0)</f>
        <v>0.288753930309687</v>
      </c>
      <c r="AH18" s="213"/>
      <c r="AI18" s="214">
        <f>VLOOKUP($C18,Контейнеры!$B$16:$AB$104,13,0)</f>
        <v>15.5652036211038</v>
      </c>
      <c r="AJ18" s="215">
        <f>VLOOKUP($C18,Контейнеры!$B$16:$AB$104,18,0)</f>
        <v>0.90018534670737</v>
      </c>
      <c r="AK18" s="231"/>
      <c r="AL18" s="170"/>
      <c r="AM18" s="170"/>
      <c r="AN18" s="232"/>
      <c r="AO18" s="261">
        <f>VLOOKUP($C18,Обработка!$B$16:$L$104,6,0)</f>
        <v>0.375</v>
      </c>
      <c r="AP18" s="259">
        <f t="shared" si="4"/>
        <v>-0.168</v>
      </c>
      <c r="AQ18" s="250">
        <f>VLOOKUP($C18,Обработка!$B$16:$L$104,7,0)</f>
        <v>1</v>
      </c>
      <c r="AR18" s="255">
        <f t="shared" si="5"/>
        <v>0.193</v>
      </c>
      <c r="AS18" s="253">
        <f>VLOOKUP($C18,Утилизация!$B$16:$L$104,6,0)</f>
        <v>0.015</v>
      </c>
      <c r="AT18" s="251">
        <f t="shared" si="6"/>
        <v>-0.124</v>
      </c>
      <c r="AU18" s="250">
        <f>VLOOKUP($C18,Утилизация!$B$16:$L$104,7,0)</f>
        <v>0.3</v>
      </c>
      <c r="AV18" s="256">
        <f t="shared" si="7"/>
        <v>0.014</v>
      </c>
      <c r="AW18" s="284" t="str">
        <f>VLOOKUP(C18,Захоронение!$B$16:$Q$104,16,0)</f>
        <v/>
      </c>
      <c r="AX18" s="231"/>
      <c r="AY18" s="170"/>
      <c r="AZ18" s="170"/>
      <c r="BA18" s="171"/>
      <c r="BB18" s="280" t="str">
        <f>VLOOKUP(C18,'ДК ИП'!$B$16:$S$104,5,0)</f>
        <v>нет</v>
      </c>
      <c r="BC18" s="327">
        <f>VLOOKUP(C18,'Радар олд'!$B$3:$E$87,4,0)</f>
        <v>0.0499579599054381</v>
      </c>
      <c r="BD18" s="171"/>
      <c r="BI18" s="9">
        <f t="shared" si="8"/>
        <v>0</v>
      </c>
      <c r="BJ18" s="9">
        <f>VLOOKUP(C18,Штаб!$B$16:$C$104,2)</f>
        <v>1</v>
      </c>
      <c r="BK18" s="9">
        <f>VLOOKUP(C18,'РО - регионы'!$B$16:$C$104,2)</f>
        <v>0</v>
      </c>
      <c r="BL18" s="9">
        <f>VLOOKUP(C18,'РО - регионы'!$B$16:$L$104,11)</f>
        <v>0</v>
      </c>
      <c r="BM18" s="9">
        <f>VLOOKUP(C18,Спецтехника!$B$16:$C$104,2)</f>
        <v>0</v>
      </c>
      <c r="BN18" s="9">
        <f>VLOOKUP($C18,МНО!$B$16:$AB$104,6,0)</f>
        <v>1</v>
      </c>
      <c r="BO18" s="9">
        <f>VLOOKUP($C18,МНО!$B$16:$AB$104,4,0)</f>
        <v>0</v>
      </c>
      <c r="BP18" s="9">
        <f>VLOOKUP($C18,МНО!$B$16:$AB$104,5,0)</f>
        <v>0</v>
      </c>
      <c r="BQ18" s="9">
        <f>VLOOKUP($C18,Контейнеры!$B$16:$G$104,6,0)</f>
        <v>1</v>
      </c>
      <c r="BR18" s="9">
        <f>VLOOKUP($C18,Контейнеры!$B$16:$G$104,4,0)</f>
        <v>0</v>
      </c>
      <c r="BS18" s="9">
        <f>VLOOKUP($C18,Контейнеры!$B$16:$G$104,5,0)</f>
        <v>1</v>
      </c>
      <c r="BT18" s="9">
        <f>VLOOKUP($C18,'ДК МНО'!$B$16:$C$104,2,0)</f>
        <v>2</v>
      </c>
      <c r="BU18" s="9">
        <f>VLOOKUP($C18,Обработка!$B$16:$F$104,5,0)</f>
        <v>0</v>
      </c>
      <c r="BV18" s="9">
        <f>VLOOKUP($C18,Обработка!$B$16:$F$104,4,0)</f>
        <v>1</v>
      </c>
      <c r="BW18" s="9">
        <f>VLOOKUP($C18,Утилизация!$B$16:$F$104,5,0)</f>
        <v>0</v>
      </c>
      <c r="BX18" s="9">
        <f>VLOOKUP($C18,Утилизация!$B$16:$F$104,4,0)</f>
        <v>2</v>
      </c>
      <c r="BY18" s="9">
        <f>VLOOKUP($C18,Захоронение!$B$16:$C$104,2,0)</f>
        <v>0</v>
      </c>
      <c r="BZ18" s="9">
        <f>VLOOKUP($C18,'ДК ИП'!$B$16:$C$104,2,0)</f>
        <v>0</v>
      </c>
      <c r="CA18" s="9">
        <f t="shared" si="9"/>
        <v>0.25</v>
      </c>
    </row>
    <row r="19" ht="30" customHeight="1" spans="1:79">
      <c r="A19" s="6" t="s">
        <v>78</v>
      </c>
      <c r="B19" s="331">
        <f t="shared" si="3"/>
        <v>9</v>
      </c>
      <c r="C19" s="332" t="s">
        <v>79</v>
      </c>
      <c r="D19" s="333" t="str">
        <f>VLOOKUP($C19,Штаб!$B$16:$J$104,6,0)</f>
        <v>✔️</v>
      </c>
      <c r="E19" s="334" t="str">
        <f>VLOOKUP($C19,Штаб!$B$16:$J$104,7,0)</f>
        <v/>
      </c>
      <c r="F19" s="334" t="str">
        <f>VLOOKUP($C19,Штаб!$B$16:$J$104,8,0)</f>
        <v/>
      </c>
      <c r="G19" s="335" t="str">
        <f>VLOOKUP($C19,Штаб!$B$16:$J$104,9,0)</f>
        <v/>
      </c>
      <c r="H19" s="283" t="str">
        <f>VLOOKUP(C19,'РО - регионы'!$B$16:$I$104,8,0)</f>
        <v>0 / 2 / 3 из 5</v>
      </c>
      <c r="I19" s="169"/>
      <c r="J19" s="137"/>
      <c r="K19" s="170"/>
      <c r="L19" s="170"/>
      <c r="M19" s="171"/>
      <c r="N19" s="172">
        <f>VLOOKUP(C19,Спецтехника!$B$16:$J$104,4,0)</f>
        <v>484</v>
      </c>
      <c r="O19" s="173">
        <f>VLOOKUP(C19,Спецтехника!$B$16:$J$104,5,0)</f>
        <v>444</v>
      </c>
      <c r="P19" s="173">
        <f>VLOOKUP(C19,Спецтехника!$B$16:$J$104,6,0)</f>
        <v>40</v>
      </c>
      <c r="Q19" s="196">
        <f>VLOOKUP(C19,Спецтехника!$B$16:$J$104,7,0)</f>
        <v>0.0826446280991736</v>
      </c>
      <c r="R19" s="197"/>
      <c r="S19" s="137"/>
      <c r="T19" s="170"/>
      <c r="U19" s="170"/>
      <c r="V19" s="171"/>
      <c r="W19" s="172">
        <f>VLOOKUP($C19,МНО!$B$16:$AB$104,16,0)</f>
        <v>19616</v>
      </c>
      <c r="X19" s="173">
        <f>VLOOKUP($C19,МНО!$B$16:$AB$104,8,0)</f>
        <v>18134</v>
      </c>
      <c r="Y19" s="173">
        <f>VLOOKUP($C19,МНО!$B$16:$AB$104,11,0)</f>
        <v>1482</v>
      </c>
      <c r="Z19" s="216">
        <f>VLOOKUP($C19,МНО!$B$16:$AB$104,17,0)</f>
        <v>0.0755505709624796</v>
      </c>
      <c r="AA19" s="213"/>
      <c r="AB19" s="214">
        <f>VLOOKUP($C19,МНО!$B$16:$AB$104,13,0)</f>
        <v>5.05507100245657</v>
      </c>
      <c r="AC19" s="215">
        <f>VLOOKUP($C19,МНО!$B$16:$AB$104,18,0)</f>
        <v>0.550566232504478</v>
      </c>
      <c r="AD19" s="172">
        <f>VLOOKUP($C19,Контейнеры!$B$16:$AB$104,16,0)</f>
        <v>42325</v>
      </c>
      <c r="AE19" s="173">
        <f>VLOOKUP($C19,Контейнеры!$B$16:$AB$104,8,0)</f>
        <v>37721</v>
      </c>
      <c r="AF19" s="173">
        <f>VLOOKUP($C19,Контейнеры!$B$16:$AB$104,11,0)</f>
        <v>4604</v>
      </c>
      <c r="AG19" s="216">
        <f>VLOOKUP($C19,Контейнеры!$B$16:$AB$104,17,0)</f>
        <v>0.108777318369758</v>
      </c>
      <c r="AH19" s="213"/>
      <c r="AI19" s="214">
        <f>VLOOKUP($C19,Контейнеры!$B$16:$AB$104,13,0)</f>
        <v>11.108140119053</v>
      </c>
      <c r="AJ19" s="215">
        <f>VLOOKUP($C19,Контейнеры!$B$16:$AB$104,18,0)</f>
        <v>0.593172097119134</v>
      </c>
      <c r="AK19" s="231"/>
      <c r="AL19" s="170"/>
      <c r="AM19" s="170"/>
      <c r="AN19" s="232"/>
      <c r="AO19" s="257">
        <f>VLOOKUP($C19,Обработка!$B$16:$L$104,6,0)</f>
        <v>0.683</v>
      </c>
      <c r="AP19" s="250">
        <f t="shared" si="4"/>
        <v>0.14</v>
      </c>
      <c r="AQ19" s="250">
        <f>VLOOKUP($C19,Обработка!$B$16:$L$104,7,0)</f>
        <v>0.808</v>
      </c>
      <c r="AR19" s="255">
        <f t="shared" si="5"/>
        <v>0.00099999999999989</v>
      </c>
      <c r="AS19" s="258">
        <f>VLOOKUP($C19,Утилизация!$B$16:$L$104,6,0)</f>
        <v>0.137</v>
      </c>
      <c r="AT19" s="259">
        <f t="shared" si="6"/>
        <v>-0.00200000000000003</v>
      </c>
      <c r="AU19" s="259">
        <f>VLOOKUP($C19,Утилизация!$B$16:$L$104,7,0)</f>
        <v>0.233</v>
      </c>
      <c r="AV19" s="260">
        <f t="shared" si="7"/>
        <v>-0.053</v>
      </c>
      <c r="AW19" s="284" t="str">
        <f>VLOOKUP(C19,Захоронение!$B$16:$Q$104,16,0)</f>
        <v/>
      </c>
      <c r="AX19" s="231"/>
      <c r="AY19" s="170"/>
      <c r="AZ19" s="170"/>
      <c r="BA19" s="171"/>
      <c r="BB19" s="280" t="str">
        <f>VLOOKUP(C19,'ДК ИП'!$B$16:$S$104,5,0)</f>
        <v>небольшое</v>
      </c>
      <c r="BC19" s="327">
        <f>VLOOKUP(C19,'Радар олд'!$B$3:$E$87,4,0)</f>
        <v>0.101596149123122</v>
      </c>
      <c r="BD19" s="171"/>
      <c r="BI19" s="9">
        <f t="shared" si="8"/>
        <v>0</v>
      </c>
      <c r="BJ19" s="9">
        <f>VLOOKUP(C19,Штаб!$B$16:$C$104,2)</f>
        <v>0</v>
      </c>
      <c r="BK19" s="9">
        <f>VLOOKUP(C19,'РО - регионы'!$B$16:$C$104,2)</f>
        <v>1</v>
      </c>
      <c r="BL19" s="9">
        <f>VLOOKUP(C19,'РО - регионы'!$B$16:$L$104,11)</f>
        <v>2</v>
      </c>
      <c r="BM19" s="9">
        <f>VLOOKUP(C19,Спецтехника!$B$16:$C$104,2)</f>
        <v>0</v>
      </c>
      <c r="BN19" s="9">
        <f>VLOOKUP($C19,МНО!$B$16:$AB$104,6,0)</f>
        <v>0</v>
      </c>
      <c r="BO19" s="9">
        <f>VLOOKUP($C19,МНО!$B$16:$AB$104,4,0)</f>
        <v>1</v>
      </c>
      <c r="BP19" s="9">
        <f>VLOOKUP($C19,МНО!$B$16:$AB$104,5,0)</f>
        <v>2</v>
      </c>
      <c r="BQ19" s="9">
        <f>VLOOKUP($C19,Контейнеры!$B$16:$G$104,6,0)</f>
        <v>0</v>
      </c>
      <c r="BR19" s="9">
        <f>VLOOKUP($C19,Контейнеры!$B$16:$G$104,4,0)</f>
        <v>0</v>
      </c>
      <c r="BS19" s="9">
        <f>VLOOKUP($C19,Контейнеры!$B$16:$G$104,5,0)</f>
        <v>2</v>
      </c>
      <c r="BT19" s="9">
        <f>VLOOKUP($C19,'ДК МНО'!$B$16:$C$104,2,0)</f>
        <v>2</v>
      </c>
      <c r="BU19" s="9">
        <f>VLOOKUP($C19,Обработка!$B$16:$F$104,5,0)</f>
        <v>0</v>
      </c>
      <c r="BV19" s="9">
        <f>VLOOKUP($C19,Обработка!$B$16:$F$104,4,0)</f>
        <v>0</v>
      </c>
      <c r="BW19" s="9">
        <f>VLOOKUP($C19,Утилизация!$B$16:$F$104,5,0)</f>
        <v>1</v>
      </c>
      <c r="BX19" s="9">
        <f>VLOOKUP($C19,Утилизация!$B$16:$F$104,4,0)</f>
        <v>1</v>
      </c>
      <c r="BY19" s="9">
        <f>VLOOKUP($C19,Захоронение!$B$16:$C$104,2,0)</f>
        <v>0</v>
      </c>
      <c r="BZ19" s="9">
        <f>VLOOKUP($C19,'ДК ИП'!$B$16:$C$104,2,0)</f>
        <v>0</v>
      </c>
      <c r="CA19" s="9">
        <f t="shared" si="9"/>
        <v>0.35</v>
      </c>
    </row>
    <row r="20" ht="30" customHeight="1" spans="1:79">
      <c r="A20" s="6" t="s">
        <v>67</v>
      </c>
      <c r="B20" s="331">
        <f t="shared" si="3"/>
        <v>10</v>
      </c>
      <c r="C20" s="332" t="s">
        <v>80</v>
      </c>
      <c r="D20" s="333" t="str">
        <f>VLOOKUP($C20,Штаб!$B$16:$J$104,6,0)</f>
        <v/>
      </c>
      <c r="E20" s="334" t="str">
        <f>VLOOKUP($C20,Штаб!$B$16:$J$104,7,0)</f>
        <v/>
      </c>
      <c r="F20" s="334" t="str">
        <f>VLOOKUP($C20,Штаб!$B$16:$J$104,8,0)</f>
        <v/>
      </c>
      <c r="G20" s="335" t="str">
        <f>VLOOKUP($C20,Штаб!$B$16:$J$104,9,0)</f>
        <v>✔️</v>
      </c>
      <c r="H20" s="284" t="str">
        <f>VLOOKUP(C20,'РО - регионы'!$B$16:$I$104,8,0)</f>
        <v>0 / 0 / 1 из 1</v>
      </c>
      <c r="I20" s="169"/>
      <c r="J20" s="137"/>
      <c r="K20" s="170"/>
      <c r="L20" s="170"/>
      <c r="M20" s="171"/>
      <c r="N20" s="172">
        <f>VLOOKUP(C20,Спецтехника!$B$16:$J$104,4,0)</f>
        <v>298</v>
      </c>
      <c r="O20" s="173">
        <f>VLOOKUP(C20,Спецтехника!$B$16:$J$104,5,0)</f>
        <v>298</v>
      </c>
      <c r="P20" s="173">
        <f>VLOOKUP(C20,Спецтехника!$B$16:$J$104,6,0)</f>
        <v>0</v>
      </c>
      <c r="Q20" s="196">
        <f>VLOOKUP(C20,Спецтехника!$B$16:$J$104,7,0)</f>
        <v>0</v>
      </c>
      <c r="R20" s="197"/>
      <c r="S20" s="137"/>
      <c r="T20" s="170"/>
      <c r="U20" s="170"/>
      <c r="V20" s="171"/>
      <c r="W20" s="172">
        <f>VLOOKUP($C20,МНО!$B$16:$AB$104,16,0)</f>
        <v>7796</v>
      </c>
      <c r="X20" s="173">
        <f>VLOOKUP($C20,МНО!$B$16:$AB$104,8,0)</f>
        <v>6980</v>
      </c>
      <c r="Y20" s="173">
        <f>VLOOKUP($C20,МНО!$B$16:$AB$104,11,0)</f>
        <v>816</v>
      </c>
      <c r="Z20" s="216">
        <f>VLOOKUP($C20,МНО!$B$16:$AB$104,17,0)</f>
        <v>0.104669061056952</v>
      </c>
      <c r="AA20" s="213"/>
      <c r="AB20" s="214">
        <f>VLOOKUP($C20,МНО!$B$16:$AB$104,13,0)</f>
        <v>5.73024643848974</v>
      </c>
      <c r="AC20" s="215">
        <f>VLOOKUP($C20,МНО!$B$16:$AB$104,18,0)</f>
        <v>1</v>
      </c>
      <c r="AD20" s="176">
        <f>VLOOKUP($C20,Контейнеры!$B$16:$AB$104,16,0)</f>
        <v>17873</v>
      </c>
      <c r="AE20" s="177">
        <f>VLOOKUP($C20,Контейнеры!$B$16:$AB$104,8,0)</f>
        <v>16756</v>
      </c>
      <c r="AF20" s="177">
        <f>VLOOKUP($C20,Контейнеры!$B$16:$AB$104,11,0)</f>
        <v>1117</v>
      </c>
      <c r="AG20" s="217">
        <f>VLOOKUP($C20,Контейнеры!$B$16:$AB$104,17,0)</f>
        <v>0.0624965031052425</v>
      </c>
      <c r="AH20" s="213"/>
      <c r="AI20" s="214">
        <f>VLOOKUP($C20,Контейнеры!$B$16:$AB$104,13,0)</f>
        <v>14.1096266456038</v>
      </c>
      <c r="AJ20" s="215">
        <f>VLOOKUP($C20,Контейнеры!$B$16:$AB$104,18,0)</f>
        <v>0.982698961937716</v>
      </c>
      <c r="AK20" s="231"/>
      <c r="AL20" s="170"/>
      <c r="AM20" s="170"/>
      <c r="AN20" s="232"/>
      <c r="AO20" s="257">
        <f>VLOOKUP($C20,Обработка!$B$16:$L$104,6,0)</f>
        <v>0.62</v>
      </c>
      <c r="AP20" s="250">
        <f t="shared" si="4"/>
        <v>0.077</v>
      </c>
      <c r="AQ20" s="259">
        <f>VLOOKUP($C20,Обработка!$B$16:$L$104,7,0)</f>
        <v>0.61</v>
      </c>
      <c r="AR20" s="262">
        <f t="shared" si="5"/>
        <v>-0.197</v>
      </c>
      <c r="AS20" s="258">
        <f>VLOOKUP($C20,Утилизация!$B$16:$L$104,6,0)</f>
        <v>0.089</v>
      </c>
      <c r="AT20" s="259">
        <f t="shared" si="6"/>
        <v>-0.05</v>
      </c>
      <c r="AU20" s="251">
        <f>VLOOKUP($C20,Утилизация!$B$16:$L$104,7,0)</f>
        <v>0.082</v>
      </c>
      <c r="AV20" s="254">
        <f t="shared" si="7"/>
        <v>-0.204</v>
      </c>
      <c r="AW20" s="284" t="str">
        <f>VLOOKUP(C20,Захоронение!$B$16:$Q$104,16,0)</f>
        <v/>
      </c>
      <c r="AX20" s="231"/>
      <c r="AY20" s="170"/>
      <c r="AZ20" s="170"/>
      <c r="BA20" s="171"/>
      <c r="BB20" s="280" t="str">
        <f>VLOOKUP(C20,'ДК ИП'!$B$16:$S$104,5,0)</f>
        <v>небольшое</v>
      </c>
      <c r="BC20" s="327">
        <f>VLOOKUP(C20,'Радар олд'!$B$3:$E$87,4,0)</f>
        <v>0.134730261595644</v>
      </c>
      <c r="BD20" s="171"/>
      <c r="BI20" s="9">
        <f t="shared" si="8"/>
        <v>0</v>
      </c>
      <c r="BJ20" s="9">
        <f>VLOOKUP(C20,Штаб!$B$16:$C$104,2)</f>
        <v>2</v>
      </c>
      <c r="BK20" s="9">
        <f>VLOOKUP(C20,'РО - регионы'!$B$16:$C$104,2)</f>
        <v>0</v>
      </c>
      <c r="BL20" s="9">
        <f>VLOOKUP(C20,'РО - регионы'!$B$16:$L$104,11)</f>
        <v>0</v>
      </c>
      <c r="BM20" s="9">
        <f>VLOOKUP(C20,Спецтехника!$B$16:$C$104,2)</f>
        <v>0</v>
      </c>
      <c r="BN20" s="9">
        <f>VLOOKUP($C20,МНО!$B$16:$AB$104,6,0)</f>
        <v>0</v>
      </c>
      <c r="BO20" s="9">
        <f>VLOOKUP($C20,МНО!$B$16:$AB$104,4,0)</f>
        <v>1</v>
      </c>
      <c r="BP20" s="9">
        <f>VLOOKUP($C20,МНО!$B$16:$AB$104,5,0)</f>
        <v>0</v>
      </c>
      <c r="BQ20" s="9">
        <f>VLOOKUP($C20,Контейнеры!$B$16:$G$104,6,0)</f>
        <v>0</v>
      </c>
      <c r="BR20" s="9">
        <f>VLOOKUP($C20,Контейнеры!$B$16:$G$104,4,0)</f>
        <v>0</v>
      </c>
      <c r="BS20" s="9">
        <f>VLOOKUP($C20,Контейнеры!$B$16:$G$104,5,0)</f>
        <v>0</v>
      </c>
      <c r="BT20" s="9">
        <f>VLOOKUP($C20,'ДК МНО'!$B$16:$C$104,2,0)</f>
        <v>2</v>
      </c>
      <c r="BU20" s="9">
        <f>VLOOKUP($C20,Обработка!$B$16:$F$104,5,0)</f>
        <v>1</v>
      </c>
      <c r="BV20" s="9">
        <f>VLOOKUP($C20,Обработка!$B$16:$F$104,4,0)</f>
        <v>0</v>
      </c>
      <c r="BW20" s="9">
        <f>VLOOKUP($C20,Утилизация!$B$16:$F$104,5,0)</f>
        <v>2</v>
      </c>
      <c r="BX20" s="9">
        <f>VLOOKUP($C20,Утилизация!$B$16:$F$104,4,0)</f>
        <v>1</v>
      </c>
      <c r="BY20" s="9">
        <f>VLOOKUP($C20,Захоронение!$B$16:$C$104,2,0)</f>
        <v>0</v>
      </c>
      <c r="BZ20" s="9">
        <f>VLOOKUP($C20,'ДК ИП'!$B$16:$C$104,2,0)</f>
        <v>0</v>
      </c>
      <c r="CA20" s="9">
        <f t="shared" si="9"/>
        <v>0.25</v>
      </c>
    </row>
    <row r="21" ht="30" customHeight="1" spans="1:79">
      <c r="A21" s="6" t="s">
        <v>67</v>
      </c>
      <c r="B21" s="331">
        <f t="shared" si="3"/>
        <v>11</v>
      </c>
      <c r="C21" s="332" t="s">
        <v>81</v>
      </c>
      <c r="D21" s="333" t="str">
        <f>VLOOKUP($C21,Штаб!$B$16:$J$104,6,0)</f>
        <v>✔️</v>
      </c>
      <c r="E21" s="334" t="str">
        <f>VLOOKUP($C21,Штаб!$B$16:$J$104,7,0)</f>
        <v/>
      </c>
      <c r="F21" s="334" t="str">
        <f>VLOOKUP($C21,Штаб!$B$16:$J$104,8,0)</f>
        <v/>
      </c>
      <c r="G21" s="335" t="str">
        <f>VLOOKUP($C21,Штаб!$B$16:$J$104,9,0)</f>
        <v/>
      </c>
      <c r="H21" s="284" t="str">
        <f>VLOOKUP(C21,'РО - регионы'!$B$16:$I$104,8,0)</f>
        <v>0 / 0 / 1 из 1</v>
      </c>
      <c r="I21" s="169"/>
      <c r="J21" s="137"/>
      <c r="K21" s="170"/>
      <c r="L21" s="170"/>
      <c r="M21" s="171"/>
      <c r="N21" s="172">
        <f>VLOOKUP(C21,Спецтехника!$B$16:$J$104,4,0)</f>
        <v>221</v>
      </c>
      <c r="O21" s="173">
        <f>VLOOKUP(C21,Спецтехника!$B$16:$J$104,5,0)</f>
        <v>221</v>
      </c>
      <c r="P21" s="173">
        <f>VLOOKUP(C21,Спецтехника!$B$16:$J$104,6,0)</f>
        <v>0</v>
      </c>
      <c r="Q21" s="196">
        <f>VLOOKUP(C21,Спецтехника!$B$16:$J$104,7,0)</f>
        <v>0</v>
      </c>
      <c r="R21" s="197"/>
      <c r="S21" s="137"/>
      <c r="T21" s="170"/>
      <c r="U21" s="170"/>
      <c r="V21" s="171"/>
      <c r="W21" s="176">
        <f>VLOOKUP($C21,МНО!$B$16:$AB$104,16,0)</f>
        <v>5441</v>
      </c>
      <c r="X21" s="177">
        <f>VLOOKUP($C21,МНО!$B$16:$AB$104,8,0)</f>
        <v>5441</v>
      </c>
      <c r="Y21" s="177">
        <f>VLOOKUP($C21,МНО!$B$16:$AB$104,11,0)</f>
        <v>0</v>
      </c>
      <c r="Z21" s="217">
        <f>VLOOKUP($C21,МНО!$B$16:$AB$104,17,0)</f>
        <v>0</v>
      </c>
      <c r="AA21" s="213"/>
      <c r="AB21" s="214">
        <f>VLOOKUP($C21,МНО!$B$16:$AB$104,13,0)</f>
        <v>5.93774147256872</v>
      </c>
      <c r="AC21" s="215">
        <f>VLOOKUP($C21,МНО!$B$16:$AB$104,18,0)</f>
        <v>0.609499271871849</v>
      </c>
      <c r="AD21" s="176">
        <f>VLOOKUP($C21,Контейнеры!$B$16:$AB$104,16,0)</f>
        <v>11785</v>
      </c>
      <c r="AE21" s="177">
        <f>VLOOKUP($C21,Контейнеры!$B$16:$AB$104,8,0)</f>
        <v>11785</v>
      </c>
      <c r="AF21" s="177">
        <f>VLOOKUP($C21,Контейнеры!$B$16:$AB$104,11,0)</f>
        <v>0</v>
      </c>
      <c r="AG21" s="217">
        <f>VLOOKUP($C21,Контейнеры!$B$16:$AB$104,17,0)</f>
        <v>0</v>
      </c>
      <c r="AH21" s="213"/>
      <c r="AI21" s="214">
        <f>VLOOKUP($C21,Контейнеры!$B$16:$AB$104,13,0)</f>
        <v>13.0091621591787</v>
      </c>
      <c r="AJ21" s="215">
        <f>VLOOKUP($C21,Контейнеры!$B$16:$AB$104,18,0)</f>
        <v>1</v>
      </c>
      <c r="AK21" s="231"/>
      <c r="AL21" s="170"/>
      <c r="AM21" s="170"/>
      <c r="AN21" s="232"/>
      <c r="AO21" s="257">
        <f>VLOOKUP($C21,Обработка!$B$16:$L$104,6,0)</f>
        <v>0.798</v>
      </c>
      <c r="AP21" s="250">
        <f t="shared" si="4"/>
        <v>0.255</v>
      </c>
      <c r="AQ21" s="259">
        <f>VLOOKUP($C21,Обработка!$B$16:$L$104,7,0)</f>
        <v>0.75</v>
      </c>
      <c r="AR21" s="262">
        <f t="shared" si="5"/>
        <v>-0.0570000000000001</v>
      </c>
      <c r="AS21" s="258">
        <f>VLOOKUP($C21,Утилизация!$B$16:$L$104,6,0)</f>
        <v>0.076</v>
      </c>
      <c r="AT21" s="259">
        <f t="shared" si="6"/>
        <v>-0.063</v>
      </c>
      <c r="AU21" s="251">
        <f>VLOOKUP($C21,Утилизация!$B$16:$L$104,7,0)</f>
        <v>0.076</v>
      </c>
      <c r="AV21" s="254">
        <f t="shared" si="7"/>
        <v>-0.21</v>
      </c>
      <c r="AW21" s="284" t="str">
        <f>VLOOKUP(C21,Захоронение!$B$16:$Q$104,16,0)</f>
        <v/>
      </c>
      <c r="AX21" s="231"/>
      <c r="AY21" s="170"/>
      <c r="AZ21" s="170"/>
      <c r="BA21" s="171"/>
      <c r="BB21" s="280" t="str">
        <f>VLOOKUP(C21,'ДК ИП'!$B$16:$S$104,5,0)</f>
        <v>небольшое</v>
      </c>
      <c r="BC21" s="327">
        <f>VLOOKUP(C21,'Радар олд'!$B$3:$E$87,4,0)</f>
        <v>0.140192074180373</v>
      </c>
      <c r="BD21" s="171"/>
      <c r="BI21" s="9">
        <f t="shared" si="8"/>
        <v>0</v>
      </c>
      <c r="BJ21" s="9">
        <f>VLOOKUP(C21,Штаб!$B$16:$C$104,2)</f>
        <v>0</v>
      </c>
      <c r="BK21" s="9">
        <f>VLOOKUP(C21,'РО - регионы'!$B$16:$C$104,2)</f>
        <v>0</v>
      </c>
      <c r="BL21" s="9">
        <f>VLOOKUP(C21,'РО - регионы'!$B$16:$L$104,11)</f>
        <v>0</v>
      </c>
      <c r="BM21" s="9">
        <f>VLOOKUP(C21,Спецтехника!$B$16:$C$104,2)</f>
        <v>0</v>
      </c>
      <c r="BN21" s="9">
        <f>VLOOKUP($C21,МНО!$B$16:$AB$104,6,0)</f>
        <v>2</v>
      </c>
      <c r="BO21" s="9">
        <f>VLOOKUP($C21,МНО!$B$16:$AB$104,4,0)</f>
        <v>1</v>
      </c>
      <c r="BP21" s="9">
        <f>VLOOKUP($C21,МНО!$B$16:$AB$104,5,0)</f>
        <v>2</v>
      </c>
      <c r="BQ21" s="9">
        <f>VLOOKUP($C21,Контейнеры!$B$16:$G$104,6,0)</f>
        <v>2</v>
      </c>
      <c r="BR21" s="9">
        <f>VLOOKUP($C21,Контейнеры!$B$16:$G$104,4,0)</f>
        <v>2</v>
      </c>
      <c r="BS21" s="9">
        <f>VLOOKUP($C21,Контейнеры!$B$16:$G$104,5,0)</f>
        <v>0</v>
      </c>
      <c r="BT21" s="9">
        <f>VLOOKUP($C21,'ДК МНО'!$B$16:$C$104,2,0)</f>
        <v>2</v>
      </c>
      <c r="BU21" s="9">
        <f>VLOOKUP($C21,Обработка!$B$16:$F$104,5,0)</f>
        <v>1</v>
      </c>
      <c r="BV21" s="9">
        <f>VLOOKUP($C21,Обработка!$B$16:$F$104,4,0)</f>
        <v>0</v>
      </c>
      <c r="BW21" s="9">
        <f>VLOOKUP($C21,Утилизация!$B$16:$F$104,5,0)</f>
        <v>2</v>
      </c>
      <c r="BX21" s="9">
        <f>VLOOKUP($C21,Утилизация!$B$16:$F$104,4,0)</f>
        <v>1</v>
      </c>
      <c r="BY21" s="9">
        <f>VLOOKUP($C21,Захоронение!$B$16:$C$104,2,0)</f>
        <v>0</v>
      </c>
      <c r="BZ21" s="9">
        <f>VLOOKUP($C21,'ДК ИП'!$B$16:$C$104,2,0)</f>
        <v>0</v>
      </c>
      <c r="CA21" s="9">
        <f t="shared" si="9"/>
        <v>0.55</v>
      </c>
    </row>
    <row r="22" ht="30" customHeight="1" spans="1:79">
      <c r="A22" s="6" t="s">
        <v>74</v>
      </c>
      <c r="B22" s="331">
        <f t="shared" si="3"/>
        <v>12</v>
      </c>
      <c r="C22" s="332" t="s">
        <v>82</v>
      </c>
      <c r="D22" s="333" t="str">
        <f>VLOOKUP($C22,Штаб!$B$16:$J$104,6,0)</f>
        <v>✔️</v>
      </c>
      <c r="E22" s="334" t="str">
        <f>VLOOKUP($C22,Штаб!$B$16:$J$104,7,0)</f>
        <v/>
      </c>
      <c r="F22" s="334" t="str">
        <f>VLOOKUP($C22,Штаб!$B$16:$J$104,8,0)</f>
        <v/>
      </c>
      <c r="G22" s="335" t="str">
        <f>VLOOKUP($C22,Штаб!$B$16:$J$104,9,0)</f>
        <v/>
      </c>
      <c r="H22" s="284" t="str">
        <f>VLOOKUP(C22,'РО - регионы'!$B$16:$I$104,8,0)</f>
        <v>0 / 0 / 1 из 1</v>
      </c>
      <c r="I22" s="169"/>
      <c r="J22" s="137"/>
      <c r="K22" s="170"/>
      <c r="L22" s="170"/>
      <c r="M22" s="171"/>
      <c r="N22" s="172">
        <f>VLOOKUP(C22,Спецтехника!$B$16:$J$104,4,0)</f>
        <v>149</v>
      </c>
      <c r="O22" s="173">
        <f>VLOOKUP(C22,Спецтехника!$B$16:$J$104,5,0)</f>
        <v>149</v>
      </c>
      <c r="P22" s="173">
        <f>VLOOKUP(C22,Спецтехника!$B$16:$J$104,6,0)</f>
        <v>0</v>
      </c>
      <c r="Q22" s="196">
        <f>VLOOKUP(C22,Спецтехника!$B$16:$J$104,7,0)</f>
        <v>0</v>
      </c>
      <c r="R22" s="197"/>
      <c r="S22" s="137"/>
      <c r="T22" s="170"/>
      <c r="U22" s="170"/>
      <c r="V22" s="171"/>
      <c r="W22" s="176">
        <f>VLOOKUP($C22,МНО!$B$16:$AB$104,16,0)</f>
        <v>15394</v>
      </c>
      <c r="X22" s="177">
        <f>VLOOKUP($C22,МНО!$B$16:$AB$104,8,0)</f>
        <v>15394</v>
      </c>
      <c r="Y22" s="177">
        <f>VLOOKUP($C22,МНО!$B$16:$AB$104,11,0)</f>
        <v>0</v>
      </c>
      <c r="Z22" s="217">
        <f>VLOOKUP($C22,МНО!$B$16:$AB$104,17,0)</f>
        <v>0</v>
      </c>
      <c r="AA22" s="213"/>
      <c r="AB22" s="214">
        <f>VLOOKUP($C22,МНО!$B$16:$AB$104,13,0)</f>
        <v>12.8767905019532</v>
      </c>
      <c r="AC22" s="215">
        <f>VLOOKUP($C22,МНО!$B$16:$AB$104,18,0)</f>
        <v>1</v>
      </c>
      <c r="AD22" s="176">
        <f>VLOOKUP($C22,Контейнеры!$B$16:$AB$104,16,0)</f>
        <v>29016</v>
      </c>
      <c r="AE22" s="177">
        <f>VLOOKUP($C22,Контейнеры!$B$16:$AB$104,8,0)</f>
        <v>28065</v>
      </c>
      <c r="AF22" s="177">
        <f>VLOOKUP($C22,Контейнеры!$B$16:$AB$104,11,0)</f>
        <v>951</v>
      </c>
      <c r="AG22" s="217">
        <f>VLOOKUP($C22,Контейнеры!$B$16:$AB$104,17,0)</f>
        <v>0.0327750206782465</v>
      </c>
      <c r="AH22" s="213"/>
      <c r="AI22" s="214">
        <f>VLOOKUP($C22,Контейнеры!$B$16:$AB$104,13,0)</f>
        <v>24.0475862015782</v>
      </c>
      <c r="AJ22" s="215">
        <f>VLOOKUP($C22,Контейнеры!$B$16:$AB$104,18,0)</f>
        <v>0.949264332825977</v>
      </c>
      <c r="AK22" s="231"/>
      <c r="AL22" s="170"/>
      <c r="AM22" s="170"/>
      <c r="AN22" s="232"/>
      <c r="AO22" s="257">
        <f>VLOOKUP($C22,Обработка!$B$16:$L$104,6,0)</f>
        <v>0.67</v>
      </c>
      <c r="AP22" s="250">
        <f t="shared" si="4"/>
        <v>0.127</v>
      </c>
      <c r="AQ22" s="259">
        <f>VLOOKUP($C22,Обработка!$B$16:$L$104,7,0)</f>
        <v>0.7</v>
      </c>
      <c r="AR22" s="262">
        <f t="shared" si="5"/>
        <v>-0.107</v>
      </c>
      <c r="AS22" s="258">
        <f>VLOOKUP($C22,Утилизация!$B$16:$L$104,6,0)</f>
        <v>0.094</v>
      </c>
      <c r="AT22" s="259">
        <f t="shared" si="6"/>
        <v>-0.045</v>
      </c>
      <c r="AU22" s="251">
        <f>VLOOKUP($C22,Утилизация!$B$16:$L$104,7,0)</f>
        <v>0.047</v>
      </c>
      <c r="AV22" s="254">
        <f t="shared" si="7"/>
        <v>-0.239</v>
      </c>
      <c r="AW22" s="284" t="str">
        <f>VLOOKUP(C22,Захоронение!$B$16:$Q$104,16,0)</f>
        <v/>
      </c>
      <c r="AX22" s="231"/>
      <c r="AY22" s="170"/>
      <c r="AZ22" s="170"/>
      <c r="BA22" s="171"/>
      <c r="BB22" s="280" t="str">
        <f>VLOOKUP(C22,'ДК ИП'!$B$16:$S$104,5,0)</f>
        <v>небольшое</v>
      </c>
      <c r="BC22" s="327">
        <f>VLOOKUP(C22,'Радар олд'!$B$3:$E$87,4,0)</f>
        <v>0.121673160186143</v>
      </c>
      <c r="BD22" s="171"/>
      <c r="BI22" s="9">
        <f t="shared" si="8"/>
        <v>0</v>
      </c>
      <c r="BJ22" s="9">
        <f>VLOOKUP(C22,Штаб!$B$16:$C$104,2)</f>
        <v>0</v>
      </c>
      <c r="BK22" s="9">
        <f>VLOOKUP(C22,'РО - регионы'!$B$16:$C$104,2)</f>
        <v>0</v>
      </c>
      <c r="BL22" s="9">
        <f>VLOOKUP(C22,'РО - регионы'!$B$16:$L$104,11)</f>
        <v>0</v>
      </c>
      <c r="BM22" s="9">
        <f>VLOOKUP(C22,Спецтехника!$B$16:$C$104,2)</f>
        <v>0</v>
      </c>
      <c r="BN22" s="9">
        <f>VLOOKUP($C22,МНО!$B$16:$AB$104,6,0)</f>
        <v>2</v>
      </c>
      <c r="BO22" s="9">
        <f>VLOOKUP($C22,МНО!$B$16:$AB$104,4,0)</f>
        <v>0</v>
      </c>
      <c r="BP22" s="9">
        <f>VLOOKUP($C22,МНО!$B$16:$AB$104,5,0)</f>
        <v>0</v>
      </c>
      <c r="BQ22" s="9">
        <f>VLOOKUP($C22,Контейнеры!$B$16:$G$104,6,0)</f>
        <v>0</v>
      </c>
      <c r="BR22" s="9">
        <f>VLOOKUP($C22,Контейнеры!$B$16:$G$104,4,0)</f>
        <v>0</v>
      </c>
      <c r="BS22" s="9">
        <f>VLOOKUP($C22,Контейнеры!$B$16:$G$104,5,0)</f>
        <v>0</v>
      </c>
      <c r="BT22" s="9">
        <f>VLOOKUP($C22,'ДК МНО'!$B$16:$C$104,2,0)</f>
        <v>2</v>
      </c>
      <c r="BU22" s="9">
        <f>VLOOKUP($C22,Обработка!$B$16:$F$104,5,0)</f>
        <v>1</v>
      </c>
      <c r="BV22" s="9">
        <f>VLOOKUP($C22,Обработка!$B$16:$F$104,4,0)</f>
        <v>0</v>
      </c>
      <c r="BW22" s="9">
        <f>VLOOKUP($C22,Утилизация!$B$16:$F$104,5,0)</f>
        <v>2</v>
      </c>
      <c r="BX22" s="9">
        <f>VLOOKUP($C22,Утилизация!$B$16:$F$104,4,0)</f>
        <v>1</v>
      </c>
      <c r="BY22" s="9">
        <f>VLOOKUP($C22,Захоронение!$B$16:$C$104,2,0)</f>
        <v>0</v>
      </c>
      <c r="BZ22" s="9">
        <f>VLOOKUP($C22,'ДК ИП'!$B$16:$C$104,2,0)</f>
        <v>0</v>
      </c>
      <c r="CA22" s="9">
        <f t="shared" si="9"/>
        <v>0.3</v>
      </c>
    </row>
    <row r="23" ht="30" customHeight="1" spans="1:79">
      <c r="A23" s="6" t="s">
        <v>78</v>
      </c>
      <c r="B23" s="331">
        <f t="shared" si="3"/>
        <v>13</v>
      </c>
      <c r="C23" s="332" t="s">
        <v>83</v>
      </c>
      <c r="D23" s="333" t="str">
        <f>VLOOKUP($C23,Штаб!$B$16:$J$104,6,0)</f>
        <v>✔️</v>
      </c>
      <c r="E23" s="334" t="str">
        <f>VLOOKUP($C23,Штаб!$B$16:$J$104,7,0)</f>
        <v/>
      </c>
      <c r="F23" s="334" t="str">
        <f>VLOOKUP($C23,Штаб!$B$16:$J$104,8,0)</f>
        <v/>
      </c>
      <c r="G23" s="335" t="str">
        <f>VLOOKUP($C23,Штаб!$B$16:$J$104,9,0)</f>
        <v/>
      </c>
      <c r="H23" s="284" t="str">
        <f>VLOOKUP(C23,'РО - регионы'!$B$16:$I$104,8,0)</f>
        <v>0 / 0 / 1 из 1</v>
      </c>
      <c r="I23" s="169"/>
      <c r="J23" s="137"/>
      <c r="K23" s="170"/>
      <c r="L23" s="170"/>
      <c r="M23" s="171"/>
      <c r="N23" s="172">
        <f>VLOOKUP(C23,Спецтехника!$B$16:$J$104,4,0)</f>
        <v>301</v>
      </c>
      <c r="O23" s="173">
        <f>VLOOKUP(C23,Спецтехника!$B$16:$J$104,5,0)</f>
        <v>298</v>
      </c>
      <c r="P23" s="173">
        <f>VLOOKUP(C23,Спецтехника!$B$16:$J$104,6,0)</f>
        <v>3</v>
      </c>
      <c r="Q23" s="196">
        <f>VLOOKUP(C23,Спецтехника!$B$16:$J$104,7,0)</f>
        <v>0.00996677740863787</v>
      </c>
      <c r="R23" s="197"/>
      <c r="S23" s="137"/>
      <c r="T23" s="170"/>
      <c r="U23" s="170"/>
      <c r="V23" s="171"/>
      <c r="W23" s="176">
        <f>VLOOKUP($C23,МНО!$B$16:$AB$104,16,0)</f>
        <v>15786</v>
      </c>
      <c r="X23" s="177">
        <f>VLOOKUP($C23,МНО!$B$16:$AB$104,8,0)</f>
        <v>15786</v>
      </c>
      <c r="Y23" s="177">
        <f>VLOOKUP($C23,МНО!$B$16:$AB$104,11,0)</f>
        <v>0</v>
      </c>
      <c r="Z23" s="217">
        <f>VLOOKUP($C23,МНО!$B$16:$AB$104,17,0)</f>
        <v>0</v>
      </c>
      <c r="AA23" s="213"/>
      <c r="AB23" s="214">
        <f>VLOOKUP($C23,МНО!$B$16:$AB$104,13,0)</f>
        <v>9.47845002086101</v>
      </c>
      <c r="AC23" s="215">
        <f>VLOOKUP($C23,МНО!$B$16:$AB$104,18,0)</f>
        <v>1</v>
      </c>
      <c r="AD23" s="176">
        <f>VLOOKUP($C23,Контейнеры!$B$16:$AB$104,16,0)</f>
        <v>27758</v>
      </c>
      <c r="AE23" s="177">
        <f>VLOOKUP($C23,Контейнеры!$B$16:$AB$104,8,0)</f>
        <v>27758</v>
      </c>
      <c r="AF23" s="177">
        <f>VLOOKUP($C23,Контейнеры!$B$16:$AB$104,11,0)</f>
        <v>0</v>
      </c>
      <c r="AG23" s="217">
        <f>VLOOKUP($C23,Контейнеры!$B$16:$AB$104,17,0)</f>
        <v>0</v>
      </c>
      <c r="AH23" s="213"/>
      <c r="AI23" s="214">
        <f>VLOOKUP($C23,Контейнеры!$B$16:$AB$104,13,0)</f>
        <v>17.1827857679637</v>
      </c>
      <c r="AJ23" s="215">
        <f>VLOOKUP($C23,Контейнеры!$B$16:$AB$104,18,0)</f>
        <v>1</v>
      </c>
      <c r="AK23" s="231"/>
      <c r="AL23" s="170"/>
      <c r="AM23" s="170"/>
      <c r="AN23" s="232"/>
      <c r="AO23" s="257">
        <f>VLOOKUP($C23,Обработка!$B$16:$L$104,6,0)</f>
        <v>1</v>
      </c>
      <c r="AP23" s="250">
        <f t="shared" si="4"/>
        <v>0.457</v>
      </c>
      <c r="AQ23" s="250">
        <f>VLOOKUP($C23,Обработка!$B$16:$L$104,7,0)</f>
        <v>0.95</v>
      </c>
      <c r="AR23" s="255">
        <f t="shared" si="5"/>
        <v>0.143</v>
      </c>
      <c r="AS23" s="253">
        <f>VLOOKUP($C23,Утилизация!$B$16:$L$104,6,0)</f>
        <v>0.04</v>
      </c>
      <c r="AT23" s="251">
        <f t="shared" si="6"/>
        <v>-0.099</v>
      </c>
      <c r="AU23" s="251">
        <f>VLOOKUP($C23,Утилизация!$B$16:$L$104,7,0)</f>
        <v>0.1</v>
      </c>
      <c r="AV23" s="254">
        <f t="shared" si="7"/>
        <v>-0.186</v>
      </c>
      <c r="AW23" s="284" t="str">
        <f>VLOOKUP(C23,Захоронение!$B$16:$Q$104,16,0)</f>
        <v/>
      </c>
      <c r="AX23" s="231"/>
      <c r="AY23" s="170"/>
      <c r="AZ23" s="170"/>
      <c r="BA23" s="171"/>
      <c r="BB23" s="280" t="str">
        <f>VLOOKUP(C23,'ДК ИП'!$B$16:$S$104,5,0)</f>
        <v>не подписана</v>
      </c>
      <c r="BC23" s="327">
        <f>VLOOKUP(C23,'Радар олд'!$B$3:$E$87,4,0)</f>
        <v>0.0309510515310247</v>
      </c>
      <c r="BD23" s="171"/>
      <c r="BI23" s="9">
        <f t="shared" si="8"/>
        <v>0</v>
      </c>
      <c r="BJ23" s="9">
        <f>VLOOKUP(C23,Штаб!$B$16:$C$104,2)</f>
        <v>0</v>
      </c>
      <c r="BK23" s="9">
        <f>VLOOKUP(C23,'РО - регионы'!$B$16:$C$104,2)</f>
        <v>0</v>
      </c>
      <c r="BL23" s="9">
        <f>VLOOKUP(C23,'РО - регионы'!$B$16:$L$104,11)</f>
        <v>0</v>
      </c>
      <c r="BM23" s="9">
        <f>VLOOKUP(C23,Спецтехника!$B$16:$C$104,2)</f>
        <v>0</v>
      </c>
      <c r="BN23" s="9">
        <f>VLOOKUP($C23,МНО!$B$16:$AB$104,6,0)</f>
        <v>2</v>
      </c>
      <c r="BO23" s="9">
        <f>VLOOKUP($C23,МНО!$B$16:$AB$104,4,0)</f>
        <v>0</v>
      </c>
      <c r="BP23" s="9">
        <f>VLOOKUP($C23,МНО!$B$16:$AB$104,5,0)</f>
        <v>0</v>
      </c>
      <c r="BQ23" s="9">
        <f>VLOOKUP($C23,Контейнеры!$B$16:$G$104,6,0)</f>
        <v>2</v>
      </c>
      <c r="BR23" s="9">
        <f>VLOOKUP($C23,Контейнеры!$B$16:$G$104,4,0)</f>
        <v>0</v>
      </c>
      <c r="BS23" s="9">
        <f>VLOOKUP($C23,Контейнеры!$B$16:$G$104,5,0)</f>
        <v>0</v>
      </c>
      <c r="BT23" s="9">
        <f>VLOOKUP($C23,'ДК МНО'!$B$16:$C$104,2,0)</f>
        <v>2</v>
      </c>
      <c r="BU23" s="9">
        <f>VLOOKUP($C23,Обработка!$B$16:$F$104,5,0)</f>
        <v>0</v>
      </c>
      <c r="BV23" s="9">
        <f>VLOOKUP($C23,Обработка!$B$16:$F$104,4,0)</f>
        <v>0</v>
      </c>
      <c r="BW23" s="9">
        <f>VLOOKUP($C23,Утилизация!$B$16:$F$104,5,0)</f>
        <v>2</v>
      </c>
      <c r="BX23" s="9">
        <f>VLOOKUP($C23,Утилизация!$B$16:$F$104,4,0)</f>
        <v>2</v>
      </c>
      <c r="BY23" s="9">
        <f>VLOOKUP($C23,Захоронение!$B$16:$C$104,2,0)</f>
        <v>0</v>
      </c>
      <c r="BZ23" s="9">
        <f>VLOOKUP($C23,'ДК ИП'!$B$16:$C$104,2,0)</f>
        <v>0</v>
      </c>
      <c r="CA23" s="9">
        <f t="shared" si="9"/>
        <v>0.4</v>
      </c>
    </row>
    <row r="24" ht="30" customHeight="1" spans="1:79">
      <c r="A24" s="6" t="s">
        <v>78</v>
      </c>
      <c r="B24" s="331">
        <f t="shared" si="3"/>
        <v>14</v>
      </c>
      <c r="C24" s="332" t="s">
        <v>84</v>
      </c>
      <c r="D24" s="333" t="str">
        <f>VLOOKUP($C24,Штаб!$B$16:$J$104,6,0)</f>
        <v>✔️</v>
      </c>
      <c r="E24" s="334" t="str">
        <f>VLOOKUP($C24,Штаб!$B$16:$J$104,7,0)</f>
        <v/>
      </c>
      <c r="F24" s="334" t="str">
        <f>VLOOKUP($C24,Штаб!$B$16:$J$104,8,0)</f>
        <v/>
      </c>
      <c r="G24" s="335" t="str">
        <f>VLOOKUP($C24,Штаб!$B$16:$J$104,9,0)</f>
        <v/>
      </c>
      <c r="H24" s="284" t="str">
        <f>VLOOKUP(C24,'РО - регионы'!$B$16:$I$104,8,0)</f>
        <v>0 / 0 / 2 из 2</v>
      </c>
      <c r="I24" s="169"/>
      <c r="J24" s="137"/>
      <c r="K24" s="170"/>
      <c r="L24" s="170"/>
      <c r="M24" s="171"/>
      <c r="N24" s="172">
        <f>VLOOKUP(C24,Спецтехника!$B$16:$J$104,4,0)</f>
        <v>328</v>
      </c>
      <c r="O24" s="173">
        <f>VLOOKUP(C24,Спецтехника!$B$16:$J$104,5,0)</f>
        <v>309</v>
      </c>
      <c r="P24" s="173">
        <f>VLOOKUP(C24,Спецтехника!$B$16:$J$104,6,0)</f>
        <v>19</v>
      </c>
      <c r="Q24" s="196">
        <f>VLOOKUP(C24,Спецтехника!$B$16:$J$104,7,0)</f>
        <v>0.0579268292682927</v>
      </c>
      <c r="R24" s="197"/>
      <c r="S24" s="137"/>
      <c r="T24" s="170"/>
      <c r="U24" s="170"/>
      <c r="V24" s="171"/>
      <c r="W24" s="172">
        <f>VLOOKUP($C24,МНО!$B$16:$AB$104,16,0)</f>
        <v>17867</v>
      </c>
      <c r="X24" s="173">
        <f>VLOOKUP($C24,МНО!$B$16:$AB$104,8,0)</f>
        <v>17823</v>
      </c>
      <c r="Y24" s="173">
        <f>VLOOKUP($C24,МНО!$B$16:$AB$104,11,0)</f>
        <v>44</v>
      </c>
      <c r="Z24" s="216">
        <f>VLOOKUP($C24,МНО!$B$16:$AB$104,17,0)</f>
        <v>0.00246264062237645</v>
      </c>
      <c r="AA24" s="213"/>
      <c r="AB24" s="214">
        <f>VLOOKUP($C24,МНО!$B$16:$AB$104,13,0)</f>
        <v>9.64597876759279</v>
      </c>
      <c r="AC24" s="215">
        <f>VLOOKUP($C24,МНО!$B$16:$AB$104,18,0)</f>
        <v>1</v>
      </c>
      <c r="AD24" s="176">
        <f>VLOOKUP($C24,Контейнеры!$B$16:$AB$104,16,0)</f>
        <v>45503</v>
      </c>
      <c r="AE24" s="177">
        <f>VLOOKUP($C24,Контейнеры!$B$16:$AB$104,8,0)</f>
        <v>39609</v>
      </c>
      <c r="AF24" s="177">
        <f>VLOOKUP($C24,Контейнеры!$B$16:$AB$104,11,0)</f>
        <v>5894</v>
      </c>
      <c r="AG24" s="217">
        <f>VLOOKUP($C24,Контейнеры!$B$16:$AB$104,17,0)</f>
        <v>0.129529921104103</v>
      </c>
      <c r="AH24" s="213"/>
      <c r="AI24" s="214">
        <f>VLOOKUP($C24,Контейнеры!$B$16:$AB$104,13,0)</f>
        <v>22.5129675921032</v>
      </c>
      <c r="AJ24" s="215">
        <f>VLOOKUP($C24,Контейнеры!$B$16:$AB$104,18,0)</f>
        <v>0.970761237194255</v>
      </c>
      <c r="AK24" s="231"/>
      <c r="AL24" s="170"/>
      <c r="AM24" s="170"/>
      <c r="AN24" s="232"/>
      <c r="AO24" s="261">
        <f>VLOOKUP($C24,Обработка!$B$16:$L$104,6,0)</f>
        <v>0.323</v>
      </c>
      <c r="AP24" s="259">
        <f t="shared" si="4"/>
        <v>-0.22</v>
      </c>
      <c r="AQ24" s="259">
        <f>VLOOKUP($C24,Обработка!$B$16:$L$104,7,0)</f>
        <v>0.406</v>
      </c>
      <c r="AR24" s="262">
        <f t="shared" si="5"/>
        <v>-0.401</v>
      </c>
      <c r="AS24" s="253">
        <f>VLOOKUP($C24,Утилизация!$B$16:$L$104,6,0)</f>
        <v>0.017</v>
      </c>
      <c r="AT24" s="251">
        <f t="shared" si="6"/>
        <v>-0.122</v>
      </c>
      <c r="AU24" s="251">
        <f>VLOOKUP($C24,Утилизация!$B$16:$L$104,7,0)</f>
        <v>0.091</v>
      </c>
      <c r="AV24" s="254">
        <f t="shared" si="7"/>
        <v>-0.195</v>
      </c>
      <c r="AW24" s="284" t="str">
        <f>VLOOKUP(C24,Захоронение!$B$16:$Q$104,16,0)</f>
        <v/>
      </c>
      <c r="AX24" s="231"/>
      <c r="AY24" s="170"/>
      <c r="AZ24" s="170"/>
      <c r="BA24" s="171"/>
      <c r="BB24" s="280" t="str">
        <f>VLOOKUP(C24,'ДК ИП'!$B$16:$S$104,5,0)</f>
        <v>небольшое</v>
      </c>
      <c r="BC24" s="327">
        <f>VLOOKUP(C24,'Радар олд'!$B$3:$E$87,4,0)</f>
        <v>0.0306925256879389</v>
      </c>
      <c r="BD24" s="171"/>
      <c r="BI24" s="9">
        <f t="shared" si="8"/>
        <v>0</v>
      </c>
      <c r="BJ24" s="9">
        <f>VLOOKUP(C24,Штаб!$B$16:$C$104,2)</f>
        <v>0</v>
      </c>
      <c r="BK24" s="9">
        <f>VLOOKUP(C24,'РО - регионы'!$B$16:$C$104,2)</f>
        <v>0</v>
      </c>
      <c r="BL24" s="9">
        <f>VLOOKUP(C24,'РО - регионы'!$B$16:$L$104,11)</f>
        <v>0</v>
      </c>
      <c r="BM24" s="9">
        <f>VLOOKUP(C24,Спецтехника!$B$16:$C$104,2)</f>
        <v>0</v>
      </c>
      <c r="BN24" s="9">
        <f>VLOOKUP($C24,МНО!$B$16:$AB$104,6,0)</f>
        <v>0</v>
      </c>
      <c r="BO24" s="9">
        <f>VLOOKUP($C24,МНО!$B$16:$AB$104,4,0)</f>
        <v>0</v>
      </c>
      <c r="BP24" s="9">
        <f>VLOOKUP($C24,МНО!$B$16:$AB$104,5,0)</f>
        <v>0</v>
      </c>
      <c r="BQ24" s="9">
        <f>VLOOKUP($C24,Контейнеры!$B$16:$G$104,6,0)</f>
        <v>0</v>
      </c>
      <c r="BR24" s="9">
        <f>VLOOKUP($C24,Контейнеры!$B$16:$G$104,4,0)</f>
        <v>0</v>
      </c>
      <c r="BS24" s="9">
        <f>VLOOKUP($C24,Контейнеры!$B$16:$G$104,5,0)</f>
        <v>0</v>
      </c>
      <c r="BT24" s="9">
        <f>VLOOKUP($C24,'ДК МНО'!$B$16:$C$104,2,0)</f>
        <v>2</v>
      </c>
      <c r="BU24" s="9">
        <f>VLOOKUP($C24,Обработка!$B$16:$F$104,5,0)</f>
        <v>1</v>
      </c>
      <c r="BV24" s="9">
        <f>VLOOKUP($C24,Обработка!$B$16:$F$104,4,0)</f>
        <v>1</v>
      </c>
      <c r="BW24" s="9">
        <f>VLOOKUP($C24,Утилизация!$B$16:$F$104,5,0)</f>
        <v>2</v>
      </c>
      <c r="BX24" s="9">
        <f>VLOOKUP($C24,Утилизация!$B$16:$F$104,4,0)</f>
        <v>2</v>
      </c>
      <c r="BY24" s="9">
        <f>VLOOKUP($C24,Захоронение!$B$16:$C$104,2,0)</f>
        <v>0</v>
      </c>
      <c r="BZ24" s="9">
        <f>VLOOKUP($C24,'ДК ИП'!$B$16:$C$104,2,0)</f>
        <v>0</v>
      </c>
      <c r="CA24" s="9">
        <f t="shared" si="9"/>
        <v>0.3</v>
      </c>
    </row>
    <row r="25" ht="30" customHeight="1" spans="1:79">
      <c r="A25" s="6" t="s">
        <v>85</v>
      </c>
      <c r="B25" s="331">
        <f t="shared" si="3"/>
        <v>15</v>
      </c>
      <c r="C25" s="332" t="s">
        <v>86</v>
      </c>
      <c r="D25" s="333" t="str">
        <f>VLOOKUP($C25,Штаб!$B$16:$J$104,6,0)</f>
        <v/>
      </c>
      <c r="E25" s="334" t="str">
        <f>VLOOKUP($C25,Штаб!$B$16:$J$104,7,0)</f>
        <v/>
      </c>
      <c r="F25" s="334" t="str">
        <f>VLOOKUP($C25,Штаб!$B$16:$J$104,8,0)</f>
        <v>✔️</v>
      </c>
      <c r="G25" s="335" t="str">
        <f>VLOOKUP($C25,Штаб!$B$16:$J$104,9,0)</f>
        <v/>
      </c>
      <c r="H25" s="284" t="str">
        <f>VLOOKUP(C25,'РО - регионы'!$B$16:$I$104,8,0)</f>
        <v>0 / 0 / 1 из 1</v>
      </c>
      <c r="I25" s="169"/>
      <c r="J25" s="137"/>
      <c r="K25" s="170"/>
      <c r="L25" s="170"/>
      <c r="M25" s="171"/>
      <c r="N25" s="172">
        <f>VLOOKUP(C25,Спецтехника!$B$16:$J$104,4,0)</f>
        <v>244</v>
      </c>
      <c r="O25" s="173">
        <f>VLOOKUP(C25,Спецтехника!$B$16:$J$104,5,0)</f>
        <v>231</v>
      </c>
      <c r="P25" s="173">
        <f>VLOOKUP(C25,Спецтехника!$B$16:$J$104,6,0)</f>
        <v>13</v>
      </c>
      <c r="Q25" s="196">
        <f>VLOOKUP(C25,Спецтехника!$B$16:$J$104,7,0)</f>
        <v>0.0532786885245902</v>
      </c>
      <c r="R25" s="197"/>
      <c r="S25" s="137"/>
      <c r="T25" s="170"/>
      <c r="U25" s="170"/>
      <c r="V25" s="171"/>
      <c r="W25" s="176">
        <f>VLOOKUP($C25,МНО!$B$16:$AB$104,16,0)</f>
        <v>26057</v>
      </c>
      <c r="X25" s="177">
        <f>VLOOKUP($C25,МНО!$B$16:$AB$104,8,0)</f>
        <v>20660</v>
      </c>
      <c r="Y25" s="177">
        <f>VLOOKUP($C25,МНО!$B$16:$AB$104,11,0)</f>
        <v>5397</v>
      </c>
      <c r="Z25" s="217">
        <f>VLOOKUP($C25,МНО!$B$16:$AB$104,17,0)</f>
        <v>0.207122846068235</v>
      </c>
      <c r="AA25" s="213"/>
      <c r="AB25" s="214">
        <f>VLOOKUP($C25,МНО!$B$16:$AB$104,13,0)</f>
        <v>8.14092517292895</v>
      </c>
      <c r="AC25" s="215">
        <f>VLOOKUP($C25,МНО!$B$16:$AB$104,18,0)</f>
        <v>1</v>
      </c>
      <c r="AD25" s="176">
        <f>VLOOKUP($C25,Контейнеры!$B$16:$AB$104,16,0)</f>
        <v>49272</v>
      </c>
      <c r="AE25" s="177">
        <f>VLOOKUP($C25,Контейнеры!$B$16:$AB$104,8,0)</f>
        <v>32010</v>
      </c>
      <c r="AF25" s="177">
        <f>VLOOKUP($C25,Контейнеры!$B$16:$AB$104,11,0)</f>
        <v>17262</v>
      </c>
      <c r="AG25" s="217">
        <f>VLOOKUP($C25,Контейнеры!$B$16:$AB$104,17,0)</f>
        <v>0.35034096444228</v>
      </c>
      <c r="AH25" s="213"/>
      <c r="AI25" s="214">
        <f>VLOOKUP($C25,Контейнеры!$B$16:$AB$104,13,0)</f>
        <v>13.0445519740429</v>
      </c>
      <c r="AJ25" s="215">
        <f>VLOOKUP($C25,Контейнеры!$B$16:$AB$104,18,0)</f>
        <v>1</v>
      </c>
      <c r="AK25" s="231"/>
      <c r="AL25" s="170"/>
      <c r="AM25" s="170"/>
      <c r="AN25" s="232"/>
      <c r="AO25" s="257">
        <f>VLOOKUP($C25,Обработка!$B$16:$L$104,6,0)</f>
        <v>0.802</v>
      </c>
      <c r="AP25" s="250">
        <f t="shared" si="4"/>
        <v>0.259</v>
      </c>
      <c r="AQ25" s="259">
        <f>VLOOKUP($C25,Обработка!$B$16:$L$104,7,0)</f>
        <v>0.8</v>
      </c>
      <c r="AR25" s="262">
        <f t="shared" si="5"/>
        <v>-0.00700000000000001</v>
      </c>
      <c r="AS25" s="253">
        <f>VLOOKUP($C25,Утилизация!$B$16:$L$104,6,0)</f>
        <v>0.048</v>
      </c>
      <c r="AT25" s="251">
        <f t="shared" si="6"/>
        <v>-0.091</v>
      </c>
      <c r="AU25" s="251">
        <f>VLOOKUP($C25,Утилизация!$B$16:$L$104,7,0)</f>
        <v>0.047</v>
      </c>
      <c r="AV25" s="254">
        <f t="shared" si="7"/>
        <v>-0.239</v>
      </c>
      <c r="AW25" s="284" t="str">
        <f>VLOOKUP(C25,Захоронение!$B$16:$Q$104,16,0)</f>
        <v/>
      </c>
      <c r="AX25" s="231"/>
      <c r="AY25" s="170"/>
      <c r="AZ25" s="170"/>
      <c r="BA25" s="171"/>
      <c r="BB25" s="280" t="str">
        <f>VLOOKUP(C25,'ДК ИП'!$B$16:$S$104,5,0)</f>
        <v>не подписана</v>
      </c>
      <c r="BC25" s="327">
        <f>VLOOKUP(C25,'Радар олд'!$B$3:$E$87,4,0)</f>
        <v>0.0721301374384754</v>
      </c>
      <c r="BD25" s="171"/>
      <c r="BI25" s="9">
        <f t="shared" si="8"/>
        <v>0</v>
      </c>
      <c r="BJ25" s="9">
        <f>VLOOKUP(C25,Штаб!$B$16:$C$104,2)</f>
        <v>1</v>
      </c>
      <c r="BK25" s="9">
        <f>VLOOKUP(C25,'РО - регионы'!$B$16:$C$104,2)</f>
        <v>0</v>
      </c>
      <c r="BL25" s="9">
        <f>VLOOKUP(C25,'РО - регионы'!$B$16:$L$104,11)</f>
        <v>0</v>
      </c>
      <c r="BM25" s="9">
        <f>VLOOKUP(C25,Спецтехника!$B$16:$C$104,2)</f>
        <v>0</v>
      </c>
      <c r="BN25" s="9">
        <f>VLOOKUP($C25,МНО!$B$16:$AB$104,6,0)</f>
        <v>1</v>
      </c>
      <c r="BO25" s="9">
        <f>VLOOKUP($C25,МНО!$B$16:$AB$104,4,0)</f>
        <v>0</v>
      </c>
      <c r="BP25" s="9">
        <f>VLOOKUP($C25,МНО!$B$16:$AB$104,5,0)</f>
        <v>0</v>
      </c>
      <c r="BQ25" s="9">
        <f>VLOOKUP($C25,Контейнеры!$B$16:$G$104,6,0)</f>
        <v>2</v>
      </c>
      <c r="BR25" s="9">
        <f>VLOOKUP($C25,Контейнеры!$B$16:$G$104,4,0)</f>
        <v>0</v>
      </c>
      <c r="BS25" s="9">
        <f>VLOOKUP($C25,Контейнеры!$B$16:$G$104,5,0)</f>
        <v>0</v>
      </c>
      <c r="BT25" s="9">
        <f>VLOOKUP($C25,'ДК МНО'!$B$16:$C$104,2,0)</f>
        <v>2</v>
      </c>
      <c r="BU25" s="9">
        <f>VLOOKUP($C25,Обработка!$B$16:$F$104,5,0)</f>
        <v>1</v>
      </c>
      <c r="BV25" s="9">
        <f>VLOOKUP($C25,Обработка!$B$16:$F$104,4,0)</f>
        <v>0</v>
      </c>
      <c r="BW25" s="9">
        <f>VLOOKUP($C25,Утилизация!$B$16:$F$104,5,0)</f>
        <v>2</v>
      </c>
      <c r="BX25" s="9">
        <f>VLOOKUP($C25,Утилизация!$B$16:$F$104,4,0)</f>
        <v>2</v>
      </c>
      <c r="BY25" s="9">
        <f>VLOOKUP($C25,Захоронение!$B$16:$C$104,2,0)</f>
        <v>0</v>
      </c>
      <c r="BZ25" s="9">
        <f>VLOOKUP($C25,'ДК ИП'!$B$16:$C$104,2,0)</f>
        <v>0</v>
      </c>
      <c r="CA25" s="9">
        <f t="shared" si="9"/>
        <v>0.4</v>
      </c>
    </row>
    <row r="26" ht="30" customHeight="1" spans="1:79">
      <c r="A26" s="6" t="s">
        <v>67</v>
      </c>
      <c r="B26" s="331">
        <f t="shared" si="3"/>
        <v>16</v>
      </c>
      <c r="C26" s="332" t="s">
        <v>87</v>
      </c>
      <c r="D26" s="333" t="str">
        <f>VLOOKUP($C26,Штаб!$B$16:$J$104,6,0)</f>
        <v>✔️</v>
      </c>
      <c r="E26" s="334" t="str">
        <f>VLOOKUP($C26,Штаб!$B$16:$J$104,7,0)</f>
        <v/>
      </c>
      <c r="F26" s="334" t="str">
        <f>VLOOKUP($C26,Штаб!$B$16:$J$104,8,0)</f>
        <v/>
      </c>
      <c r="G26" s="335" t="str">
        <f>VLOOKUP($C26,Штаб!$B$16:$J$104,9,0)</f>
        <v/>
      </c>
      <c r="H26" s="284" t="str">
        <f>VLOOKUP(C26,'РО - регионы'!$B$16:$I$104,8,0)</f>
        <v>0 / 0 / 1 из 1</v>
      </c>
      <c r="I26" s="169"/>
      <c r="J26" s="137"/>
      <c r="K26" s="170"/>
      <c r="L26" s="170"/>
      <c r="M26" s="171"/>
      <c r="N26" s="174">
        <f>VLOOKUP(C26,Спецтехника!$B$16:$J$104,4,0)</f>
        <v>164</v>
      </c>
      <c r="O26" s="175">
        <f>VLOOKUP(C26,Спецтехника!$B$16:$J$104,5,0)</f>
        <v>142</v>
      </c>
      <c r="P26" s="175">
        <f>VLOOKUP(C26,Спецтехника!$B$16:$J$104,6,0)</f>
        <v>22</v>
      </c>
      <c r="Q26" s="198">
        <f>VLOOKUP(C26,Спецтехника!$B$16:$J$104,7,0)</f>
        <v>0.134146341463415</v>
      </c>
      <c r="R26" s="197"/>
      <c r="S26" s="137"/>
      <c r="T26" s="170"/>
      <c r="U26" s="170"/>
      <c r="V26" s="171"/>
      <c r="W26" s="176">
        <f>VLOOKUP($C26,МНО!$B$16:$AB$104,16,0)</f>
        <v>8572</v>
      </c>
      <c r="X26" s="177">
        <f>VLOOKUP($C26,МНО!$B$16:$AB$104,8,0)</f>
        <v>7982</v>
      </c>
      <c r="Y26" s="177">
        <f>VLOOKUP($C26,МНО!$B$16:$AB$104,11,0)</f>
        <v>590</v>
      </c>
      <c r="Z26" s="217">
        <f>VLOOKUP($C26,МНО!$B$16:$AB$104,17,0)</f>
        <v>0.06882874475035</v>
      </c>
      <c r="AA26" s="213"/>
      <c r="AB26" s="214">
        <f>VLOOKUP($C26,МНО!$B$16:$AB$104,13,0)</f>
        <v>7.43347591280501</v>
      </c>
      <c r="AC26" s="215">
        <f>VLOOKUP($C26,МНО!$B$16:$AB$104,18,0)</f>
        <v>0.982158237972191</v>
      </c>
      <c r="AD26" s="176">
        <f>VLOOKUP($C26,Контейнеры!$B$16:$AB$104,16,0)</f>
        <v>21704</v>
      </c>
      <c r="AE26" s="177">
        <f>VLOOKUP($C26,Контейнеры!$B$16:$AB$104,8,0)</f>
        <v>20456</v>
      </c>
      <c r="AF26" s="177">
        <f>VLOOKUP($C26,Контейнеры!$B$16:$AB$104,11,0)</f>
        <v>1248</v>
      </c>
      <c r="AG26" s="217">
        <f>VLOOKUP($C26,Контейнеры!$B$16:$AB$104,17,0)</f>
        <v>0.0575009214891264</v>
      </c>
      <c r="AH26" s="213"/>
      <c r="AI26" s="214">
        <f>VLOOKUP($C26,Контейнеры!$B$16:$AB$104,13,0)</f>
        <v>19.1462079164366</v>
      </c>
      <c r="AJ26" s="215">
        <f>VLOOKUP($C26,Контейнеры!$B$16:$AB$104,18,0)</f>
        <v>1</v>
      </c>
      <c r="AK26" s="231"/>
      <c r="AL26" s="170"/>
      <c r="AM26" s="170"/>
      <c r="AN26" s="232"/>
      <c r="AO26" s="257">
        <f>VLOOKUP($C26,Обработка!$B$16:$L$104,6,0)</f>
        <v>0.996</v>
      </c>
      <c r="AP26" s="250">
        <f t="shared" si="4"/>
        <v>0.453</v>
      </c>
      <c r="AQ26" s="250">
        <f>VLOOKUP($C26,Обработка!$B$16:$L$104,7,0)</f>
        <v>1</v>
      </c>
      <c r="AR26" s="255">
        <f t="shared" si="5"/>
        <v>0.193</v>
      </c>
      <c r="AS26" s="258">
        <f>VLOOKUP($C26,Утилизация!$B$16:$L$104,6,0)</f>
        <v>0.121</v>
      </c>
      <c r="AT26" s="259">
        <f t="shared" si="6"/>
        <v>-0.018</v>
      </c>
      <c r="AU26" s="259">
        <f>VLOOKUP($C26,Утилизация!$B$16:$L$104,7,0)</f>
        <v>0.248</v>
      </c>
      <c r="AV26" s="260">
        <f t="shared" si="7"/>
        <v>-0.038</v>
      </c>
      <c r="AW26" s="284" t="str">
        <f>VLOOKUP(C26,Захоронение!$B$16:$Q$104,16,0)</f>
        <v/>
      </c>
      <c r="AX26" s="231"/>
      <c r="AY26" s="170"/>
      <c r="AZ26" s="170"/>
      <c r="BA26" s="171"/>
      <c r="BB26" s="280" t="str">
        <f>VLOOKUP(C26,'ДК ИП'!$B$16:$S$104,5,0)</f>
        <v>среднее</v>
      </c>
      <c r="BC26" s="327">
        <f>VLOOKUP(C26,'Радар олд'!$B$3:$E$87,4,0)</f>
        <v>0.158178976235715</v>
      </c>
      <c r="BD26" s="171"/>
      <c r="BI26" s="9">
        <f t="shared" si="8"/>
        <v>0</v>
      </c>
      <c r="BJ26" s="9">
        <f>VLOOKUP(C26,Штаб!$B$16:$C$104,2)</f>
        <v>0</v>
      </c>
      <c r="BK26" s="9">
        <f>VLOOKUP(C26,'РО - регионы'!$B$16:$C$104,2)</f>
        <v>0</v>
      </c>
      <c r="BL26" s="9">
        <f>VLOOKUP(C26,'РО - регионы'!$B$16:$L$104,11)</f>
        <v>0</v>
      </c>
      <c r="BM26" s="9">
        <f>VLOOKUP(C26,Спецтехника!$B$16:$C$104,2)</f>
        <v>1</v>
      </c>
      <c r="BN26" s="9">
        <f>VLOOKUP($C26,МНО!$B$16:$AB$104,6,0)</f>
        <v>0</v>
      </c>
      <c r="BO26" s="9">
        <f>VLOOKUP($C26,МНО!$B$16:$AB$104,4,0)</f>
        <v>0</v>
      </c>
      <c r="BP26" s="9">
        <f>VLOOKUP($C26,МНО!$B$16:$AB$104,5,0)</f>
        <v>0</v>
      </c>
      <c r="BQ26" s="9">
        <f>VLOOKUP($C26,Контейнеры!$B$16:$G$104,6,0)</f>
        <v>0</v>
      </c>
      <c r="BR26" s="9">
        <f>VLOOKUP($C26,Контейнеры!$B$16:$G$104,4,0)</f>
        <v>0</v>
      </c>
      <c r="BS26" s="9">
        <f>VLOOKUP($C26,Контейнеры!$B$16:$G$104,5,0)</f>
        <v>0</v>
      </c>
      <c r="BT26" s="9">
        <f>VLOOKUP($C26,'ДК МНО'!$B$16:$C$104,2,0)</f>
        <v>2</v>
      </c>
      <c r="BU26" s="9">
        <f>VLOOKUP($C26,Обработка!$B$16:$F$104,5,0)</f>
        <v>0</v>
      </c>
      <c r="BV26" s="9">
        <f>VLOOKUP($C26,Обработка!$B$16:$F$104,4,0)</f>
        <v>0</v>
      </c>
      <c r="BW26" s="9">
        <f>VLOOKUP($C26,Утилизация!$B$16:$F$104,5,0)</f>
        <v>1</v>
      </c>
      <c r="BX26" s="9">
        <f>VLOOKUP($C26,Утилизация!$B$16:$F$104,4,0)</f>
        <v>1</v>
      </c>
      <c r="BY26" s="9">
        <f>VLOOKUP($C26,Захоронение!$B$16:$C$104,2,0)</f>
        <v>0</v>
      </c>
      <c r="BZ26" s="9">
        <f>VLOOKUP($C26,'ДК ИП'!$B$16:$C$104,2,0)</f>
        <v>1</v>
      </c>
      <c r="CA26" s="9">
        <f t="shared" si="9"/>
        <v>0.25</v>
      </c>
    </row>
    <row r="27" ht="30" customHeight="1" spans="1:79">
      <c r="A27" s="6" t="s">
        <v>74</v>
      </c>
      <c r="B27" s="331">
        <f t="shared" si="3"/>
        <v>17</v>
      </c>
      <c r="C27" s="332" t="s">
        <v>88</v>
      </c>
      <c r="D27" s="333" t="str">
        <f>VLOOKUP($C27,Штаб!$B$16:$J$104,6,0)</f>
        <v/>
      </c>
      <c r="E27" s="334" t="str">
        <f>VLOOKUP($C27,Штаб!$B$16:$J$104,7,0)</f>
        <v/>
      </c>
      <c r="F27" s="334" t="str">
        <f>VLOOKUP($C27,Штаб!$B$16:$J$104,8,0)</f>
        <v>✔️</v>
      </c>
      <c r="G27" s="335" t="str">
        <f>VLOOKUP($C27,Штаб!$B$16:$J$104,9,0)</f>
        <v/>
      </c>
      <c r="H27" s="283" t="str">
        <f>VLOOKUP(C27,'РО - регионы'!$B$16:$I$104,8,0)</f>
        <v>0 / 2 / 3 из 5</v>
      </c>
      <c r="I27" s="169"/>
      <c r="J27" s="137"/>
      <c r="K27" s="170"/>
      <c r="L27" s="170"/>
      <c r="M27" s="171"/>
      <c r="N27" s="174">
        <f>VLOOKUP(C27,Спецтехника!$B$16:$J$104,4,0)</f>
        <v>580</v>
      </c>
      <c r="O27" s="175">
        <f>VLOOKUP(C27,Спецтехника!$B$16:$J$104,5,0)</f>
        <v>526</v>
      </c>
      <c r="P27" s="175">
        <f>VLOOKUP(C27,Спецтехника!$B$16:$J$104,6,0)</f>
        <v>54</v>
      </c>
      <c r="Q27" s="198">
        <f>VLOOKUP(C27,Спецтехника!$B$16:$J$104,7,0)</f>
        <v>0.0931034482758621</v>
      </c>
      <c r="R27" s="197"/>
      <c r="S27" s="137"/>
      <c r="T27" s="170"/>
      <c r="U27" s="170"/>
      <c r="V27" s="171"/>
      <c r="W27" s="172">
        <f>VLOOKUP($C27,МНО!$B$16:$AB$104,16,0)</f>
        <v>46019</v>
      </c>
      <c r="X27" s="173">
        <f>VLOOKUP($C27,МНО!$B$16:$AB$104,8,0)</f>
        <v>43337</v>
      </c>
      <c r="Y27" s="173">
        <f>VLOOKUP($C27,МНО!$B$16:$AB$104,11,0)</f>
        <v>2682</v>
      </c>
      <c r="Z27" s="216">
        <f>VLOOKUP($C27,МНО!$B$16:$AB$104,17,0)</f>
        <v>0.0582802755383646</v>
      </c>
      <c r="AA27" s="213"/>
      <c r="AB27" s="214">
        <f>VLOOKUP($C27,МНО!$B$16:$AB$104,13,0)</f>
        <v>9.38031833294336</v>
      </c>
      <c r="AC27" s="215">
        <f>VLOOKUP($C27,МНО!$B$16:$AB$104,18,0)</f>
        <v>1</v>
      </c>
      <c r="AD27" s="172">
        <f>VLOOKUP($C27,Контейнеры!$B$16:$AB$104,16,0)</f>
        <v>113717</v>
      </c>
      <c r="AE27" s="173">
        <f>VLOOKUP($C27,Контейнеры!$B$16:$AB$104,8,0)</f>
        <v>103522</v>
      </c>
      <c r="AF27" s="173">
        <f>VLOOKUP($C27,Контейнеры!$B$16:$AB$104,11,0)</f>
        <v>10195</v>
      </c>
      <c r="AG27" s="216">
        <f>VLOOKUP($C27,Контейнеры!$B$16:$AB$104,17,0)</f>
        <v>0.0896523826692579</v>
      </c>
      <c r="AH27" s="213"/>
      <c r="AI27" s="214">
        <f>VLOOKUP($C27,Контейнеры!$B$16:$AB$104,13,0)</f>
        <v>25.4706705432908</v>
      </c>
      <c r="AJ27" s="215">
        <f>VLOOKUP($C27,Контейнеры!$B$16:$AB$104,18,0)</f>
        <v>1</v>
      </c>
      <c r="AK27" s="231"/>
      <c r="AL27" s="170"/>
      <c r="AM27" s="170"/>
      <c r="AN27" s="232"/>
      <c r="AO27" s="261">
        <f>VLOOKUP($C27,Обработка!$B$16:$L$104,6,0)</f>
        <v>0.436</v>
      </c>
      <c r="AP27" s="259">
        <f t="shared" si="4"/>
        <v>-0.107</v>
      </c>
      <c r="AQ27" s="259">
        <f>VLOOKUP($C27,Обработка!$B$16:$L$104,7,0)</f>
        <v>0.8</v>
      </c>
      <c r="AR27" s="262">
        <f t="shared" si="5"/>
        <v>-0.00700000000000001</v>
      </c>
      <c r="AS27" s="253">
        <f>VLOOKUP($C27,Утилизация!$B$16:$L$104,6,0)</f>
        <v>0.058</v>
      </c>
      <c r="AT27" s="251">
        <f t="shared" si="6"/>
        <v>-0.081</v>
      </c>
      <c r="AU27" s="250">
        <f>VLOOKUP($C27,Утилизация!$B$16:$L$104,7,0)</f>
        <v>0.349</v>
      </c>
      <c r="AV27" s="256">
        <f t="shared" si="7"/>
        <v>0.063</v>
      </c>
      <c r="AW27" s="284" t="str">
        <f>VLOOKUP(C27,Захоронение!$B$16:$Q$104,16,0)</f>
        <v/>
      </c>
      <c r="AX27" s="231"/>
      <c r="AY27" s="170"/>
      <c r="AZ27" s="170"/>
      <c r="BA27" s="171"/>
      <c r="BB27" s="280" t="str">
        <f>VLOOKUP(C27,'ДК ИП'!$B$16:$S$104,5,0)</f>
        <v>небольшое</v>
      </c>
      <c r="BC27" s="327">
        <f>VLOOKUP(C27,'Радар олд'!$B$3:$E$87,4,0)</f>
        <v>0.0467478159543407</v>
      </c>
      <c r="BD27" s="171"/>
      <c r="BI27" s="9">
        <f t="shared" si="8"/>
        <v>0</v>
      </c>
      <c r="BJ27" s="9">
        <f>VLOOKUP(C27,Штаб!$B$16:$C$104,2)</f>
        <v>1</v>
      </c>
      <c r="BK27" s="9">
        <f>VLOOKUP(C27,'РО - регионы'!$B$16:$C$104,2)</f>
        <v>1</v>
      </c>
      <c r="BL27" s="9">
        <f>VLOOKUP(C27,'РО - регионы'!$B$16:$L$104,11)</f>
        <v>2</v>
      </c>
      <c r="BM27" s="9">
        <f>VLOOKUP(C27,Спецтехника!$B$16:$C$104,2)</f>
        <v>1</v>
      </c>
      <c r="BN27" s="9">
        <f>VLOOKUP($C27,МНО!$B$16:$AB$104,6,0)</f>
        <v>0</v>
      </c>
      <c r="BO27" s="9">
        <f>VLOOKUP($C27,МНО!$B$16:$AB$104,4,0)</f>
        <v>0</v>
      </c>
      <c r="BP27" s="9">
        <f>VLOOKUP($C27,МНО!$B$16:$AB$104,5,0)</f>
        <v>0</v>
      </c>
      <c r="BQ27" s="9">
        <f>VLOOKUP($C27,Контейнеры!$B$16:$G$104,6,0)</f>
        <v>0</v>
      </c>
      <c r="BR27" s="9">
        <f>VLOOKUP($C27,Контейнеры!$B$16:$G$104,4,0)</f>
        <v>0</v>
      </c>
      <c r="BS27" s="9">
        <f>VLOOKUP($C27,Контейнеры!$B$16:$G$104,5,0)</f>
        <v>0</v>
      </c>
      <c r="BT27" s="9">
        <f>VLOOKUP($C27,'ДК МНО'!$B$16:$C$104,2,0)</f>
        <v>2</v>
      </c>
      <c r="BU27" s="9">
        <f>VLOOKUP($C27,Обработка!$B$16:$F$104,5,0)</f>
        <v>1</v>
      </c>
      <c r="BV27" s="9">
        <f>VLOOKUP($C27,Обработка!$B$16:$F$104,4,0)</f>
        <v>1</v>
      </c>
      <c r="BW27" s="9">
        <f>VLOOKUP($C27,Утилизация!$B$16:$F$104,5,0)</f>
        <v>0</v>
      </c>
      <c r="BX27" s="9">
        <f>VLOOKUP($C27,Утилизация!$B$16:$F$104,4,0)</f>
        <v>2</v>
      </c>
      <c r="BY27" s="9">
        <f>VLOOKUP($C27,Захоронение!$B$16:$C$104,2,0)</f>
        <v>0</v>
      </c>
      <c r="BZ27" s="9">
        <f>VLOOKUP($C27,'ДК ИП'!$B$16:$C$104,2,0)</f>
        <v>0</v>
      </c>
      <c r="CA27" s="9">
        <f t="shared" si="9"/>
        <v>0.45</v>
      </c>
    </row>
    <row r="28" ht="30" customHeight="1" spans="1:79">
      <c r="A28" s="6" t="s">
        <v>67</v>
      </c>
      <c r="B28" s="331">
        <f t="shared" si="3"/>
        <v>18</v>
      </c>
      <c r="C28" s="332" t="s">
        <v>89</v>
      </c>
      <c r="D28" s="333" t="str">
        <f>VLOOKUP($C28,Штаб!$B$16:$J$104,6,0)</f>
        <v>✔️</v>
      </c>
      <c r="E28" s="334" t="str">
        <f>VLOOKUP($C28,Штаб!$B$16:$J$104,7,0)</f>
        <v/>
      </c>
      <c r="F28" s="334" t="str">
        <f>VLOOKUP($C28,Штаб!$B$16:$J$104,8,0)</f>
        <v/>
      </c>
      <c r="G28" s="335" t="str">
        <f>VLOOKUP($C28,Штаб!$B$16:$J$104,9,0)</f>
        <v/>
      </c>
      <c r="H28" s="284" t="str">
        <f>VLOOKUP(C28,'РО - регионы'!$B$16:$I$104,8,0)</f>
        <v>0 / 0 / 3 из 3</v>
      </c>
      <c r="I28" s="169"/>
      <c r="J28" s="137"/>
      <c r="K28" s="170"/>
      <c r="L28" s="170"/>
      <c r="M28" s="171"/>
      <c r="N28" s="172">
        <f>VLOOKUP(C28,Спецтехника!$B$16:$J$104,4,0)</f>
        <v>141</v>
      </c>
      <c r="O28" s="173">
        <f>VLOOKUP(C28,Спецтехника!$B$16:$J$104,5,0)</f>
        <v>136</v>
      </c>
      <c r="P28" s="173">
        <f>VLOOKUP(C28,Спецтехника!$B$16:$J$104,6,0)</f>
        <v>5</v>
      </c>
      <c r="Q28" s="196">
        <f>VLOOKUP(C28,Спецтехника!$B$16:$J$104,7,0)</f>
        <v>0.0354609929078014</v>
      </c>
      <c r="R28" s="197"/>
      <c r="S28" s="137"/>
      <c r="T28" s="170"/>
      <c r="U28" s="170"/>
      <c r="V28" s="171"/>
      <c r="W28" s="172">
        <f>VLOOKUP($C28,МНО!$B$16:$AB$104,16,0)</f>
        <v>5093</v>
      </c>
      <c r="X28" s="173">
        <f>VLOOKUP($C28,МНО!$B$16:$AB$104,8,0)</f>
        <v>4920</v>
      </c>
      <c r="Y28" s="173">
        <f>VLOOKUP($C28,МНО!$B$16:$AB$104,11,0)</f>
        <v>173</v>
      </c>
      <c r="Z28" s="216">
        <f>VLOOKUP($C28,МНО!$B$16:$AB$104,17,0)</f>
        <v>0.0339681916355782</v>
      </c>
      <c r="AA28" s="213"/>
      <c r="AB28" s="214">
        <f>VLOOKUP($C28,МНО!$B$16:$AB$104,13,0)</f>
        <v>8.42713495071221</v>
      </c>
      <c r="AC28" s="215">
        <f>VLOOKUP($C28,МНО!$B$16:$AB$104,18,0)</f>
        <v>0.741187104549563</v>
      </c>
      <c r="AD28" s="172">
        <f>VLOOKUP($C28,Контейнеры!$B$16:$AB$104,16,0)</f>
        <v>11667</v>
      </c>
      <c r="AE28" s="173">
        <f>VLOOKUP($C28,Контейнеры!$B$16:$AB$104,8,0)</f>
        <v>11159</v>
      </c>
      <c r="AF28" s="173">
        <f>VLOOKUP($C28,Контейнеры!$B$16:$AB$104,11,0)</f>
        <v>508</v>
      </c>
      <c r="AG28" s="216">
        <f>VLOOKUP($C28,Контейнеры!$B$16:$AB$104,17,0)</f>
        <v>0.0435416130967687</v>
      </c>
      <c r="AH28" s="213"/>
      <c r="AI28" s="214">
        <f>VLOOKUP($C28,Контейнеры!$B$16:$AB$104,13,0)</f>
        <v>19.7062864448863</v>
      </c>
      <c r="AJ28" s="215">
        <f>VLOOKUP($C28,Контейнеры!$B$16:$AB$104,18,0)</f>
        <v>0.826898851426454</v>
      </c>
      <c r="AK28" s="231"/>
      <c r="AL28" s="170"/>
      <c r="AM28" s="170"/>
      <c r="AN28" s="232"/>
      <c r="AO28" s="257">
        <f>VLOOKUP($C28,Обработка!$B$16:$L$104,6,0)</f>
        <v>0.942</v>
      </c>
      <c r="AP28" s="250">
        <f t="shared" si="4"/>
        <v>0.399</v>
      </c>
      <c r="AQ28" s="250">
        <f>VLOOKUP($C28,Обработка!$B$16:$L$104,7,0)</f>
        <v>0.85</v>
      </c>
      <c r="AR28" s="255">
        <f t="shared" si="5"/>
        <v>0.0429999999999999</v>
      </c>
      <c r="AS28" s="253">
        <f>VLOOKUP($C28,Утилизация!$B$16:$L$104,6,0)</f>
        <v>0.774</v>
      </c>
      <c r="AT28" s="251">
        <f t="shared" si="6"/>
        <v>0.635</v>
      </c>
      <c r="AU28" s="251">
        <f>VLOOKUP($C28,Утилизация!$B$16:$L$104,7,0)</f>
        <v>0.07</v>
      </c>
      <c r="AV28" s="254">
        <f t="shared" si="7"/>
        <v>-0.216</v>
      </c>
      <c r="AW28" s="283" t="str">
        <f>VLOOKUP(C28,Захоронение!$B$16:$Q$104,16,0)</f>
        <v>перегруз</v>
      </c>
      <c r="AX28" s="231"/>
      <c r="AY28" s="170"/>
      <c r="AZ28" s="170"/>
      <c r="BA28" s="171"/>
      <c r="BB28" s="280" t="str">
        <f>VLOOKUP(C28,'ДК ИП'!$B$16:$S$104,5,0)</f>
        <v>небольшое</v>
      </c>
      <c r="BC28" s="327">
        <f>VLOOKUP(C28,'Радар олд'!$B$3:$E$87,4,0)</f>
        <v>0.058276499030491</v>
      </c>
      <c r="BD28" s="171"/>
      <c r="BI28" s="9">
        <f t="shared" si="8"/>
        <v>0</v>
      </c>
      <c r="BJ28" s="9">
        <f>VLOOKUP(C28,Штаб!$B$16:$C$104,2)</f>
        <v>0</v>
      </c>
      <c r="BK28" s="9">
        <f>VLOOKUP(C28,'РО - регионы'!$B$16:$C$104,2)</f>
        <v>0</v>
      </c>
      <c r="BL28" s="9">
        <f>VLOOKUP(C28,'РО - регионы'!$B$16:$L$104,11)</f>
        <v>0</v>
      </c>
      <c r="BM28" s="9">
        <f>VLOOKUP(C28,Спецтехника!$B$16:$C$104,2)</f>
        <v>0</v>
      </c>
      <c r="BN28" s="9">
        <f>VLOOKUP($C28,МНО!$B$16:$AB$104,6,0)</f>
        <v>0</v>
      </c>
      <c r="BO28" s="9">
        <f>VLOOKUP($C28,МНО!$B$16:$AB$104,4,0)</f>
        <v>0</v>
      </c>
      <c r="BP28" s="9">
        <f>VLOOKUP($C28,МНО!$B$16:$AB$104,5,0)</f>
        <v>1</v>
      </c>
      <c r="BQ28" s="9">
        <f>VLOOKUP($C28,Контейнеры!$B$16:$G$104,6,0)</f>
        <v>0</v>
      </c>
      <c r="BR28" s="9">
        <f>VLOOKUP($C28,Контейнеры!$B$16:$G$104,4,0)</f>
        <v>0</v>
      </c>
      <c r="BS28" s="9">
        <f>VLOOKUP($C28,Контейнеры!$B$16:$G$104,5,0)</f>
        <v>1</v>
      </c>
      <c r="BT28" s="9">
        <f>VLOOKUP($C28,'ДК МНО'!$B$16:$C$104,2,0)</f>
        <v>2</v>
      </c>
      <c r="BU28" s="9">
        <f>VLOOKUP($C28,Обработка!$B$16:$F$104,5,0)</f>
        <v>0</v>
      </c>
      <c r="BV28" s="9">
        <f>VLOOKUP($C28,Обработка!$B$16:$F$104,4,0)</f>
        <v>0</v>
      </c>
      <c r="BW28" s="9">
        <f>VLOOKUP($C28,Утилизация!$B$16:$F$104,5,0)</f>
        <v>2</v>
      </c>
      <c r="BX28" s="9">
        <f>VLOOKUP($C28,Утилизация!$B$16:$F$104,4,0)</f>
        <v>2</v>
      </c>
      <c r="BY28" s="9">
        <f>VLOOKUP($C28,Захоронение!$B$16:$C$104,2,0)</f>
        <v>1</v>
      </c>
      <c r="BZ28" s="9">
        <f>VLOOKUP($C28,'ДК ИП'!$B$16:$C$104,2,0)</f>
        <v>0</v>
      </c>
      <c r="CA28" s="9">
        <f t="shared" si="9"/>
        <v>0.45</v>
      </c>
    </row>
    <row r="29" ht="30" customHeight="1" spans="1:79">
      <c r="A29" s="6" t="s">
        <v>70</v>
      </c>
      <c r="B29" s="331">
        <f t="shared" si="3"/>
        <v>19</v>
      </c>
      <c r="C29" s="332" t="s">
        <v>90</v>
      </c>
      <c r="D29" s="333" t="str">
        <f>VLOOKUP($C29,Штаб!$B$16:$J$104,6,0)</f>
        <v>✔️</v>
      </c>
      <c r="E29" s="334" t="str">
        <f>VLOOKUP($C29,Штаб!$B$16:$J$104,7,0)</f>
        <v/>
      </c>
      <c r="F29" s="334" t="str">
        <f>VLOOKUP($C29,Штаб!$B$16:$J$104,8,0)</f>
        <v/>
      </c>
      <c r="G29" s="335" t="str">
        <f>VLOOKUP($C29,Штаб!$B$16:$J$104,9,0)</f>
        <v/>
      </c>
      <c r="H29" s="283" t="str">
        <f>VLOOKUP(C29,'РО - регионы'!$B$16:$I$104,8,0)</f>
        <v>1 / 2 / 1 из 4</v>
      </c>
      <c r="I29" s="169"/>
      <c r="J29" s="137"/>
      <c r="K29" s="170"/>
      <c r="L29" s="170"/>
      <c r="M29" s="171"/>
      <c r="N29" s="174">
        <f>VLOOKUP(C29,Спецтехника!$B$16:$J$104,4,0)</f>
        <v>79</v>
      </c>
      <c r="O29" s="175">
        <f>VLOOKUP(C29,Спецтехника!$B$16:$J$104,5,0)</f>
        <v>65</v>
      </c>
      <c r="P29" s="175">
        <f>VLOOKUP(C29,Спецтехника!$B$16:$J$104,6,0)</f>
        <v>14</v>
      </c>
      <c r="Q29" s="198">
        <f>VLOOKUP(C29,Спецтехника!$B$16:$J$104,7,0)</f>
        <v>0.177215189873418</v>
      </c>
      <c r="R29" s="197"/>
      <c r="S29" s="137"/>
      <c r="T29" s="170"/>
      <c r="U29" s="170"/>
      <c r="V29" s="171"/>
      <c r="W29" s="172">
        <f>VLOOKUP($C29,МНО!$B$16:$AB$104,16,0)</f>
        <v>4953</v>
      </c>
      <c r="X29" s="173">
        <f>VLOOKUP($C29,МНО!$B$16:$AB$104,8,0)</f>
        <v>4932</v>
      </c>
      <c r="Y29" s="173">
        <f>VLOOKUP($C29,МНО!$B$16:$AB$104,11,0)</f>
        <v>21</v>
      </c>
      <c r="Z29" s="216">
        <f>VLOOKUP($C29,МНО!$B$16:$AB$104,17,0)</f>
        <v>0.00423985463355542</v>
      </c>
      <c r="AA29" s="213"/>
      <c r="AB29" s="214">
        <f>VLOOKUP($C29,МНО!$B$16:$AB$104,13,0)</f>
        <v>8.24923396220472</v>
      </c>
      <c r="AC29" s="215">
        <f>VLOOKUP($C29,МНО!$B$16:$AB$104,18,0)</f>
        <v>1</v>
      </c>
      <c r="AD29" s="172">
        <f>VLOOKUP($C29,Контейнеры!$B$16:$AB$104,16,0)</f>
        <v>9764</v>
      </c>
      <c r="AE29" s="173">
        <f>VLOOKUP($C29,Контейнеры!$B$16:$AB$104,8,0)</f>
        <v>9744</v>
      </c>
      <c r="AF29" s="173">
        <f>VLOOKUP($C29,Контейнеры!$B$16:$AB$104,11,0)</f>
        <v>20</v>
      </c>
      <c r="AG29" s="216">
        <f>VLOOKUP($C29,Контейнеры!$B$16:$AB$104,17,0)</f>
        <v>0.00204834084391643</v>
      </c>
      <c r="AH29" s="213"/>
      <c r="AI29" s="214">
        <f>VLOOKUP($C29,Контейнеры!$B$16:$AB$104,13,0)</f>
        <v>17.0514500907346</v>
      </c>
      <c r="AJ29" s="215">
        <f>VLOOKUP($C29,Контейнеры!$B$16:$AB$104,18,0)</f>
        <v>1</v>
      </c>
      <c r="AK29" s="231"/>
      <c r="AL29" s="170"/>
      <c r="AM29" s="170"/>
      <c r="AN29" s="232"/>
      <c r="AO29" s="257">
        <f>VLOOKUP($C29,Обработка!$B$16:$L$104,6,0)</f>
        <v>0.814</v>
      </c>
      <c r="AP29" s="250">
        <f t="shared" si="4"/>
        <v>0.271</v>
      </c>
      <c r="AQ29" s="259">
        <f>VLOOKUP($C29,Обработка!$B$16:$L$104,7,0)</f>
        <v>0.6</v>
      </c>
      <c r="AR29" s="262">
        <f t="shared" si="5"/>
        <v>-0.207</v>
      </c>
      <c r="AS29" s="258">
        <f>VLOOKUP($C29,Утилизация!$B$16:$L$104,6,0)</f>
        <v>0.129</v>
      </c>
      <c r="AT29" s="259">
        <f t="shared" si="6"/>
        <v>-0.01</v>
      </c>
      <c r="AU29" s="251">
        <f>VLOOKUP($C29,Утилизация!$B$16:$L$104,7,0)</f>
        <v>0.078</v>
      </c>
      <c r="AV29" s="254">
        <f t="shared" si="7"/>
        <v>-0.208</v>
      </c>
      <c r="AW29" s="284" t="str">
        <f>VLOOKUP(C29,Захоронение!$B$16:$Q$104,16,0)</f>
        <v/>
      </c>
      <c r="AX29" s="231"/>
      <c r="AY29" s="170"/>
      <c r="AZ29" s="170"/>
      <c r="BA29" s="171"/>
      <c r="BB29" s="280" t="str">
        <f>VLOOKUP(C29,'ДК ИП'!$B$16:$S$104,5,0)</f>
        <v>небольшое</v>
      </c>
      <c r="BC29" s="327">
        <f>VLOOKUP(C29,'Радар олд'!$B$3:$E$87,4,0)</f>
        <v>0.0454985326723213</v>
      </c>
      <c r="BD29" s="171"/>
      <c r="BI29" s="9">
        <f t="shared" si="8"/>
        <v>0</v>
      </c>
      <c r="BJ29" s="9">
        <f>VLOOKUP(C29,Штаб!$B$16:$C$104,2)</f>
        <v>0</v>
      </c>
      <c r="BK29" s="9">
        <f>VLOOKUP(C29,'РО - регионы'!$B$16:$C$104,2)</f>
        <v>2</v>
      </c>
      <c r="BL29" s="9">
        <f>VLOOKUP(C29,'РО - регионы'!$B$16:$L$104,11)</f>
        <v>2</v>
      </c>
      <c r="BM29" s="9">
        <f>VLOOKUP(C29,Спецтехника!$B$16:$C$104,2)</f>
        <v>1</v>
      </c>
      <c r="BN29" s="9">
        <f>VLOOKUP($C29,МНО!$B$16:$AB$104,6,0)</f>
        <v>0</v>
      </c>
      <c r="BO29" s="9">
        <f>VLOOKUP($C29,МНО!$B$16:$AB$104,4,0)</f>
        <v>0</v>
      </c>
      <c r="BP29" s="9">
        <f>VLOOKUP($C29,МНО!$B$16:$AB$104,5,0)</f>
        <v>0</v>
      </c>
      <c r="BQ29" s="9">
        <f>VLOOKUP($C29,Контейнеры!$B$16:$G$104,6,0)</f>
        <v>0</v>
      </c>
      <c r="BR29" s="9">
        <f>VLOOKUP($C29,Контейнеры!$B$16:$G$104,4,0)</f>
        <v>0</v>
      </c>
      <c r="BS29" s="9">
        <f>VLOOKUP($C29,Контейнеры!$B$16:$G$104,5,0)</f>
        <v>0</v>
      </c>
      <c r="BT29" s="9">
        <f>VLOOKUP($C29,'ДК МНО'!$B$16:$C$104,2,0)</f>
        <v>2</v>
      </c>
      <c r="BU29" s="9">
        <f>VLOOKUP($C29,Обработка!$B$16:$F$104,5,0)</f>
        <v>1</v>
      </c>
      <c r="BV29" s="9">
        <f>VLOOKUP($C29,Обработка!$B$16:$F$104,4,0)</f>
        <v>0</v>
      </c>
      <c r="BW29" s="9">
        <f>VLOOKUP($C29,Утилизация!$B$16:$F$104,5,0)</f>
        <v>2</v>
      </c>
      <c r="BX29" s="9">
        <f>VLOOKUP($C29,Утилизация!$B$16:$F$104,4,0)</f>
        <v>1</v>
      </c>
      <c r="BY29" s="9">
        <f>VLOOKUP($C29,Захоронение!$B$16:$C$104,2,0)</f>
        <v>0</v>
      </c>
      <c r="BZ29" s="9">
        <f>VLOOKUP($C29,'ДК ИП'!$B$16:$C$104,2,0)</f>
        <v>0</v>
      </c>
      <c r="CA29" s="9">
        <f t="shared" si="9"/>
        <v>0.65</v>
      </c>
    </row>
    <row r="30" ht="30" customHeight="1" spans="1:79">
      <c r="A30" s="6" t="s">
        <v>67</v>
      </c>
      <c r="B30" s="331">
        <f t="shared" si="3"/>
        <v>20</v>
      </c>
      <c r="C30" s="332" t="s">
        <v>91</v>
      </c>
      <c r="D30" s="333" t="str">
        <f>VLOOKUP($C30,Штаб!$B$16:$J$104,6,0)</f>
        <v>✔️</v>
      </c>
      <c r="E30" s="334" t="str">
        <f>VLOOKUP($C30,Штаб!$B$16:$J$104,7,0)</f>
        <v/>
      </c>
      <c r="F30" s="334" t="str">
        <f>VLOOKUP($C30,Штаб!$B$16:$J$104,8,0)</f>
        <v/>
      </c>
      <c r="G30" s="335" t="str">
        <f>VLOOKUP($C30,Штаб!$B$16:$J$104,9,0)</f>
        <v/>
      </c>
      <c r="H30" s="284" t="str">
        <f>VLOOKUP(C30,'РО - регионы'!$B$16:$I$104,8,0)</f>
        <v>0 / 0 / 2 из 2</v>
      </c>
      <c r="I30" s="169"/>
      <c r="J30" s="137"/>
      <c r="K30" s="170"/>
      <c r="L30" s="170"/>
      <c r="M30" s="171"/>
      <c r="N30" s="172">
        <f>VLOOKUP(C30,Спецтехника!$B$16:$J$104,4,0)</f>
        <v>234</v>
      </c>
      <c r="O30" s="173">
        <f>VLOOKUP(C30,Спецтехника!$B$16:$J$104,5,0)</f>
        <v>227</v>
      </c>
      <c r="P30" s="173">
        <f>VLOOKUP(C30,Спецтехника!$B$16:$J$104,6,0)</f>
        <v>7</v>
      </c>
      <c r="Q30" s="196">
        <f>VLOOKUP(C30,Спецтехника!$B$16:$J$104,7,0)</f>
        <v>0.0299145299145299</v>
      </c>
      <c r="R30" s="197"/>
      <c r="S30" s="137"/>
      <c r="T30" s="170"/>
      <c r="U30" s="170"/>
      <c r="V30" s="171"/>
      <c r="W30" s="176">
        <f>VLOOKUP($C30,МНО!$B$16:$AB$104,16,0)</f>
        <v>9792</v>
      </c>
      <c r="X30" s="177">
        <f>VLOOKUP($C30,МНО!$B$16:$AB$104,8,0)</f>
        <v>6622</v>
      </c>
      <c r="Y30" s="177">
        <f>VLOOKUP($C30,МНО!$B$16:$AB$104,11,0)</f>
        <v>3170</v>
      </c>
      <c r="Z30" s="217">
        <f>VLOOKUP($C30,МНО!$B$16:$AB$104,17,0)</f>
        <v>0.323733660130719</v>
      </c>
      <c r="AA30" s="213"/>
      <c r="AB30" s="214">
        <f>VLOOKUP($C30,МНО!$B$16:$AB$104,13,0)</f>
        <v>3.99333335667592</v>
      </c>
      <c r="AC30" s="215">
        <f>VLOOKUP($C30,МНО!$B$16:$AB$104,18,0)</f>
        <v>1</v>
      </c>
      <c r="AD30" s="172">
        <f>VLOOKUP($C30,Контейнеры!$B$16:$AB$104,16,0)</f>
        <v>12742</v>
      </c>
      <c r="AE30" s="173">
        <f>VLOOKUP($C30,Контейнеры!$B$16:$AB$104,8,0)</f>
        <v>11721</v>
      </c>
      <c r="AF30" s="173">
        <f>VLOOKUP($C30,Контейнеры!$B$16:$AB$104,11,0)</f>
        <v>1021</v>
      </c>
      <c r="AG30" s="216">
        <f>VLOOKUP($C30,Контейнеры!$B$16:$AB$104,17,0)</f>
        <v>0.0801287082090724</v>
      </c>
      <c r="AH30" s="213"/>
      <c r="AI30" s="214">
        <f>VLOOKUP($C30,Контейнеры!$B$16:$AB$104,13,0)</f>
        <v>10.2599430674262</v>
      </c>
      <c r="AJ30" s="215">
        <f>VLOOKUP($C30,Контейнеры!$B$16:$AB$104,18,0)</f>
        <v>0.914274570982839</v>
      </c>
      <c r="AK30" s="231"/>
      <c r="AL30" s="170"/>
      <c r="AM30" s="170"/>
      <c r="AN30" s="232"/>
      <c r="AO30" s="257">
        <f>VLOOKUP($C30,Обработка!$B$16:$L$104,6,0)</f>
        <v>0.613</v>
      </c>
      <c r="AP30" s="250">
        <f t="shared" si="4"/>
        <v>0.07</v>
      </c>
      <c r="AQ30" s="250">
        <f>VLOOKUP($C30,Обработка!$B$16:$L$104,7,0)</f>
        <v>0.85</v>
      </c>
      <c r="AR30" s="255">
        <f t="shared" si="5"/>
        <v>0.0429999999999999</v>
      </c>
      <c r="AS30" s="253">
        <f>VLOOKUP($C30,Утилизация!$B$16:$L$104,6,0)</f>
        <v>0.037</v>
      </c>
      <c r="AT30" s="251">
        <f t="shared" si="6"/>
        <v>-0.102</v>
      </c>
      <c r="AU30" s="250">
        <f>VLOOKUP($C30,Утилизация!$B$16:$L$104,7,0)</f>
        <v>0.344</v>
      </c>
      <c r="AV30" s="256">
        <f t="shared" si="7"/>
        <v>0.058</v>
      </c>
      <c r="AW30" s="283" t="str">
        <f>VLOOKUP(C30,Захоронение!$B$16:$Q$104,16,0)</f>
        <v>765 приказ</v>
      </c>
      <c r="AX30" s="231"/>
      <c r="AY30" s="170"/>
      <c r="AZ30" s="170"/>
      <c r="BA30" s="171"/>
      <c r="BB30" s="280" t="str">
        <f>VLOOKUP(C30,'ДК ИП'!$B$16:$S$104,5,0)</f>
        <v>небольшое</v>
      </c>
      <c r="BC30" s="327">
        <f>VLOOKUP(C30,'Радар олд'!$B$3:$E$87,4,0)</f>
        <v>0.0962881782626812</v>
      </c>
      <c r="BD30" s="171"/>
      <c r="BI30" s="9">
        <f t="shared" si="8"/>
        <v>0</v>
      </c>
      <c r="BJ30" s="9">
        <f>VLOOKUP(C30,Штаб!$B$16:$C$104,2)</f>
        <v>0</v>
      </c>
      <c r="BK30" s="9">
        <f>VLOOKUP(C30,'РО - регионы'!$B$16:$C$104,2)</f>
        <v>0</v>
      </c>
      <c r="BL30" s="9">
        <f>VLOOKUP(C30,'РО - регионы'!$B$16:$L$104,11)</f>
        <v>0</v>
      </c>
      <c r="BM30" s="9">
        <f>VLOOKUP(C30,Спецтехника!$B$16:$C$104,2)</f>
        <v>0</v>
      </c>
      <c r="BN30" s="9">
        <f>VLOOKUP($C30,МНО!$B$16:$AB$104,6,0)</f>
        <v>1</v>
      </c>
      <c r="BO30" s="9">
        <f>VLOOKUP($C30,МНО!$B$16:$AB$104,4,0)</f>
        <v>1</v>
      </c>
      <c r="BP30" s="9">
        <f>VLOOKUP($C30,МНО!$B$16:$AB$104,5,0)</f>
        <v>0</v>
      </c>
      <c r="BQ30" s="9">
        <f>VLOOKUP($C30,Контейнеры!$B$16:$G$104,6,0)</f>
        <v>0</v>
      </c>
      <c r="BR30" s="9">
        <f>VLOOKUP($C30,Контейнеры!$B$16:$G$104,4,0)</f>
        <v>0</v>
      </c>
      <c r="BS30" s="9">
        <f>VLOOKUP($C30,Контейнеры!$B$16:$G$104,5,0)</f>
        <v>0</v>
      </c>
      <c r="BT30" s="9">
        <f>VLOOKUP($C30,'ДК МНО'!$B$16:$C$104,2,0)</f>
        <v>2</v>
      </c>
      <c r="BU30" s="9">
        <f>VLOOKUP($C30,Обработка!$B$16:$F$104,5,0)</f>
        <v>0</v>
      </c>
      <c r="BV30" s="9">
        <f>VLOOKUP($C30,Обработка!$B$16:$F$104,4,0)</f>
        <v>0</v>
      </c>
      <c r="BW30" s="9">
        <f>VLOOKUP($C30,Утилизация!$B$16:$F$104,5,0)</f>
        <v>0</v>
      </c>
      <c r="BX30" s="9">
        <f>VLOOKUP($C30,Утилизация!$B$16:$F$104,4,0)</f>
        <v>2</v>
      </c>
      <c r="BY30" s="9">
        <f>VLOOKUP($C30,Захоронение!$B$16:$C$104,2,0)</f>
        <v>1</v>
      </c>
      <c r="BZ30" s="9">
        <f>VLOOKUP($C30,'ДК ИП'!$B$16:$C$104,2,0)</f>
        <v>0</v>
      </c>
      <c r="CA30" s="9">
        <f t="shared" si="9"/>
        <v>0.45</v>
      </c>
    </row>
    <row r="31" ht="30" customHeight="1" spans="1:79">
      <c r="A31" s="6" t="s">
        <v>70</v>
      </c>
      <c r="B31" s="331">
        <f t="shared" si="3"/>
        <v>21</v>
      </c>
      <c r="C31" s="332" t="s">
        <v>92</v>
      </c>
      <c r="D31" s="333" t="str">
        <f>VLOOKUP($C31,Штаб!$B$16:$J$104,6,0)</f>
        <v/>
      </c>
      <c r="E31" s="334" t="str">
        <f>VLOOKUP($C31,Штаб!$B$16:$J$104,7,0)</f>
        <v/>
      </c>
      <c r="F31" s="334" t="str">
        <f>VLOOKUP($C31,Штаб!$B$16:$J$104,8,0)</f>
        <v/>
      </c>
      <c r="G31" s="335" t="str">
        <f>VLOOKUP($C31,Штаб!$B$16:$J$104,9,0)</f>
        <v>✔️</v>
      </c>
      <c r="H31" s="284" t="str">
        <f>VLOOKUP(C31,'РО - регионы'!$B$16:$I$104,8,0)</f>
        <v>0 / 0 / 1 из 1</v>
      </c>
      <c r="I31" s="169"/>
      <c r="J31" s="137"/>
      <c r="K31" s="170"/>
      <c r="L31" s="170"/>
      <c r="M31" s="171"/>
      <c r="N31" s="174">
        <f>VLOOKUP(C31,Спецтехника!$B$16:$J$104,4,0)</f>
        <v>341</v>
      </c>
      <c r="O31" s="175">
        <f>VLOOKUP(C31,Спецтехника!$B$16:$J$104,5,0)</f>
        <v>290</v>
      </c>
      <c r="P31" s="175">
        <f>VLOOKUP(C31,Спецтехника!$B$16:$J$104,6,0)</f>
        <v>51</v>
      </c>
      <c r="Q31" s="198">
        <f>VLOOKUP(C31,Спецтехника!$B$16:$J$104,7,0)</f>
        <v>0.149560117302053</v>
      </c>
      <c r="R31" s="197"/>
      <c r="S31" s="137"/>
      <c r="T31" s="170"/>
      <c r="U31" s="170"/>
      <c r="V31" s="171"/>
      <c r="W31" s="176">
        <f>VLOOKUP($C31,МНО!$B$16:$AB$104,16,0)</f>
        <v>10785</v>
      </c>
      <c r="X31" s="177">
        <f>VLOOKUP($C31,МНО!$B$16:$AB$104,8,0)</f>
        <v>10166</v>
      </c>
      <c r="Y31" s="177">
        <f>VLOOKUP($C31,МНО!$B$16:$AB$104,11,0)</f>
        <v>619</v>
      </c>
      <c r="Z31" s="217">
        <f>VLOOKUP($C31,МНО!$B$16:$AB$104,17,0)</f>
        <v>0.0573945294390357</v>
      </c>
      <c r="AA31" s="213"/>
      <c r="AB31" s="214">
        <f>VLOOKUP($C31,МНО!$B$16:$AB$104,13,0)</f>
        <v>4.82325537071622</v>
      </c>
      <c r="AC31" s="215">
        <f>VLOOKUP($C31,МНО!$B$16:$AB$104,18,0)</f>
        <v>0.462700832916117</v>
      </c>
      <c r="AD31" s="172">
        <f>VLOOKUP($C31,Контейнеры!$B$16:$AB$104,16,0)</f>
        <v>27626</v>
      </c>
      <c r="AE31" s="173">
        <f>VLOOKUP($C31,Контейнеры!$B$16:$AB$104,8,0)</f>
        <v>25688</v>
      </c>
      <c r="AF31" s="173">
        <f>VLOOKUP($C31,Контейнеры!$B$16:$AB$104,11,0)</f>
        <v>1938</v>
      </c>
      <c r="AG31" s="216">
        <f>VLOOKUP($C31,Контейнеры!$B$16:$AB$104,17,0)</f>
        <v>0.0701513067400275</v>
      </c>
      <c r="AH31" s="213"/>
      <c r="AI31" s="214">
        <f>VLOOKUP($C31,Контейнеры!$B$16:$AB$104,13,0)</f>
        <v>12.6183709097625</v>
      </c>
      <c r="AJ31" s="215">
        <f>VLOOKUP($C31,Контейнеры!$B$16:$AB$104,18,0)</f>
        <v>0.54886543310115</v>
      </c>
      <c r="AK31" s="231"/>
      <c r="AL31" s="170"/>
      <c r="AM31" s="170"/>
      <c r="AN31" s="232"/>
      <c r="AO31" s="257">
        <f>VLOOKUP($C31,Обработка!$B$16:$L$104,6,0)</f>
        <v>0.615</v>
      </c>
      <c r="AP31" s="250">
        <f t="shared" si="4"/>
        <v>0.072</v>
      </c>
      <c r="AQ31" s="250">
        <f>VLOOKUP($C31,Обработка!$B$16:$L$104,7,0)</f>
        <v>1</v>
      </c>
      <c r="AR31" s="255">
        <f t="shared" si="5"/>
        <v>0.193</v>
      </c>
      <c r="AS31" s="258">
        <f>VLOOKUP($C31,Утилизация!$B$16:$L$104,6,0)</f>
        <v>0.08</v>
      </c>
      <c r="AT31" s="259">
        <f t="shared" si="6"/>
        <v>-0.059</v>
      </c>
      <c r="AU31" s="250">
        <f>VLOOKUP($C31,Утилизация!$B$16:$L$104,7,0)</f>
        <v>0.5</v>
      </c>
      <c r="AV31" s="256">
        <f t="shared" si="7"/>
        <v>0.214</v>
      </c>
      <c r="AW31" s="283" t="str">
        <f>VLOOKUP(C31,Захоронение!$B$16:$Q$104,16,0)</f>
        <v>765 приказ</v>
      </c>
      <c r="AX31" s="231"/>
      <c r="AY31" s="170"/>
      <c r="AZ31" s="170"/>
      <c r="BA31" s="171"/>
      <c r="BB31" s="280" t="str">
        <f>VLOOKUP(C31,'ДК ИП'!$B$16:$S$104,5,0)</f>
        <v>не подписана</v>
      </c>
      <c r="BC31" s="327">
        <f>VLOOKUP(C31,'Радар олд'!$B$3:$E$87,4,0)</f>
        <v>0.200907571710249</v>
      </c>
      <c r="BD31" s="171"/>
      <c r="BI31" s="9">
        <f t="shared" si="8"/>
        <v>0</v>
      </c>
      <c r="BJ31" s="9">
        <f>VLOOKUP(C31,Штаб!$B$16:$C$104,2)</f>
        <v>2</v>
      </c>
      <c r="BK31" s="9">
        <f>VLOOKUP(C31,'РО - регионы'!$B$16:$C$104,2)</f>
        <v>0</v>
      </c>
      <c r="BL31" s="9">
        <f>VLOOKUP(C31,'РО - регионы'!$B$16:$L$104,11)</f>
        <v>0</v>
      </c>
      <c r="BM31" s="9">
        <f>VLOOKUP(C31,Спецтехника!$B$16:$C$104,2)</f>
        <v>1</v>
      </c>
      <c r="BN31" s="9">
        <f>VLOOKUP($C31,МНО!$B$16:$AB$104,6,0)</f>
        <v>0</v>
      </c>
      <c r="BO31" s="9">
        <f>VLOOKUP($C31,МНО!$B$16:$AB$104,4,0)</f>
        <v>1</v>
      </c>
      <c r="BP31" s="9">
        <f>VLOOKUP($C31,МНО!$B$16:$AB$104,5,0)</f>
        <v>2</v>
      </c>
      <c r="BQ31" s="9">
        <f>VLOOKUP($C31,Контейнеры!$B$16:$G$104,6,0)</f>
        <v>0</v>
      </c>
      <c r="BR31" s="9">
        <f>VLOOKUP($C31,Контейнеры!$B$16:$G$104,4,0)</f>
        <v>0</v>
      </c>
      <c r="BS31" s="9">
        <f>VLOOKUP($C31,Контейнеры!$B$16:$G$104,5,0)</f>
        <v>2</v>
      </c>
      <c r="BT31" s="9">
        <f>VLOOKUP($C31,'ДК МНО'!$B$16:$C$104,2,0)</f>
        <v>2</v>
      </c>
      <c r="BU31" s="9">
        <f>VLOOKUP($C31,Обработка!$B$16:$F$104,5,0)</f>
        <v>0</v>
      </c>
      <c r="BV31" s="9">
        <f>VLOOKUP($C31,Обработка!$B$16:$F$104,4,0)</f>
        <v>0</v>
      </c>
      <c r="BW31" s="9">
        <f>VLOOKUP($C31,Утилизация!$B$16:$F$104,5,0)</f>
        <v>0</v>
      </c>
      <c r="BX31" s="9">
        <f>VLOOKUP($C31,Утилизация!$B$16:$F$104,4,0)</f>
        <v>1</v>
      </c>
      <c r="BY31" s="9">
        <f>VLOOKUP($C31,Захоронение!$B$16:$C$104,2,0)</f>
        <v>1</v>
      </c>
      <c r="BZ31" s="9">
        <f>VLOOKUP($C31,'ДК ИП'!$B$16:$C$104,2,0)</f>
        <v>0</v>
      </c>
      <c r="CA31" s="9">
        <f t="shared" si="9"/>
        <v>0.4</v>
      </c>
    </row>
    <row r="32" ht="30" customHeight="1" spans="1:79">
      <c r="A32" s="6" t="s">
        <v>74</v>
      </c>
      <c r="B32" s="331">
        <f t="shared" si="3"/>
        <v>22</v>
      </c>
      <c r="C32" s="332" t="s">
        <v>93</v>
      </c>
      <c r="D32" s="333" t="str">
        <f>VLOOKUP($C32,Штаб!$B$16:$J$104,6,0)</f>
        <v>✔️</v>
      </c>
      <c r="E32" s="334" t="str">
        <f>VLOOKUP($C32,Штаб!$B$16:$J$104,7,0)</f>
        <v/>
      </c>
      <c r="F32" s="334" t="str">
        <f>VLOOKUP($C32,Штаб!$B$16:$J$104,8,0)</f>
        <v/>
      </c>
      <c r="G32" s="335" t="str">
        <f>VLOOKUP($C32,Штаб!$B$16:$J$104,9,0)</f>
        <v/>
      </c>
      <c r="H32" s="283" t="str">
        <f>VLOOKUP(C32,'РО - регионы'!$B$16:$I$104,8,0)</f>
        <v>0 / 2 / 7 из 9</v>
      </c>
      <c r="I32" s="169"/>
      <c r="J32" s="137"/>
      <c r="K32" s="170"/>
      <c r="L32" s="170"/>
      <c r="M32" s="171"/>
      <c r="N32" s="174">
        <f>VLOOKUP(C32,Спецтехника!$B$16:$J$104,4,0)</f>
        <v>534</v>
      </c>
      <c r="O32" s="175">
        <f>VLOOKUP(C32,Спецтехника!$B$16:$J$104,5,0)</f>
        <v>482</v>
      </c>
      <c r="P32" s="175">
        <f>VLOOKUP(C32,Спецтехника!$B$16:$J$104,6,0)</f>
        <v>52</v>
      </c>
      <c r="Q32" s="198">
        <f>VLOOKUP(C32,Спецтехника!$B$16:$J$104,7,0)</f>
        <v>0.0973782771535581</v>
      </c>
      <c r="R32" s="197"/>
      <c r="S32" s="137"/>
      <c r="T32" s="170"/>
      <c r="U32" s="170"/>
      <c r="V32" s="171"/>
      <c r="W32" s="174">
        <f>VLOOKUP($C32,МНО!$B$16:$AB$104,16,0)</f>
        <v>37162</v>
      </c>
      <c r="X32" s="175">
        <f>VLOOKUP($C32,МНО!$B$16:$AB$104,8,0)</f>
        <v>28895</v>
      </c>
      <c r="Y32" s="175">
        <f>VLOOKUP($C32,МНО!$B$16:$AB$104,11,0)</f>
        <v>8267</v>
      </c>
      <c r="Z32" s="212">
        <f>VLOOKUP($C32,МНО!$B$16:$AB$104,17,0)</f>
        <v>0.222458425273128</v>
      </c>
      <c r="AA32" s="213"/>
      <c r="AB32" s="214">
        <f>VLOOKUP($C32,МНО!$B$16:$AB$104,13,0)</f>
        <v>8.6500334113749</v>
      </c>
      <c r="AC32" s="215">
        <f>VLOOKUP($C32,МНО!$B$16:$AB$104,18,0)</f>
        <v>0.932247136634941</v>
      </c>
      <c r="AD32" s="176">
        <f>VLOOKUP($C32,Контейнеры!$B$16:$AB$104,16,0)</f>
        <v>59725</v>
      </c>
      <c r="AE32" s="177">
        <f>VLOOKUP($C32,Контейнеры!$B$16:$AB$104,8,0)</f>
        <v>59725</v>
      </c>
      <c r="AF32" s="177">
        <f>VLOOKUP($C32,Контейнеры!$B$16:$AB$104,11,0)</f>
        <v>0</v>
      </c>
      <c r="AG32" s="217">
        <f>VLOOKUP($C32,Контейнеры!$B$16:$AB$104,17,0)</f>
        <v>0</v>
      </c>
      <c r="AH32" s="213"/>
      <c r="AI32" s="214">
        <f>VLOOKUP($C32,Контейнеры!$B$16:$AB$104,13,0)</f>
        <v>19.5158373184635</v>
      </c>
      <c r="AJ32" s="215">
        <f>VLOOKUP($C32,Контейнеры!$B$16:$AB$104,18,0)</f>
        <v>0.883362174794042</v>
      </c>
      <c r="AK32" s="231"/>
      <c r="AL32" s="170"/>
      <c r="AM32" s="170"/>
      <c r="AN32" s="232"/>
      <c r="AO32" s="257">
        <f>VLOOKUP($C32,Обработка!$B$16:$L$104,6,0)</f>
        <v>0.805</v>
      </c>
      <c r="AP32" s="250">
        <f t="shared" si="4"/>
        <v>0.262</v>
      </c>
      <c r="AQ32" s="250">
        <f>VLOOKUP($C32,Обработка!$B$16:$L$104,7,0)</f>
        <v>0.96</v>
      </c>
      <c r="AR32" s="255">
        <f t="shared" si="5"/>
        <v>0.153</v>
      </c>
      <c r="AS32" s="258">
        <f>VLOOKUP($C32,Утилизация!$B$16:$L$104,6,0)</f>
        <v>0.125</v>
      </c>
      <c r="AT32" s="259">
        <f t="shared" si="6"/>
        <v>-0.014</v>
      </c>
      <c r="AU32" s="259">
        <f>VLOOKUP($C32,Утилизация!$B$16:$L$104,7,0)</f>
        <v>0.182</v>
      </c>
      <c r="AV32" s="260">
        <f t="shared" si="7"/>
        <v>-0.104</v>
      </c>
      <c r="AW32" s="284" t="str">
        <f>VLOOKUP(C32,Захоронение!$B$16:$Q$104,16,0)</f>
        <v/>
      </c>
      <c r="AX32" s="231"/>
      <c r="AY32" s="170"/>
      <c r="AZ32" s="170"/>
      <c r="BA32" s="171"/>
      <c r="BB32" s="280" t="str">
        <f>VLOOKUP(C32,'ДК ИП'!$B$16:$S$104,5,0)</f>
        <v>небольшое</v>
      </c>
      <c r="BC32" s="327">
        <f>VLOOKUP(C32,'Радар олд'!$B$3:$E$87,4,0)</f>
        <v>0.0999890534859746</v>
      </c>
      <c r="BD32" s="171"/>
      <c r="BI32" s="9">
        <f t="shared" si="8"/>
        <v>0</v>
      </c>
      <c r="BJ32" s="9">
        <f>VLOOKUP(C32,Штаб!$B$16:$C$104,2)</f>
        <v>0</v>
      </c>
      <c r="BK32" s="9">
        <f>VLOOKUP(C32,'РО - регионы'!$B$16:$C$104,2)</f>
        <v>1</v>
      </c>
      <c r="BL32" s="9">
        <f>VLOOKUP(C32,'РО - регионы'!$B$16:$L$104,11)</f>
        <v>2</v>
      </c>
      <c r="BM32" s="9">
        <f>VLOOKUP(C32,Спецтехника!$B$16:$C$104,2)</f>
        <v>1</v>
      </c>
      <c r="BN32" s="9">
        <f>VLOOKUP($C32,МНО!$B$16:$AB$104,6,0)</f>
        <v>1</v>
      </c>
      <c r="BO32" s="9">
        <f>VLOOKUP($C32,МНО!$B$16:$AB$104,4,0)</f>
        <v>0</v>
      </c>
      <c r="BP32" s="9">
        <f>VLOOKUP($C32,МНО!$B$16:$AB$104,5,0)</f>
        <v>0</v>
      </c>
      <c r="BQ32" s="9">
        <f>VLOOKUP($C32,Контейнеры!$B$16:$G$104,6,0)</f>
        <v>2</v>
      </c>
      <c r="BR32" s="9">
        <f>VLOOKUP($C32,Контейнеры!$B$16:$G$104,4,0)</f>
        <v>0</v>
      </c>
      <c r="BS32" s="9">
        <f>VLOOKUP($C32,Контейнеры!$B$16:$G$104,5,0)</f>
        <v>1</v>
      </c>
      <c r="BT32" s="9">
        <f>VLOOKUP($C32,'ДК МНО'!$B$16:$C$104,2,0)</f>
        <v>2</v>
      </c>
      <c r="BU32" s="9">
        <f>VLOOKUP($C32,Обработка!$B$16:$F$104,5,0)</f>
        <v>0</v>
      </c>
      <c r="BV32" s="9">
        <f>VLOOKUP($C32,Обработка!$B$16:$F$104,4,0)</f>
        <v>0</v>
      </c>
      <c r="BW32" s="9">
        <f>VLOOKUP($C32,Утилизация!$B$16:$F$104,5,0)</f>
        <v>1</v>
      </c>
      <c r="BX32" s="9">
        <f>VLOOKUP($C32,Утилизация!$B$16:$F$104,4,0)</f>
        <v>1</v>
      </c>
      <c r="BY32" s="9">
        <f>VLOOKUP($C32,Захоронение!$B$16:$C$104,2,0)</f>
        <v>0</v>
      </c>
      <c r="BZ32" s="9">
        <f>VLOOKUP($C32,'ДК ИП'!$B$16:$C$104,2,0)</f>
        <v>0</v>
      </c>
      <c r="CA32" s="9">
        <f t="shared" si="9"/>
        <v>0.5</v>
      </c>
    </row>
    <row r="33" ht="30" customHeight="1" spans="1:79">
      <c r="A33" s="6" t="s">
        <v>74</v>
      </c>
      <c r="B33" s="331">
        <f t="shared" si="3"/>
        <v>23</v>
      </c>
      <c r="C33" s="332" t="s">
        <v>94</v>
      </c>
      <c r="D33" s="333" t="str">
        <f>VLOOKUP($C33,Штаб!$B$16:$J$104,6,0)</f>
        <v/>
      </c>
      <c r="E33" s="334" t="str">
        <f>VLOOKUP($C33,Штаб!$B$16:$J$104,7,0)</f>
        <v/>
      </c>
      <c r="F33" s="334" t="str">
        <f>VLOOKUP($C33,Штаб!$B$16:$J$104,8,0)</f>
        <v>✔️</v>
      </c>
      <c r="G33" s="335" t="str">
        <f>VLOOKUP($C33,Штаб!$B$16:$J$104,9,0)</f>
        <v/>
      </c>
      <c r="H33" s="284" t="str">
        <f>VLOOKUP(C33,'РО - регионы'!$B$16:$I$104,8,0)</f>
        <v>0 / 0 / 1 из 1</v>
      </c>
      <c r="I33" s="169"/>
      <c r="J33" s="137"/>
      <c r="K33" s="170"/>
      <c r="L33" s="170"/>
      <c r="M33" s="171"/>
      <c r="N33" s="172">
        <f>VLOOKUP(C33,Спецтехника!$B$16:$J$104,4,0)</f>
        <v>202</v>
      </c>
      <c r="O33" s="173">
        <f>VLOOKUP(C33,Спецтехника!$B$16:$J$104,5,0)</f>
        <v>202</v>
      </c>
      <c r="P33" s="173">
        <f>VLOOKUP(C33,Спецтехника!$B$16:$J$104,6,0)</f>
        <v>0</v>
      </c>
      <c r="Q33" s="196">
        <f>VLOOKUP(C33,Спецтехника!$B$16:$J$104,7,0)</f>
        <v>0</v>
      </c>
      <c r="R33" s="197"/>
      <c r="S33" s="137"/>
      <c r="T33" s="170"/>
      <c r="U33" s="170"/>
      <c r="V33" s="171"/>
      <c r="W33" s="176">
        <f>VLOOKUP($C33,МНО!$B$16:$AB$104,16,0)</f>
        <v>16230</v>
      </c>
      <c r="X33" s="177">
        <f>VLOOKUP($C33,МНО!$B$16:$AB$104,8,0)</f>
        <v>12551</v>
      </c>
      <c r="Y33" s="177">
        <f>VLOOKUP($C33,МНО!$B$16:$AB$104,11,0)</f>
        <v>3679</v>
      </c>
      <c r="Z33" s="217">
        <f>VLOOKUP($C33,МНО!$B$16:$AB$104,17,0)</f>
        <v>0.22667898952557</v>
      </c>
      <c r="AA33" s="213"/>
      <c r="AB33" s="214">
        <f>VLOOKUP($C33,МНО!$B$16:$AB$104,13,0)</f>
        <v>6.65898889676352</v>
      </c>
      <c r="AC33" s="215">
        <f>VLOOKUP($C33,МНО!$B$16:$AB$104,18,0)</f>
        <v>1</v>
      </c>
      <c r="AD33" s="176">
        <f>VLOOKUP($C33,Контейнеры!$B$16:$AB$104,16,0)</f>
        <v>35675</v>
      </c>
      <c r="AE33" s="177">
        <f>VLOOKUP($C33,Контейнеры!$B$16:$AB$104,8,0)</f>
        <v>29484</v>
      </c>
      <c r="AF33" s="177">
        <f>VLOOKUP($C33,Контейнеры!$B$16:$AB$104,11,0)</f>
        <v>6191</v>
      </c>
      <c r="AG33" s="217">
        <f>VLOOKUP($C33,Контейнеры!$B$16:$AB$104,17,0)</f>
        <v>0.17353889278206</v>
      </c>
      <c r="AH33" s="213"/>
      <c r="AI33" s="214">
        <f>VLOOKUP($C33,Контейнеры!$B$16:$AB$104,13,0)</f>
        <v>16.1233167965982</v>
      </c>
      <c r="AJ33" s="215">
        <f>VLOOKUP($C33,Контейнеры!$B$16:$AB$104,18,0)</f>
        <v>1</v>
      </c>
      <c r="AK33" s="231"/>
      <c r="AL33" s="170"/>
      <c r="AM33" s="170"/>
      <c r="AN33" s="232"/>
      <c r="AO33" s="257">
        <f>VLOOKUP($C33,Обработка!$B$16:$L$104,6,0)</f>
        <v>0.685</v>
      </c>
      <c r="AP33" s="250">
        <f t="shared" si="4"/>
        <v>0.142</v>
      </c>
      <c r="AQ33" s="259">
        <f>VLOOKUP($C33,Обработка!$B$16:$L$104,7,0)</f>
        <v>0.6</v>
      </c>
      <c r="AR33" s="262">
        <f t="shared" si="5"/>
        <v>-0.207</v>
      </c>
      <c r="AS33" s="253">
        <f>VLOOKUP($C33,Утилизация!$B$16:$L$104,6,0)</f>
        <v>0.022</v>
      </c>
      <c r="AT33" s="251">
        <f t="shared" si="6"/>
        <v>-0.117</v>
      </c>
      <c r="AU33" s="259">
        <f>VLOOKUP($C33,Утилизация!$B$16:$L$104,7,0)</f>
        <v>0.28</v>
      </c>
      <c r="AV33" s="260">
        <f t="shared" si="7"/>
        <v>-0.00599999999999995</v>
      </c>
      <c r="AW33" s="284" t="str">
        <f>VLOOKUP(C33,Захоронение!$B$16:$Q$104,16,0)</f>
        <v/>
      </c>
      <c r="AX33" s="231"/>
      <c r="AY33" s="170"/>
      <c r="AZ33" s="170"/>
      <c r="BA33" s="171"/>
      <c r="BB33" s="280" t="str">
        <f>VLOOKUP(C33,'ДК ИП'!$B$16:$S$104,5,0)</f>
        <v>среднее</v>
      </c>
      <c r="BC33" s="327">
        <f>VLOOKUP(C33,'Радар олд'!$B$3:$E$87,4,0)</f>
        <v>0.165148611876701</v>
      </c>
      <c r="BD33" s="171"/>
      <c r="BI33" s="9">
        <f t="shared" si="8"/>
        <v>0</v>
      </c>
      <c r="BJ33" s="9">
        <f>VLOOKUP(C33,Штаб!$B$16:$C$104,2)</f>
        <v>1</v>
      </c>
      <c r="BK33" s="9">
        <f>VLOOKUP(C33,'РО - регионы'!$B$16:$C$104,2)</f>
        <v>0</v>
      </c>
      <c r="BL33" s="9">
        <f>VLOOKUP(C33,'РО - регионы'!$B$16:$L$104,11)</f>
        <v>0</v>
      </c>
      <c r="BM33" s="9">
        <f>VLOOKUP(C33,Спецтехника!$B$16:$C$104,2)</f>
        <v>0</v>
      </c>
      <c r="BN33" s="9">
        <f>VLOOKUP($C33,МНО!$B$16:$AB$104,6,0)</f>
        <v>1</v>
      </c>
      <c r="BO33" s="9">
        <f>VLOOKUP($C33,МНО!$B$16:$AB$104,4,0)</f>
        <v>0</v>
      </c>
      <c r="BP33" s="9">
        <f>VLOOKUP($C33,МНО!$B$16:$AB$104,5,0)</f>
        <v>0</v>
      </c>
      <c r="BQ33" s="9">
        <f>VLOOKUP($C33,Контейнеры!$B$16:$G$104,6,0)</f>
        <v>1</v>
      </c>
      <c r="BR33" s="9">
        <f>VLOOKUP($C33,Контейнеры!$B$16:$G$104,4,0)</f>
        <v>0</v>
      </c>
      <c r="BS33" s="9">
        <f>VLOOKUP($C33,Контейнеры!$B$16:$G$104,5,0)</f>
        <v>0</v>
      </c>
      <c r="BT33" s="9">
        <f>VLOOKUP($C33,'ДК МНО'!$B$16:$C$104,2,0)</f>
        <v>2</v>
      </c>
      <c r="BU33" s="9">
        <f>VLOOKUP($C33,Обработка!$B$16:$F$104,5,0)</f>
        <v>1</v>
      </c>
      <c r="BV33" s="9">
        <f>VLOOKUP($C33,Обработка!$B$16:$F$104,4,0)</f>
        <v>0</v>
      </c>
      <c r="BW33" s="9">
        <f>VLOOKUP($C33,Утилизация!$B$16:$F$104,5,0)</f>
        <v>1</v>
      </c>
      <c r="BX33" s="9">
        <f>VLOOKUP($C33,Утилизация!$B$16:$F$104,4,0)</f>
        <v>2</v>
      </c>
      <c r="BY33" s="9">
        <f>VLOOKUP($C33,Захоронение!$B$16:$C$104,2,0)</f>
        <v>0</v>
      </c>
      <c r="BZ33" s="9">
        <f>VLOOKUP($C33,'ДК ИП'!$B$16:$C$104,2,0)</f>
        <v>1</v>
      </c>
      <c r="CA33" s="9">
        <f t="shared" si="9"/>
        <v>0.4</v>
      </c>
    </row>
    <row r="34" ht="30" customHeight="1" spans="1:79">
      <c r="A34" s="6" t="s">
        <v>70</v>
      </c>
      <c r="B34" s="331">
        <f t="shared" si="3"/>
        <v>24</v>
      </c>
      <c r="C34" s="332" t="s">
        <v>95</v>
      </c>
      <c r="D34" s="333" t="str">
        <f>VLOOKUP($C34,Штаб!$B$16:$J$104,6,0)</f>
        <v/>
      </c>
      <c r="E34" s="334" t="str">
        <f>VLOOKUP($C34,Штаб!$B$16:$J$104,7,0)</f>
        <v/>
      </c>
      <c r="F34" s="334" t="str">
        <f>VLOOKUP($C34,Штаб!$B$16:$J$104,8,0)</f>
        <v/>
      </c>
      <c r="G34" s="335" t="str">
        <f>VLOOKUP($C34,Штаб!$B$16:$J$104,9,0)</f>
        <v>✔️</v>
      </c>
      <c r="H34" s="283" t="str">
        <f>VLOOKUP(C34,'РО - регионы'!$B$16:$I$104,8,0)</f>
        <v>0 / 2 / 0 из 2</v>
      </c>
      <c r="I34" s="169"/>
      <c r="J34" s="137"/>
      <c r="K34" s="170"/>
      <c r="L34" s="170"/>
      <c r="M34" s="171"/>
      <c r="N34" s="176">
        <f>VLOOKUP(C34,Спецтехника!$B$16:$J$104,4,0)</f>
        <v>104</v>
      </c>
      <c r="O34" s="177">
        <f>VLOOKUP(C34,Спецтехника!$B$16:$J$104,5,0)</f>
        <v>84</v>
      </c>
      <c r="P34" s="177">
        <f>VLOOKUP(C34,Спецтехника!$B$16:$J$104,6,0)</f>
        <v>20</v>
      </c>
      <c r="Q34" s="199">
        <f>VLOOKUP(C34,Спецтехника!$B$16:$J$104,7,0)</f>
        <v>0.192307692307692</v>
      </c>
      <c r="R34" s="197"/>
      <c r="S34" s="137"/>
      <c r="T34" s="170"/>
      <c r="U34" s="170"/>
      <c r="V34" s="171"/>
      <c r="W34" s="174">
        <f>VLOOKUP($C34,МНО!$B$16:$AB$104,16,0)</f>
        <v>5731</v>
      </c>
      <c r="X34" s="175">
        <f>VLOOKUP($C34,МНО!$B$16:$AB$104,8,0)</f>
        <v>4417</v>
      </c>
      <c r="Y34" s="175">
        <f>VLOOKUP($C34,МНО!$B$16:$AB$104,11,0)</f>
        <v>1314</v>
      </c>
      <c r="Z34" s="212">
        <f>VLOOKUP($C34,МНО!$B$16:$AB$104,17,0)</f>
        <v>0.229279357878206</v>
      </c>
      <c r="AA34" s="213"/>
      <c r="AB34" s="214">
        <f>VLOOKUP($C34,МНО!$B$16:$AB$104,13,0)</f>
        <v>5.99848231170427</v>
      </c>
      <c r="AC34" s="215">
        <f>VLOOKUP($C34,МНО!$B$16:$AB$104,18,0)</f>
        <v>0.896124974639886</v>
      </c>
      <c r="AD34" s="174">
        <f>VLOOKUP($C34,Контейнеры!$B$16:$AB$104,16,0)</f>
        <v>9547</v>
      </c>
      <c r="AE34" s="175">
        <f>VLOOKUP($C34,Контейнеры!$B$16:$AB$104,8,0)</f>
        <v>7218</v>
      </c>
      <c r="AF34" s="175">
        <f>VLOOKUP($C34,Контейнеры!$B$16:$AB$104,11,0)</f>
        <v>2329</v>
      </c>
      <c r="AG34" s="212">
        <f>VLOOKUP($C34,Контейнеры!$B$16:$AB$104,17,0)</f>
        <v>0.243950979365246</v>
      </c>
      <c r="AH34" s="213"/>
      <c r="AI34" s="214">
        <f>VLOOKUP($C34,Контейнеры!$B$16:$AB$104,13,0)</f>
        <v>12.4202654405856</v>
      </c>
      <c r="AJ34" s="215">
        <f>VLOOKUP($C34,Контейнеры!$B$16:$AB$104,18,0)</f>
        <v>0.762276903580103</v>
      </c>
      <c r="AK34" s="231"/>
      <c r="AL34" s="170"/>
      <c r="AM34" s="170"/>
      <c r="AN34" s="232"/>
      <c r="AO34" s="257">
        <f>VLOOKUP($C34,Обработка!$B$16:$L$104,6,0)</f>
        <v>0.592</v>
      </c>
      <c r="AP34" s="250">
        <f t="shared" si="4"/>
        <v>0.049</v>
      </c>
      <c r="AQ34" s="250">
        <f>VLOOKUP($C34,Обработка!$B$16:$L$104,7,0)</f>
        <v>1</v>
      </c>
      <c r="AR34" s="255">
        <f t="shared" si="5"/>
        <v>0.193</v>
      </c>
      <c r="AS34" s="258">
        <f>VLOOKUP($C34,Утилизация!$B$16:$L$104,6,0)</f>
        <v>0.083</v>
      </c>
      <c r="AT34" s="259">
        <f t="shared" si="6"/>
        <v>-0.056</v>
      </c>
      <c r="AU34" s="250">
        <f>VLOOKUP($C34,Утилизация!$B$16:$L$104,7,0)</f>
        <v>0.5</v>
      </c>
      <c r="AV34" s="256">
        <f t="shared" si="7"/>
        <v>0.214</v>
      </c>
      <c r="AW34" s="284" t="str">
        <f>VLOOKUP(C34,Захоронение!$B$16:$Q$104,16,0)</f>
        <v/>
      </c>
      <c r="AX34" s="231"/>
      <c r="AY34" s="170"/>
      <c r="AZ34" s="170"/>
      <c r="BA34" s="171"/>
      <c r="BB34" s="280" t="str">
        <f>VLOOKUP(C34,'ДК ИП'!$B$16:$S$104,5,0)</f>
        <v>небольшое</v>
      </c>
      <c r="BC34" s="327">
        <f>VLOOKUP(C34,'Радар олд'!$B$3:$E$87,4,0)</f>
        <v>0.170352767888331</v>
      </c>
      <c r="BD34" s="171"/>
      <c r="BI34" s="9">
        <f t="shared" si="8"/>
        <v>0</v>
      </c>
      <c r="BJ34" s="9">
        <f>VLOOKUP(C34,Штаб!$B$16:$C$104,2)</f>
        <v>2</v>
      </c>
      <c r="BK34" s="9">
        <f>VLOOKUP(C34,'РО - регионы'!$B$16:$C$104,2)</f>
        <v>1</v>
      </c>
      <c r="BL34" s="9">
        <f>VLOOKUP(C34,'РО - регионы'!$B$16:$L$104,11)</f>
        <v>2</v>
      </c>
      <c r="BM34" s="9">
        <f>VLOOKUP(C34,Спецтехника!$B$16:$C$104,2)</f>
        <v>2</v>
      </c>
      <c r="BN34" s="9">
        <f>VLOOKUP($C34,МНО!$B$16:$AB$104,6,0)</f>
        <v>1</v>
      </c>
      <c r="BO34" s="9">
        <f>VLOOKUP($C34,МНО!$B$16:$AB$104,4,0)</f>
        <v>0</v>
      </c>
      <c r="BP34" s="9">
        <f>VLOOKUP($C34,МНО!$B$16:$AB$104,5,0)</f>
        <v>0</v>
      </c>
      <c r="BQ34" s="9">
        <f>VLOOKUP($C34,Контейнеры!$B$16:$G$104,6,0)</f>
        <v>1</v>
      </c>
      <c r="BR34" s="9">
        <f>VLOOKUP($C34,Контейнеры!$B$16:$G$104,4,0)</f>
        <v>0</v>
      </c>
      <c r="BS34" s="9">
        <f>VLOOKUP($C34,Контейнеры!$B$16:$G$104,5,0)</f>
        <v>2</v>
      </c>
      <c r="BT34" s="9">
        <f>VLOOKUP($C34,'ДК МНО'!$B$16:$C$104,2,0)</f>
        <v>2</v>
      </c>
      <c r="BU34" s="9">
        <f>VLOOKUP($C34,Обработка!$B$16:$F$104,5,0)</f>
        <v>0</v>
      </c>
      <c r="BV34" s="9">
        <f>VLOOKUP($C34,Обработка!$B$16:$F$104,4,0)</f>
        <v>0</v>
      </c>
      <c r="BW34" s="9">
        <f>VLOOKUP($C34,Утилизация!$B$16:$F$104,5,0)</f>
        <v>0</v>
      </c>
      <c r="BX34" s="9">
        <f>VLOOKUP($C34,Утилизация!$B$16:$F$104,4,0)</f>
        <v>1</v>
      </c>
      <c r="BY34" s="9">
        <f>VLOOKUP($C34,Захоронение!$B$16:$C$104,2,0)</f>
        <v>0</v>
      </c>
      <c r="BZ34" s="9">
        <f>VLOOKUP($C34,'ДК ИП'!$B$16:$C$104,2,0)</f>
        <v>0</v>
      </c>
      <c r="CA34" s="9">
        <f t="shared" si="9"/>
        <v>0.45</v>
      </c>
    </row>
    <row r="35" ht="30" customHeight="1" spans="1:79">
      <c r="A35" s="6" t="s">
        <v>85</v>
      </c>
      <c r="B35" s="331">
        <f t="shared" si="3"/>
        <v>25</v>
      </c>
      <c r="C35" s="332" t="s">
        <v>96</v>
      </c>
      <c r="D35" s="333" t="str">
        <f>VLOOKUP($C35,Штаб!$B$16:$J$104,6,0)</f>
        <v/>
      </c>
      <c r="E35" s="334" t="str">
        <f>VLOOKUP($C35,Штаб!$B$16:$J$104,7,0)</f>
        <v>✔️</v>
      </c>
      <c r="F35" s="334" t="str">
        <f>VLOOKUP($C35,Штаб!$B$16:$J$104,8,0)</f>
        <v/>
      </c>
      <c r="G35" s="335" t="str">
        <f>VLOOKUP($C35,Штаб!$B$16:$J$104,9,0)</f>
        <v/>
      </c>
      <c r="H35" s="284" t="str">
        <f>VLOOKUP(C35,'РО - регионы'!$B$16:$I$104,8,0)</f>
        <v>0 / 0 / 1 из 1</v>
      </c>
      <c r="I35" s="169"/>
      <c r="J35" s="137"/>
      <c r="K35" s="170"/>
      <c r="L35" s="170"/>
      <c r="M35" s="171"/>
      <c r="N35" s="172">
        <f>VLOOKUP(C35,Спецтехника!$B$16:$J$104,4,0)</f>
        <v>76</v>
      </c>
      <c r="O35" s="173">
        <f>VLOOKUP(C35,Спецтехника!$B$16:$J$104,5,0)</f>
        <v>70</v>
      </c>
      <c r="P35" s="173">
        <f>VLOOKUP(C35,Спецтехника!$B$16:$J$104,6,0)</f>
        <v>6</v>
      </c>
      <c r="Q35" s="196">
        <f>VLOOKUP(C35,Спецтехника!$B$16:$J$104,7,0)</f>
        <v>0.0789473684210526</v>
      </c>
      <c r="R35" s="197"/>
      <c r="S35" s="137"/>
      <c r="T35" s="170"/>
      <c r="U35" s="170"/>
      <c r="V35" s="171"/>
      <c r="W35" s="176">
        <f>VLOOKUP($C35,МНО!$B$16:$AB$104,16,0)</f>
        <v>4451</v>
      </c>
      <c r="X35" s="177">
        <f>VLOOKUP($C35,МНО!$B$16:$AB$104,8,0)</f>
        <v>2026</v>
      </c>
      <c r="Y35" s="177">
        <f>VLOOKUP($C35,МНО!$B$16:$AB$104,11,0)</f>
        <v>2425</v>
      </c>
      <c r="Z35" s="217">
        <f>VLOOKUP($C35,МНО!$B$16:$AB$104,17,0)</f>
        <v>0.544821388452033</v>
      </c>
      <c r="AA35" s="213"/>
      <c r="AB35" s="214">
        <f>VLOOKUP($C35,МНО!$B$16:$AB$104,13,0)</f>
        <v>3.60973329524502</v>
      </c>
      <c r="AC35" s="215">
        <f>VLOOKUP($C35,МНО!$B$16:$AB$104,18,0)</f>
        <v>0.669752066115702</v>
      </c>
      <c r="AD35" s="176">
        <f>VLOOKUP($C35,Контейнеры!$B$16:$AB$104,16,0)</f>
        <v>7913</v>
      </c>
      <c r="AE35" s="177">
        <f>VLOOKUP($C35,Контейнеры!$B$16:$AB$104,8,0)</f>
        <v>3611</v>
      </c>
      <c r="AF35" s="177">
        <f>VLOOKUP($C35,Контейнеры!$B$16:$AB$104,11,0)</f>
        <v>4302</v>
      </c>
      <c r="AG35" s="217">
        <f>VLOOKUP($C35,Контейнеры!$B$16:$AB$104,17,0)</f>
        <v>0.543662327814988</v>
      </c>
      <c r="AH35" s="213"/>
      <c r="AI35" s="214">
        <f>VLOOKUP($C35,Контейнеры!$B$16:$AB$104,13,0)</f>
        <v>7.21347367411719</v>
      </c>
      <c r="AJ35" s="215">
        <f>VLOOKUP($C35,Контейнеры!$B$16:$AB$104,18,0)</f>
        <v>0.52669194865811</v>
      </c>
      <c r="AK35" s="231"/>
      <c r="AL35" s="170"/>
      <c r="AM35" s="170"/>
      <c r="AN35" s="232"/>
      <c r="AO35" s="257">
        <f>VLOOKUP($C35,Обработка!$B$16:$L$104,6,0)</f>
        <v>0.9</v>
      </c>
      <c r="AP35" s="250">
        <f t="shared" si="4"/>
        <v>0.357</v>
      </c>
      <c r="AQ35" s="250">
        <f>VLOOKUP($C35,Обработка!$B$16:$L$104,7,0)</f>
        <v>1</v>
      </c>
      <c r="AR35" s="255">
        <f t="shared" si="5"/>
        <v>0.193</v>
      </c>
      <c r="AS35" s="258">
        <f>VLOOKUP($C35,Утилизация!$B$16:$L$104,6,0)</f>
        <v>0.123</v>
      </c>
      <c r="AT35" s="259">
        <f t="shared" si="6"/>
        <v>-0.016</v>
      </c>
      <c r="AU35" s="250">
        <f>VLOOKUP($C35,Утилизация!$B$16:$L$104,7,0)</f>
        <v>0.5</v>
      </c>
      <c r="AV35" s="256">
        <f t="shared" si="7"/>
        <v>0.214</v>
      </c>
      <c r="AW35" s="284" t="str">
        <f>VLOOKUP(C35,Захоронение!$B$16:$Q$104,16,0)</f>
        <v/>
      </c>
      <c r="AX35" s="231"/>
      <c r="AY35" s="170"/>
      <c r="AZ35" s="170"/>
      <c r="BA35" s="171"/>
      <c r="BB35" s="280" t="str">
        <f>VLOOKUP(C35,'ДК ИП'!$B$16:$S$104,5,0)</f>
        <v>среднее</v>
      </c>
      <c r="BC35" s="327">
        <f>VLOOKUP(C35,'Радар олд'!$B$3:$E$87,4,0)</f>
        <v>0.0299645818642365</v>
      </c>
      <c r="BD35" s="171"/>
      <c r="BI35" s="9">
        <f t="shared" si="8"/>
        <v>0</v>
      </c>
      <c r="BJ35" s="9">
        <f>VLOOKUP(C35,Штаб!$B$16:$C$104,2)</f>
        <v>1</v>
      </c>
      <c r="BK35" s="9">
        <f>VLOOKUP(C35,'РО - регионы'!$B$16:$C$104,2)</f>
        <v>0</v>
      </c>
      <c r="BL35" s="9">
        <f>VLOOKUP(C35,'РО - регионы'!$B$16:$L$104,11)</f>
        <v>0</v>
      </c>
      <c r="BM35" s="9">
        <f>VLOOKUP(C35,Спецтехника!$B$16:$C$104,2)</f>
        <v>0</v>
      </c>
      <c r="BN35" s="9">
        <f>VLOOKUP($C35,МНО!$B$16:$AB$104,6,0)</f>
        <v>2</v>
      </c>
      <c r="BO35" s="9">
        <f>VLOOKUP($C35,МНО!$B$16:$AB$104,4,0)</f>
        <v>1</v>
      </c>
      <c r="BP35" s="9">
        <f>VLOOKUP($C35,МНО!$B$16:$AB$104,5,0)</f>
        <v>2</v>
      </c>
      <c r="BQ35" s="9">
        <f>VLOOKUP($C35,Контейнеры!$B$16:$G$104,6,0)</f>
        <v>2</v>
      </c>
      <c r="BR35" s="9">
        <f>VLOOKUP($C35,Контейнеры!$B$16:$G$104,4,0)</f>
        <v>0</v>
      </c>
      <c r="BS35" s="9">
        <f>VLOOKUP($C35,Контейнеры!$B$16:$G$104,5,0)</f>
        <v>2</v>
      </c>
      <c r="BT35" s="9">
        <f>VLOOKUP($C35,'ДК МНО'!$B$16:$C$104,2,0)</f>
        <v>2</v>
      </c>
      <c r="BU35" s="9">
        <f>VLOOKUP($C35,Обработка!$B$16:$F$104,5,0)</f>
        <v>0</v>
      </c>
      <c r="BV35" s="9">
        <f>VLOOKUP($C35,Обработка!$B$16:$F$104,4,0)</f>
        <v>0</v>
      </c>
      <c r="BW35" s="9">
        <f>VLOOKUP($C35,Утилизация!$B$16:$F$104,5,0)</f>
        <v>0</v>
      </c>
      <c r="BX35" s="9">
        <f>VLOOKUP($C35,Утилизация!$B$16:$F$104,4,0)</f>
        <v>1</v>
      </c>
      <c r="BY35" s="9">
        <f>VLOOKUP($C35,Захоронение!$B$16:$C$104,2,0)</f>
        <v>0</v>
      </c>
      <c r="BZ35" s="9">
        <f>VLOOKUP($C35,'ДК ИП'!$B$16:$C$104,2,0)</f>
        <v>1</v>
      </c>
      <c r="CA35" s="9">
        <f t="shared" si="9"/>
        <v>0.4</v>
      </c>
    </row>
    <row r="36" ht="30" customHeight="1" spans="1:79">
      <c r="A36" s="6" t="s">
        <v>70</v>
      </c>
      <c r="B36" s="331">
        <f t="shared" si="3"/>
        <v>26</v>
      </c>
      <c r="C36" s="332" t="s">
        <v>97</v>
      </c>
      <c r="D36" s="333" t="str">
        <f>VLOOKUP($C36,Штаб!$B$16:$J$104,6,0)</f>
        <v/>
      </c>
      <c r="E36" s="334" t="str">
        <f>VLOOKUP($C36,Штаб!$B$16:$J$104,7,0)</f>
        <v>✔️</v>
      </c>
      <c r="F36" s="334" t="str">
        <f>VLOOKUP($C36,Штаб!$B$16:$J$104,8,0)</f>
        <v/>
      </c>
      <c r="G36" s="335" t="str">
        <f>VLOOKUP($C36,Штаб!$B$16:$J$104,9,0)</f>
        <v/>
      </c>
      <c r="H36" s="284" t="str">
        <f>VLOOKUP(C36,'РО - регионы'!$B$16:$I$104,8,0)</f>
        <v>0 / 0 / 1 из 1</v>
      </c>
      <c r="I36" s="169"/>
      <c r="J36" s="137"/>
      <c r="K36" s="170"/>
      <c r="L36" s="170"/>
      <c r="M36" s="171"/>
      <c r="N36" s="172">
        <f>VLOOKUP(C36,Спецтехника!$B$16:$J$104,4,0)</f>
        <v>179</v>
      </c>
      <c r="O36" s="173">
        <f>VLOOKUP(C36,Спецтехника!$B$16:$J$104,5,0)</f>
        <v>179</v>
      </c>
      <c r="P36" s="173">
        <f>VLOOKUP(C36,Спецтехника!$B$16:$J$104,6,0)</f>
        <v>0</v>
      </c>
      <c r="Q36" s="196">
        <f>VLOOKUP(C36,Спецтехника!$B$16:$J$104,7,0)</f>
        <v>0</v>
      </c>
      <c r="R36" s="197"/>
      <c r="S36" s="137"/>
      <c r="T36" s="170"/>
      <c r="U36" s="170"/>
      <c r="V36" s="171"/>
      <c r="W36" s="172">
        <f>VLOOKUP($C36,МНО!$B$16:$AB$104,16,0)</f>
        <v>7629</v>
      </c>
      <c r="X36" s="173">
        <f>VLOOKUP($C36,МНО!$B$16:$AB$104,8,0)</f>
        <v>7233</v>
      </c>
      <c r="Y36" s="173">
        <f>VLOOKUP($C36,МНО!$B$16:$AB$104,11,0)</f>
        <v>396</v>
      </c>
      <c r="Z36" s="216">
        <f>VLOOKUP($C36,МНО!$B$16:$AB$104,17,0)</f>
        <v>0.0519071962249312</v>
      </c>
      <c r="AA36" s="213"/>
      <c r="AB36" s="214">
        <f>VLOOKUP($C36,МНО!$B$16:$AB$104,13,0)</f>
        <v>9.18111044809259</v>
      </c>
      <c r="AC36" s="215">
        <f>VLOOKUP($C36,МНО!$B$16:$AB$104,18,0)</f>
        <v>1</v>
      </c>
      <c r="AD36" s="174">
        <f>VLOOKUP($C36,Контейнеры!$B$16:$AB$104,16,0)</f>
        <v>17705</v>
      </c>
      <c r="AE36" s="175">
        <f>VLOOKUP($C36,Контейнеры!$B$16:$AB$104,8,0)</f>
        <v>16588</v>
      </c>
      <c r="AF36" s="175">
        <f>VLOOKUP($C36,Контейнеры!$B$16:$AB$104,11,0)</f>
        <v>1117</v>
      </c>
      <c r="AG36" s="212">
        <f>VLOOKUP($C36,Контейнеры!$B$16:$AB$104,17,0)</f>
        <v>0.063089522733691</v>
      </c>
      <c r="AH36" s="213"/>
      <c r="AI36" s="214">
        <f>VLOOKUP($C36,Контейнеры!$B$16:$AB$104,13,0)</f>
        <v>23.0193863532285</v>
      </c>
      <c r="AJ36" s="215">
        <f>VLOOKUP($C36,Контейнеры!$B$16:$AB$104,18,0)</f>
        <v>1</v>
      </c>
      <c r="AK36" s="231"/>
      <c r="AL36" s="170"/>
      <c r="AM36" s="170"/>
      <c r="AN36" s="232"/>
      <c r="AO36" s="249">
        <f>VLOOKUP($C36,Обработка!$B$16:$L$104,6,0)</f>
        <v>0.007</v>
      </c>
      <c r="AP36" s="251">
        <f t="shared" si="4"/>
        <v>-0.536</v>
      </c>
      <c r="AQ36" s="259">
        <f>VLOOKUP($C36,Обработка!$B$16:$L$104,7,0)</f>
        <v>0.6886</v>
      </c>
      <c r="AR36" s="262">
        <f t="shared" si="5"/>
        <v>-0.1184</v>
      </c>
      <c r="AS36" s="253">
        <f>VLOOKUP($C36,Утилизация!$B$16:$L$104,6,0)</f>
        <v>0</v>
      </c>
      <c r="AT36" s="251">
        <f t="shared" si="6"/>
        <v>-0.139</v>
      </c>
      <c r="AU36" s="251">
        <f>VLOOKUP($C36,Утилизация!$B$16:$L$104,7,0)</f>
        <v>0.1</v>
      </c>
      <c r="AV36" s="254">
        <f t="shared" si="7"/>
        <v>-0.186</v>
      </c>
      <c r="AW36" s="284" t="str">
        <f>VLOOKUP(C36,Захоронение!$B$16:$Q$104,16,0)</f>
        <v/>
      </c>
      <c r="AX36" s="231"/>
      <c r="AY36" s="170"/>
      <c r="AZ36" s="170"/>
      <c r="BA36" s="171"/>
      <c r="BB36" s="280" t="str">
        <f>VLOOKUP(C36,'ДК ИП'!$B$16:$S$104,5,0)</f>
        <v>среднее</v>
      </c>
      <c r="BC36" s="327">
        <f>VLOOKUP(C36,'Радар олд'!$B$3:$E$87,4,0)</f>
        <v>0.0610593802472905</v>
      </c>
      <c r="BD36" s="171"/>
      <c r="BI36" s="9">
        <f t="shared" si="8"/>
        <v>0</v>
      </c>
      <c r="BJ36" s="9">
        <f>VLOOKUP(C36,Штаб!$B$16:$C$104,2)</f>
        <v>1</v>
      </c>
      <c r="BK36" s="9">
        <f>VLOOKUP(C36,'РО - регионы'!$B$16:$C$104,2)</f>
        <v>0</v>
      </c>
      <c r="BL36" s="9">
        <f>VLOOKUP(C36,'РО - регионы'!$B$16:$L$104,11)</f>
        <v>0</v>
      </c>
      <c r="BM36" s="9">
        <f>VLOOKUP(C36,Спецтехника!$B$16:$C$104,2)</f>
        <v>0</v>
      </c>
      <c r="BN36" s="9">
        <f>VLOOKUP($C36,МНО!$B$16:$AB$104,6,0)</f>
        <v>0</v>
      </c>
      <c r="BO36" s="9">
        <f>VLOOKUP($C36,МНО!$B$16:$AB$104,4,0)</f>
        <v>0</v>
      </c>
      <c r="BP36" s="9">
        <f>VLOOKUP($C36,МНО!$B$16:$AB$104,5,0)</f>
        <v>0</v>
      </c>
      <c r="BQ36" s="9">
        <f>VLOOKUP($C36,Контейнеры!$B$16:$G$104,6,0)</f>
        <v>0</v>
      </c>
      <c r="BR36" s="9">
        <f>VLOOKUP($C36,Контейнеры!$B$16:$G$104,4,0)</f>
        <v>0</v>
      </c>
      <c r="BS36" s="9">
        <f>VLOOKUP($C36,Контейнеры!$B$16:$G$104,5,0)</f>
        <v>0</v>
      </c>
      <c r="BT36" s="9">
        <f>VLOOKUP($C36,'ДК МНО'!$B$16:$C$104,2,0)</f>
        <v>2</v>
      </c>
      <c r="BU36" s="9">
        <f>VLOOKUP($C36,Обработка!$B$16:$F$104,5,0)</f>
        <v>1</v>
      </c>
      <c r="BV36" s="9">
        <f>VLOOKUP($C36,Обработка!$B$16:$F$104,4,0)</f>
        <v>2</v>
      </c>
      <c r="BW36" s="9">
        <f>VLOOKUP($C36,Утилизация!$B$16:$F$104,5,0)</f>
        <v>2</v>
      </c>
      <c r="BX36" s="9">
        <f>VLOOKUP($C36,Утилизация!$B$16:$F$104,4,0)</f>
        <v>2</v>
      </c>
      <c r="BY36" s="9">
        <f>VLOOKUP($C36,Захоронение!$B$16:$C$104,2,0)</f>
        <v>0</v>
      </c>
      <c r="BZ36" s="9">
        <f>VLOOKUP($C36,'ДК ИП'!$B$16:$C$104,2,0)</f>
        <v>1</v>
      </c>
      <c r="CA36" s="9">
        <f t="shared" si="9"/>
        <v>0.45</v>
      </c>
    </row>
    <row r="37" ht="30" customHeight="1" spans="1:79">
      <c r="A37" s="6" t="s">
        <v>85</v>
      </c>
      <c r="B37" s="331">
        <f t="shared" si="3"/>
        <v>27</v>
      </c>
      <c r="C37" s="332" t="s">
        <v>98</v>
      </c>
      <c r="D37" s="333" t="str">
        <f>VLOOKUP($C37,Штаб!$B$16:$J$104,6,0)</f>
        <v>✔️</v>
      </c>
      <c r="E37" s="334" t="str">
        <f>VLOOKUP($C37,Штаб!$B$16:$J$104,7,0)</f>
        <v/>
      </c>
      <c r="F37" s="334" t="str">
        <f>VLOOKUP($C37,Штаб!$B$16:$J$104,8,0)</f>
        <v/>
      </c>
      <c r="G37" s="335" t="str">
        <f>VLOOKUP($C37,Штаб!$B$16:$J$104,9,0)</f>
        <v/>
      </c>
      <c r="H37" s="284" t="str">
        <f>VLOOKUP(C37,'РО - регионы'!$B$16:$I$104,8,0)</f>
        <v>0 / 0 / 6 из 6</v>
      </c>
      <c r="I37" s="169"/>
      <c r="J37" s="137"/>
      <c r="K37" s="170"/>
      <c r="L37" s="170"/>
      <c r="M37" s="171"/>
      <c r="N37" s="174">
        <f>VLOOKUP(C37,Спецтехника!$B$16:$J$104,4,0)</f>
        <v>507</v>
      </c>
      <c r="O37" s="175">
        <f>VLOOKUP(C37,Спецтехника!$B$16:$J$104,5,0)</f>
        <v>445</v>
      </c>
      <c r="P37" s="175">
        <f>VLOOKUP(C37,Спецтехника!$B$16:$J$104,6,0)</f>
        <v>62</v>
      </c>
      <c r="Q37" s="198">
        <f>VLOOKUP(C37,Спецтехника!$B$16:$J$104,7,0)</f>
        <v>0.122287968441815</v>
      </c>
      <c r="R37" s="197"/>
      <c r="S37" s="137"/>
      <c r="T37" s="170"/>
      <c r="U37" s="170"/>
      <c r="V37" s="171"/>
      <c r="W37" s="172">
        <f>VLOOKUP($C37,МНО!$B$16:$AB$104,16,0)</f>
        <v>10024</v>
      </c>
      <c r="X37" s="173">
        <f>VLOOKUP($C37,МНО!$B$16:$AB$104,8,0)</f>
        <v>9558</v>
      </c>
      <c r="Y37" s="173">
        <f>VLOOKUP($C37,МНО!$B$16:$AB$104,11,0)</f>
        <v>466</v>
      </c>
      <c r="Z37" s="216">
        <f>VLOOKUP($C37,МНО!$B$16:$AB$104,17,0)</f>
        <v>0.046488427773344</v>
      </c>
      <c r="AA37" s="213"/>
      <c r="AB37" s="214">
        <f>VLOOKUP($C37,МНО!$B$16:$AB$104,13,0)</f>
        <v>4.30793627019443</v>
      </c>
      <c r="AC37" s="215">
        <f>VLOOKUP($C37,МНО!$B$16:$AB$104,18,0)</f>
        <v>1</v>
      </c>
      <c r="AD37" s="172">
        <f>VLOOKUP($C37,Контейнеры!$B$16:$AB$104,16,0)</f>
        <v>26191</v>
      </c>
      <c r="AE37" s="173">
        <f>VLOOKUP($C37,Контейнеры!$B$16:$AB$104,8,0)</f>
        <v>25528</v>
      </c>
      <c r="AF37" s="173">
        <f>VLOOKUP($C37,Контейнеры!$B$16:$AB$104,11,0)</f>
        <v>663</v>
      </c>
      <c r="AG37" s="216">
        <f>VLOOKUP($C37,Контейнеры!$B$16:$AB$104,17,0)</f>
        <v>0.025314039173762</v>
      </c>
      <c r="AH37" s="213"/>
      <c r="AI37" s="214">
        <f>VLOOKUP($C37,Контейнеры!$B$16:$AB$104,13,0)</f>
        <v>13.3689517512185</v>
      </c>
      <c r="AJ37" s="215">
        <f>VLOOKUP($C37,Контейнеры!$B$16:$AB$104,18,0)</f>
        <v>1</v>
      </c>
      <c r="AK37" s="231"/>
      <c r="AL37" s="170"/>
      <c r="AM37" s="170"/>
      <c r="AN37" s="232"/>
      <c r="AO37" s="261">
        <f>VLOOKUP($C37,Обработка!$B$16:$L$104,6,0)</f>
        <v>0.338</v>
      </c>
      <c r="AP37" s="259">
        <f t="shared" si="4"/>
        <v>-0.205</v>
      </c>
      <c r="AQ37" s="250">
        <f>VLOOKUP($C37,Обработка!$B$16:$L$104,7,0)</f>
        <v>1</v>
      </c>
      <c r="AR37" s="255">
        <f t="shared" si="5"/>
        <v>0.193</v>
      </c>
      <c r="AS37" s="253">
        <f>VLOOKUP($C37,Утилизация!$B$16:$L$104,6,0)</f>
        <v>0.018</v>
      </c>
      <c r="AT37" s="251">
        <f t="shared" si="6"/>
        <v>-0.121</v>
      </c>
      <c r="AU37" s="250">
        <f>VLOOKUP($C37,Утилизация!$B$16:$L$104,7,0)</f>
        <v>0.5</v>
      </c>
      <c r="AV37" s="256">
        <f t="shared" si="7"/>
        <v>0.214</v>
      </c>
      <c r="AW37" s="283" t="str">
        <f>VLOOKUP(C37,Захоронение!$B$16:$Q$104,16,0)</f>
        <v>перегруз</v>
      </c>
      <c r="AX37" s="231"/>
      <c r="AY37" s="170"/>
      <c r="AZ37" s="170"/>
      <c r="BA37" s="171"/>
      <c r="BB37" s="280" t="str">
        <f>VLOOKUP(C37,'ДК ИП'!$B$16:$S$104,5,0)</f>
        <v>небольшое</v>
      </c>
      <c r="BC37" s="327">
        <f>VLOOKUP(C37,'Радар олд'!$B$3:$E$87,4,0)</f>
        <v>0.0246137861292412</v>
      </c>
      <c r="BD37" s="171"/>
      <c r="BI37" s="9">
        <f t="shared" si="8"/>
        <v>0</v>
      </c>
      <c r="BJ37" s="9">
        <f>VLOOKUP(C37,Штаб!$B$16:$C$104,2)</f>
        <v>0</v>
      </c>
      <c r="BK37" s="9">
        <f>VLOOKUP(C37,'РО - регионы'!$B$16:$C$104,2)</f>
        <v>0</v>
      </c>
      <c r="BL37" s="9">
        <f>VLOOKUP(C37,'РО - регионы'!$B$16:$L$104,11)</f>
        <v>0</v>
      </c>
      <c r="BM37" s="9">
        <f>VLOOKUP(C37,Спецтехника!$B$16:$C$104,2)</f>
        <v>1</v>
      </c>
      <c r="BN37" s="9">
        <f>VLOOKUP($C37,МНО!$B$16:$AB$104,6,0)</f>
        <v>0</v>
      </c>
      <c r="BO37" s="9">
        <f>VLOOKUP($C37,МНО!$B$16:$AB$104,4,0)</f>
        <v>1</v>
      </c>
      <c r="BP37" s="9">
        <f>VLOOKUP($C37,МНО!$B$16:$AB$104,5,0)</f>
        <v>0</v>
      </c>
      <c r="BQ37" s="9">
        <f>VLOOKUP($C37,Контейнеры!$B$16:$G$104,6,0)</f>
        <v>0</v>
      </c>
      <c r="BR37" s="9">
        <f>VLOOKUP($C37,Контейнеры!$B$16:$G$104,4,0)</f>
        <v>0</v>
      </c>
      <c r="BS37" s="9">
        <f>VLOOKUP($C37,Контейнеры!$B$16:$G$104,5,0)</f>
        <v>0</v>
      </c>
      <c r="BT37" s="9">
        <f>VLOOKUP($C37,'ДК МНО'!$B$16:$C$104,2,0)</f>
        <v>2</v>
      </c>
      <c r="BU37" s="9">
        <f>VLOOKUP($C37,Обработка!$B$16:$F$104,5,0)</f>
        <v>0</v>
      </c>
      <c r="BV37" s="9">
        <f>VLOOKUP($C37,Обработка!$B$16:$F$104,4,0)</f>
        <v>1</v>
      </c>
      <c r="BW37" s="9">
        <f>VLOOKUP($C37,Утилизация!$B$16:$F$104,5,0)</f>
        <v>0</v>
      </c>
      <c r="BX37" s="9">
        <f>VLOOKUP($C37,Утилизация!$B$16:$F$104,4,0)</f>
        <v>2</v>
      </c>
      <c r="BY37" s="9">
        <f>VLOOKUP($C37,Захоронение!$B$16:$C$104,2,0)</f>
        <v>1</v>
      </c>
      <c r="BZ37" s="9">
        <f>VLOOKUP($C37,'ДК ИП'!$B$16:$C$104,2,0)</f>
        <v>0</v>
      </c>
      <c r="CA37" s="9">
        <f t="shared" si="9"/>
        <v>0.5</v>
      </c>
    </row>
    <row r="38" ht="30" customHeight="1" spans="1:79">
      <c r="A38" s="6" t="s">
        <v>74</v>
      </c>
      <c r="B38" s="331">
        <f t="shared" si="3"/>
        <v>28</v>
      </c>
      <c r="C38" s="332" t="s">
        <v>99</v>
      </c>
      <c r="D38" s="333" t="str">
        <f>VLOOKUP($C38,Штаб!$B$16:$J$104,6,0)</f>
        <v/>
      </c>
      <c r="E38" s="334" t="str">
        <f>VLOOKUP($C38,Штаб!$B$16:$J$104,7,0)</f>
        <v/>
      </c>
      <c r="F38" s="334" t="str">
        <f>VLOOKUP($C38,Штаб!$B$16:$J$104,8,0)</f>
        <v/>
      </c>
      <c r="G38" s="335" t="str">
        <f>VLOOKUP($C38,Штаб!$B$16:$J$104,9,0)</f>
        <v>✔️</v>
      </c>
      <c r="H38" s="284" t="str">
        <f>VLOOKUP(C38,'РО - регионы'!$B$16:$I$104,8,0)</f>
        <v>0 / 0 / 1 из 1</v>
      </c>
      <c r="I38" s="169"/>
      <c r="J38" s="137"/>
      <c r="K38" s="170"/>
      <c r="L38" s="170"/>
      <c r="M38" s="171"/>
      <c r="N38" s="174">
        <f>VLOOKUP(C38,Спецтехника!$B$16:$J$104,4,0)</f>
        <v>201</v>
      </c>
      <c r="O38" s="175">
        <f>VLOOKUP(C38,Спецтехника!$B$16:$J$104,5,0)</f>
        <v>179</v>
      </c>
      <c r="P38" s="175">
        <f>VLOOKUP(C38,Спецтехника!$B$16:$J$104,6,0)</f>
        <v>22</v>
      </c>
      <c r="Q38" s="198">
        <f>VLOOKUP(C38,Спецтехника!$B$16:$J$104,7,0)</f>
        <v>0.109452736318408</v>
      </c>
      <c r="R38" s="197"/>
      <c r="S38" s="137"/>
      <c r="T38" s="170"/>
      <c r="U38" s="170"/>
      <c r="V38" s="171"/>
      <c r="W38" s="174">
        <f>VLOOKUP($C38,МНО!$B$16:$AB$104,16,0)</f>
        <v>11885</v>
      </c>
      <c r="X38" s="175">
        <f>VLOOKUP($C38,МНО!$B$16:$AB$104,8,0)</f>
        <v>8883</v>
      </c>
      <c r="Y38" s="175">
        <f>VLOOKUP($C38,МНО!$B$16:$AB$104,11,0)</f>
        <v>3002</v>
      </c>
      <c r="Z38" s="212">
        <f>VLOOKUP($C38,МНО!$B$16:$AB$104,17,0)</f>
        <v>0.25258729490955</v>
      </c>
      <c r="AA38" s="213"/>
      <c r="AB38" s="214">
        <f>VLOOKUP($C38,МНО!$B$16:$AB$104,13,0)</f>
        <v>5.52853598706778</v>
      </c>
      <c r="AC38" s="215">
        <f>VLOOKUP($C38,МНО!$B$16:$AB$104,18,0)</f>
        <v>0.316447579352357</v>
      </c>
      <c r="AD38" s="174">
        <f>VLOOKUP($C38,Контейнеры!$B$16:$AB$104,16,0)</f>
        <v>24999</v>
      </c>
      <c r="AE38" s="175">
        <f>VLOOKUP($C38,Контейнеры!$B$16:$AB$104,8,0)</f>
        <v>17493</v>
      </c>
      <c r="AF38" s="175">
        <f>VLOOKUP($C38,Контейнеры!$B$16:$AB$104,11,0)</f>
        <v>7506</v>
      </c>
      <c r="AG38" s="212">
        <f>VLOOKUP($C38,Контейнеры!$B$16:$AB$104,17,0)</f>
        <v>0.300252010080403</v>
      </c>
      <c r="AH38" s="213"/>
      <c r="AI38" s="214">
        <f>VLOOKUP($C38,Контейнеры!$B$16:$AB$104,13,0)</f>
        <v>12.1940083245211</v>
      </c>
      <c r="AJ38" s="215">
        <f>VLOOKUP($C38,Контейнеры!$B$16:$AB$104,18,0)</f>
        <v>1</v>
      </c>
      <c r="AK38" s="231"/>
      <c r="AL38" s="170"/>
      <c r="AM38" s="170"/>
      <c r="AN38" s="232"/>
      <c r="AO38" s="257">
        <f>VLOOKUP($C38,Обработка!$B$16:$L$104,6,0)</f>
        <v>0.735</v>
      </c>
      <c r="AP38" s="250">
        <f t="shared" si="4"/>
        <v>0.192</v>
      </c>
      <c r="AQ38" s="259">
        <f>VLOOKUP($C38,Обработка!$B$16:$L$104,7,0)</f>
        <v>0.679</v>
      </c>
      <c r="AR38" s="262">
        <f t="shared" si="5"/>
        <v>-0.128</v>
      </c>
      <c r="AS38" s="258">
        <f>VLOOKUP($C38,Утилизация!$B$16:$L$104,6,0)</f>
        <v>0.092</v>
      </c>
      <c r="AT38" s="259">
        <f t="shared" si="6"/>
        <v>-0.047</v>
      </c>
      <c r="AU38" s="251">
        <f>VLOOKUP($C38,Утилизация!$B$16:$L$104,7,0)</f>
        <v>0.065</v>
      </c>
      <c r="AV38" s="254">
        <f t="shared" si="7"/>
        <v>-0.221</v>
      </c>
      <c r="AW38" s="284" t="str">
        <f>VLOOKUP(C38,Захоронение!$B$16:$Q$104,16,0)</f>
        <v/>
      </c>
      <c r="AX38" s="231"/>
      <c r="AY38" s="170"/>
      <c r="AZ38" s="170"/>
      <c r="BA38" s="171"/>
      <c r="BB38" s="280" t="str">
        <f>VLOOKUP(C38,'ДК ИП'!$B$16:$S$104,5,0)</f>
        <v>небольшое</v>
      </c>
      <c r="BC38" s="327">
        <f>VLOOKUP(C38,'Радар олд'!$B$3:$E$87,4,0)</f>
        <v>0.0745874858928575</v>
      </c>
      <c r="BD38" s="171"/>
      <c r="BI38" s="9">
        <f t="shared" si="8"/>
        <v>0</v>
      </c>
      <c r="BJ38" s="9">
        <f>VLOOKUP(C38,Штаб!$B$16:$C$104,2)</f>
        <v>2</v>
      </c>
      <c r="BK38" s="9">
        <f>VLOOKUP(C38,'РО - регионы'!$B$16:$C$104,2)</f>
        <v>0</v>
      </c>
      <c r="BL38" s="9">
        <f>VLOOKUP(C38,'РО - регионы'!$B$16:$L$104,11)</f>
        <v>0</v>
      </c>
      <c r="BM38" s="9">
        <f>VLOOKUP(C38,Спецтехника!$B$16:$C$104,2)</f>
        <v>1</v>
      </c>
      <c r="BN38" s="9">
        <f>VLOOKUP($C38,МНО!$B$16:$AB$104,6,0)</f>
        <v>1</v>
      </c>
      <c r="BO38" s="9">
        <f>VLOOKUP($C38,МНО!$B$16:$AB$104,4,0)</f>
        <v>1</v>
      </c>
      <c r="BP38" s="9">
        <f>VLOOKUP($C38,МНО!$B$16:$AB$104,5,0)</f>
        <v>2</v>
      </c>
      <c r="BQ38" s="9">
        <f>VLOOKUP($C38,Контейнеры!$B$16:$G$104,6,0)</f>
        <v>1</v>
      </c>
      <c r="BR38" s="9">
        <f>VLOOKUP($C38,Контейнеры!$B$16:$G$104,4,0)</f>
        <v>2</v>
      </c>
      <c r="BS38" s="9">
        <f>VLOOKUP($C38,Контейнеры!$B$16:$G$104,5,0)</f>
        <v>0</v>
      </c>
      <c r="BT38" s="9">
        <f>VLOOKUP($C38,'ДК МНО'!$B$16:$C$104,2,0)</f>
        <v>2</v>
      </c>
      <c r="BU38" s="9">
        <f>VLOOKUP($C38,Обработка!$B$16:$F$104,5,0)</f>
        <v>1</v>
      </c>
      <c r="BV38" s="9">
        <f>VLOOKUP($C38,Обработка!$B$16:$F$104,4,0)</f>
        <v>0</v>
      </c>
      <c r="BW38" s="9">
        <f>VLOOKUP($C38,Утилизация!$B$16:$F$104,5,0)</f>
        <v>2</v>
      </c>
      <c r="BX38" s="9">
        <f>VLOOKUP($C38,Утилизация!$B$16:$F$104,4,0)</f>
        <v>1</v>
      </c>
      <c r="BY38" s="9">
        <f>VLOOKUP($C38,Захоронение!$B$16:$C$104,2,0)</f>
        <v>0</v>
      </c>
      <c r="BZ38" s="9">
        <f>VLOOKUP($C38,'ДК ИП'!$B$16:$C$104,2,0)</f>
        <v>0</v>
      </c>
      <c r="CA38" s="9">
        <f t="shared" si="9"/>
        <v>0.5</v>
      </c>
    </row>
    <row r="39" ht="30" customHeight="1" spans="1:79">
      <c r="A39" s="6" t="s">
        <v>74</v>
      </c>
      <c r="B39" s="331">
        <f t="shared" si="3"/>
        <v>29</v>
      </c>
      <c r="C39" s="332" t="s">
        <v>100</v>
      </c>
      <c r="D39" s="333" t="str">
        <f>VLOOKUP($C39,Штаб!$B$16:$J$104,6,0)</f>
        <v/>
      </c>
      <c r="E39" s="334" t="str">
        <f>VLOOKUP($C39,Штаб!$B$16:$J$104,7,0)</f>
        <v>✔️</v>
      </c>
      <c r="F39" s="334" t="str">
        <f>VLOOKUP($C39,Штаб!$B$16:$J$104,8,0)</f>
        <v/>
      </c>
      <c r="G39" s="335" t="str">
        <f>VLOOKUP($C39,Штаб!$B$16:$J$104,9,0)</f>
        <v/>
      </c>
      <c r="H39" s="283" t="str">
        <f>VLOOKUP(C39,'РО - регионы'!$B$16:$I$104,8,0)</f>
        <v>0 / 0 / 1 из 1</v>
      </c>
      <c r="I39" s="169"/>
      <c r="J39" s="137"/>
      <c r="K39" s="170"/>
      <c r="L39" s="170"/>
      <c r="M39" s="171"/>
      <c r="N39" s="172">
        <f>VLOOKUP(C39,Спецтехника!$B$16:$J$104,4,0)</f>
        <v>756</v>
      </c>
      <c r="O39" s="173">
        <f>VLOOKUP(C39,Спецтехника!$B$16:$J$104,5,0)</f>
        <v>739</v>
      </c>
      <c r="P39" s="173">
        <f>VLOOKUP(C39,Спецтехника!$B$16:$J$104,6,0)</f>
        <v>17</v>
      </c>
      <c r="Q39" s="196">
        <f>VLOOKUP(C39,Спецтехника!$B$16:$J$104,7,0)</f>
        <v>0.0224867724867725</v>
      </c>
      <c r="R39" s="197"/>
      <c r="S39" s="137"/>
      <c r="T39" s="170"/>
      <c r="U39" s="170"/>
      <c r="V39" s="171"/>
      <c r="W39" s="172">
        <f>VLOOKUP($C39,МНО!$B$16:$AB$104,16,0)</f>
        <v>22131</v>
      </c>
      <c r="X39" s="173">
        <f>VLOOKUP($C39,МНО!$B$16:$AB$104,8,0)</f>
        <v>18901</v>
      </c>
      <c r="Y39" s="173">
        <f>VLOOKUP($C39,МНО!$B$16:$AB$104,11,0)</f>
        <v>3230</v>
      </c>
      <c r="Z39" s="216">
        <f>VLOOKUP($C39,МНО!$B$16:$AB$104,17,0)</f>
        <v>0.145949121142289</v>
      </c>
      <c r="AA39" s="213"/>
      <c r="AB39" s="214">
        <f>VLOOKUP($C39,МНО!$B$16:$AB$104,13,0)</f>
        <v>5.86954200372014</v>
      </c>
      <c r="AC39" s="215">
        <f>VLOOKUP($C39,МНО!$B$16:$AB$104,18,0)</f>
        <v>0.871254724808703</v>
      </c>
      <c r="AD39" s="176">
        <f>VLOOKUP($C39,Контейнеры!$B$16:$AB$104,16,0)</f>
        <v>43181</v>
      </c>
      <c r="AE39" s="177">
        <f>VLOOKUP($C39,Контейнеры!$B$16:$AB$104,8,0)</f>
        <v>43181</v>
      </c>
      <c r="AF39" s="177">
        <f>VLOOKUP($C39,Контейнеры!$B$16:$AB$104,11,0)</f>
        <v>0</v>
      </c>
      <c r="AG39" s="217">
        <f>VLOOKUP($C39,Контейнеры!$B$16:$AB$104,17,0)</f>
        <v>0</v>
      </c>
      <c r="AH39" s="213"/>
      <c r="AI39" s="214">
        <f>VLOOKUP($C39,Контейнеры!$B$16:$AB$104,13,0)</f>
        <v>13.8053648489917</v>
      </c>
      <c r="AJ39" s="215">
        <f>VLOOKUP($C39,Контейнеры!$B$16:$AB$104,18,0)</f>
        <v>0.781924525568593</v>
      </c>
      <c r="AK39" s="231"/>
      <c r="AL39" s="170"/>
      <c r="AM39" s="170"/>
      <c r="AN39" s="232"/>
      <c r="AO39" s="261">
        <f>VLOOKUP($C39,Обработка!$B$16:$L$104,6,0)</f>
        <v>0.444</v>
      </c>
      <c r="AP39" s="259">
        <f t="shared" si="4"/>
        <v>-0.099</v>
      </c>
      <c r="AQ39" s="250">
        <f>VLOOKUP($C39,Обработка!$B$16:$L$104,7,0)</f>
        <v>0.821</v>
      </c>
      <c r="AR39" s="255">
        <f t="shared" si="5"/>
        <v>0.0139999999999999</v>
      </c>
      <c r="AS39" s="253">
        <f>VLOOKUP($C39,Утилизация!$B$16:$L$104,6,0)</f>
        <v>0.033</v>
      </c>
      <c r="AT39" s="251">
        <f t="shared" si="6"/>
        <v>-0.106</v>
      </c>
      <c r="AU39" s="259">
        <f>VLOOKUP($C39,Утилизация!$B$16:$L$104,7,0)</f>
        <v>0.161</v>
      </c>
      <c r="AV39" s="260">
        <f t="shared" si="7"/>
        <v>-0.125</v>
      </c>
      <c r="AW39" s="284" t="str">
        <f>VLOOKUP(C39,Захоронение!$B$16:$Q$104,16,0)</f>
        <v/>
      </c>
      <c r="AX39" s="231"/>
      <c r="AY39" s="170"/>
      <c r="AZ39" s="170"/>
      <c r="BA39" s="171"/>
      <c r="BB39" s="280" t="str">
        <f>VLOOKUP(C39,'ДК ИП'!$B$16:$S$104,5,0)</f>
        <v>нет</v>
      </c>
      <c r="BC39" s="327">
        <f>VLOOKUP(C39,'Радар олд'!$B$3:$E$87,4,0)</f>
        <v>0.179037176430267</v>
      </c>
      <c r="BD39" s="171"/>
      <c r="BI39" s="9">
        <f t="shared" si="8"/>
        <v>0</v>
      </c>
      <c r="BJ39" s="9">
        <f>VLOOKUP(C39,Штаб!$B$16:$C$104,2)</f>
        <v>1</v>
      </c>
      <c r="BK39" s="9">
        <f>VLOOKUP(C39,'РО - регионы'!$B$16:$C$104,2)</f>
        <v>0</v>
      </c>
      <c r="BL39" s="9">
        <f>VLOOKUP(C39,'РО - регионы'!$B$16:$L$104,11)</f>
        <v>0</v>
      </c>
      <c r="BM39" s="9">
        <f>VLOOKUP(C39,Спецтехника!$B$16:$C$104,2)</f>
        <v>0</v>
      </c>
      <c r="BN39" s="9">
        <f>VLOOKUP($C39,МНО!$B$16:$AB$104,6,0)</f>
        <v>0</v>
      </c>
      <c r="BO39" s="9">
        <f>VLOOKUP($C39,МНО!$B$16:$AB$104,4,0)</f>
        <v>1</v>
      </c>
      <c r="BP39" s="9">
        <f>VLOOKUP($C39,МНО!$B$16:$AB$104,5,0)</f>
        <v>0</v>
      </c>
      <c r="BQ39" s="9">
        <f>VLOOKUP($C39,Контейнеры!$B$16:$G$104,6,0)</f>
        <v>2</v>
      </c>
      <c r="BR39" s="9">
        <f>VLOOKUP($C39,Контейнеры!$B$16:$G$104,4,0)</f>
        <v>0</v>
      </c>
      <c r="BS39" s="9">
        <f>VLOOKUP($C39,Контейнеры!$B$16:$G$104,5,0)</f>
        <v>2</v>
      </c>
      <c r="BT39" s="9">
        <f>VLOOKUP($C39,'ДК МНО'!$B$16:$C$104,2,0)</f>
        <v>2</v>
      </c>
      <c r="BU39" s="9">
        <f>VLOOKUP($C39,Обработка!$B$16:$F$104,5,0)</f>
        <v>0</v>
      </c>
      <c r="BV39" s="9">
        <f>VLOOKUP($C39,Обработка!$B$16:$F$104,4,0)</f>
        <v>1</v>
      </c>
      <c r="BW39" s="9">
        <f>VLOOKUP($C39,Утилизация!$B$16:$F$104,5,0)</f>
        <v>1</v>
      </c>
      <c r="BX39" s="9">
        <f>VLOOKUP($C39,Утилизация!$B$16:$F$104,4,0)</f>
        <v>2</v>
      </c>
      <c r="BY39" s="9">
        <f>VLOOKUP($C39,Захоронение!$B$16:$C$104,2,0)</f>
        <v>0</v>
      </c>
      <c r="BZ39" s="9">
        <f>VLOOKUP($C39,'ДК ИП'!$B$16:$C$104,2,0)</f>
        <v>0</v>
      </c>
      <c r="CA39" s="9">
        <f t="shared" si="9"/>
        <v>0.35</v>
      </c>
    </row>
    <row r="40" ht="30" customHeight="1" spans="1:79">
      <c r="A40" s="6" t="s">
        <v>67</v>
      </c>
      <c r="B40" s="331">
        <f t="shared" si="3"/>
        <v>30</v>
      </c>
      <c r="C40" s="332" t="s">
        <v>101</v>
      </c>
      <c r="D40" s="333" t="str">
        <f>VLOOKUP($C40,Штаб!$B$16:$J$104,6,0)</f>
        <v/>
      </c>
      <c r="E40" s="334" t="str">
        <f>VLOOKUP($C40,Штаб!$B$16:$J$104,7,0)</f>
        <v>✔️</v>
      </c>
      <c r="F40" s="334" t="str">
        <f>VLOOKUP($C40,Штаб!$B$16:$J$104,8,0)</f>
        <v/>
      </c>
      <c r="G40" s="335" t="str">
        <f>VLOOKUP($C40,Штаб!$B$16:$J$104,9,0)</f>
        <v/>
      </c>
      <c r="H40" s="284" t="str">
        <f>VLOOKUP(C40,'РО - регионы'!$B$16:$I$104,8,0)</f>
        <v>0 / 0 / 4 из 4</v>
      </c>
      <c r="I40" s="169"/>
      <c r="J40" s="137"/>
      <c r="K40" s="170"/>
      <c r="L40" s="170"/>
      <c r="M40" s="171"/>
      <c r="N40" s="172">
        <f>VLOOKUP(C40,Спецтехника!$B$16:$J$104,4,0)</f>
        <v>205</v>
      </c>
      <c r="O40" s="173">
        <f>VLOOKUP(C40,Спецтехника!$B$16:$J$104,5,0)</f>
        <v>191</v>
      </c>
      <c r="P40" s="173">
        <f>VLOOKUP(C40,Спецтехника!$B$16:$J$104,6,0)</f>
        <v>14</v>
      </c>
      <c r="Q40" s="196">
        <f>VLOOKUP(C40,Спецтехника!$B$16:$J$104,7,0)</f>
        <v>0.0682926829268293</v>
      </c>
      <c r="R40" s="197"/>
      <c r="S40" s="137"/>
      <c r="T40" s="170"/>
      <c r="U40" s="170"/>
      <c r="V40" s="171"/>
      <c r="W40" s="174">
        <f>VLOOKUP($C40,МНО!$B$16:$AB$104,16,0)</f>
        <v>22879</v>
      </c>
      <c r="X40" s="175">
        <f>VLOOKUP($C40,МНО!$B$16:$AB$104,8,0)</f>
        <v>17046</v>
      </c>
      <c r="Y40" s="175">
        <f>VLOOKUP($C40,МНО!$B$16:$AB$104,11,0)</f>
        <v>5833</v>
      </c>
      <c r="Z40" s="212">
        <f>VLOOKUP($C40,МНО!$B$16:$AB$104,17,0)</f>
        <v>0.254949954106386</v>
      </c>
      <c r="AA40" s="213"/>
      <c r="AB40" s="214">
        <f>VLOOKUP($C40,МНО!$B$16:$AB$104,13,0)</f>
        <v>15.2642965604046</v>
      </c>
      <c r="AC40" s="215">
        <f>VLOOKUP($C40,МНО!$B$16:$AB$104,18,0)</f>
        <v>1</v>
      </c>
      <c r="AD40" s="172">
        <f>VLOOKUP($C40,Контейнеры!$B$16:$AB$104,16,0)</f>
        <v>41803</v>
      </c>
      <c r="AE40" s="173">
        <f>VLOOKUP($C40,Контейнеры!$B$16:$AB$104,8,0)</f>
        <v>35095</v>
      </c>
      <c r="AF40" s="173">
        <f>VLOOKUP($C40,Контейнеры!$B$16:$AB$104,11,0)</f>
        <v>6708</v>
      </c>
      <c r="AG40" s="216">
        <f>VLOOKUP($C40,Контейнеры!$B$16:$AB$104,17,0)</f>
        <v>0.160466952132622</v>
      </c>
      <c r="AH40" s="213"/>
      <c r="AI40" s="214">
        <f>VLOOKUP($C40,Контейнеры!$B$16:$AB$104,13,0)</f>
        <v>31.4396671041375</v>
      </c>
      <c r="AJ40" s="215">
        <f>VLOOKUP($C40,Контейнеры!$B$16:$AB$104,18,0)</f>
        <v>1</v>
      </c>
      <c r="AK40" s="231"/>
      <c r="AL40" s="170"/>
      <c r="AM40" s="170"/>
      <c r="AN40" s="232"/>
      <c r="AO40" s="261">
        <f>VLOOKUP($C40,Обработка!$B$16:$L$104,6,0)</f>
        <v>0.53</v>
      </c>
      <c r="AP40" s="259">
        <f t="shared" si="4"/>
        <v>-0.013</v>
      </c>
      <c r="AQ40" s="259">
        <f>VLOOKUP($C40,Обработка!$B$16:$L$104,7,0)</f>
        <v>0.629</v>
      </c>
      <c r="AR40" s="262">
        <f t="shared" si="5"/>
        <v>-0.178</v>
      </c>
      <c r="AS40" s="253">
        <f>VLOOKUP($C40,Утилизация!$B$16:$L$104,6,0)</f>
        <v>0.03</v>
      </c>
      <c r="AT40" s="251">
        <f t="shared" si="6"/>
        <v>-0.109</v>
      </c>
      <c r="AU40" s="259">
        <f>VLOOKUP($C40,Утилизация!$B$16:$L$104,7,0)</f>
        <v>0.21</v>
      </c>
      <c r="AV40" s="260">
        <f t="shared" si="7"/>
        <v>-0.076</v>
      </c>
      <c r="AW40" s="283" t="str">
        <f>VLOOKUP(C40,Захоронение!$B$16:$Q$104,16,0)</f>
        <v>перегруз</v>
      </c>
      <c r="AX40" s="231"/>
      <c r="AY40" s="170"/>
      <c r="AZ40" s="170"/>
      <c r="BA40" s="171"/>
      <c r="BB40" s="280" t="str">
        <f>VLOOKUP(C40,'ДК ИП'!$B$16:$S$104,5,0)</f>
        <v>нет</v>
      </c>
      <c r="BC40" s="327">
        <f>VLOOKUP(C40,'Радар олд'!$B$3:$E$87,4,0)</f>
        <v>0.0842093947225793</v>
      </c>
      <c r="BD40" s="171"/>
      <c r="BI40" s="9">
        <f t="shared" si="8"/>
        <v>0</v>
      </c>
      <c r="BJ40" s="9">
        <f>VLOOKUP(C40,Штаб!$B$16:$C$104,2)</f>
        <v>1</v>
      </c>
      <c r="BK40" s="9">
        <f>VLOOKUP(C40,'РО - регионы'!$B$16:$C$104,2)</f>
        <v>0</v>
      </c>
      <c r="BL40" s="9">
        <f>VLOOKUP(C40,'РО - регионы'!$B$16:$L$104,11)</f>
        <v>0</v>
      </c>
      <c r="BM40" s="9">
        <f>VLOOKUP(C40,Спецтехника!$B$16:$C$104,2)</f>
        <v>0</v>
      </c>
      <c r="BN40" s="9">
        <f>VLOOKUP($C40,МНО!$B$16:$AB$104,6,0)</f>
        <v>1</v>
      </c>
      <c r="BO40" s="9">
        <f>VLOOKUP($C40,МНО!$B$16:$AB$104,4,0)</f>
        <v>0</v>
      </c>
      <c r="BP40" s="9">
        <f>VLOOKUP($C40,МНО!$B$16:$AB$104,5,0)</f>
        <v>0</v>
      </c>
      <c r="BQ40" s="9">
        <f>VLOOKUP($C40,Контейнеры!$B$16:$G$104,6,0)</f>
        <v>1</v>
      </c>
      <c r="BR40" s="9">
        <f>VLOOKUP($C40,Контейнеры!$B$16:$G$104,4,0)</f>
        <v>0</v>
      </c>
      <c r="BS40" s="9">
        <f>VLOOKUP($C40,Контейнеры!$B$16:$G$104,5,0)</f>
        <v>0</v>
      </c>
      <c r="BT40" s="9">
        <f>VLOOKUP($C40,'ДК МНО'!$B$16:$C$104,2,0)</f>
        <v>2</v>
      </c>
      <c r="BU40" s="9">
        <f>VLOOKUP($C40,Обработка!$B$16:$F$104,5,0)</f>
        <v>1</v>
      </c>
      <c r="BV40" s="9">
        <f>VLOOKUP($C40,Обработка!$B$16:$F$104,4,0)</f>
        <v>1</v>
      </c>
      <c r="BW40" s="9">
        <f>VLOOKUP($C40,Утилизация!$B$16:$F$104,5,0)</f>
        <v>1</v>
      </c>
      <c r="BX40" s="9">
        <f>VLOOKUP($C40,Утилизация!$B$16:$F$104,4,0)</f>
        <v>2</v>
      </c>
      <c r="BY40" s="9">
        <f>VLOOKUP($C40,Захоронение!$B$16:$C$104,2,0)</f>
        <v>1</v>
      </c>
      <c r="BZ40" s="9">
        <f>VLOOKUP($C40,'ДК ИП'!$B$16:$C$104,2,0)</f>
        <v>0</v>
      </c>
      <c r="CA40" s="9">
        <f t="shared" si="9"/>
        <v>0.6</v>
      </c>
    </row>
    <row r="41" ht="30" customHeight="1" spans="1:79">
      <c r="A41" s="6" t="s">
        <v>74</v>
      </c>
      <c r="B41" s="331">
        <f t="shared" si="3"/>
        <v>31</v>
      </c>
      <c r="C41" s="332" t="s">
        <v>102</v>
      </c>
      <c r="D41" s="333" t="str">
        <f>VLOOKUP($C41,Штаб!$B$16:$J$104,6,0)</f>
        <v/>
      </c>
      <c r="E41" s="334" t="str">
        <f>VLOOKUP($C41,Штаб!$B$16:$J$104,7,0)</f>
        <v/>
      </c>
      <c r="F41" s="334" t="str">
        <f>VLOOKUP($C41,Штаб!$B$16:$J$104,8,0)</f>
        <v/>
      </c>
      <c r="G41" s="335" t="str">
        <f>VLOOKUP($C41,Штаб!$B$16:$J$104,9,0)</f>
        <v>✔️</v>
      </c>
      <c r="H41" s="284" t="str">
        <f>VLOOKUP(C41,'РО - регионы'!$B$16:$I$104,8,0)</f>
        <v>0 / 0 / 2 из 2</v>
      </c>
      <c r="I41" s="169"/>
      <c r="J41" s="137"/>
      <c r="K41" s="170"/>
      <c r="L41" s="170"/>
      <c r="M41" s="171"/>
      <c r="N41" s="172">
        <f>VLOOKUP(C41,Спецтехника!$B$16:$J$104,4,0)</f>
        <v>313</v>
      </c>
      <c r="O41" s="173">
        <f>VLOOKUP(C41,Спецтехника!$B$16:$J$104,5,0)</f>
        <v>303</v>
      </c>
      <c r="P41" s="173">
        <f>VLOOKUP(C41,Спецтехника!$B$16:$J$104,6,0)</f>
        <v>10</v>
      </c>
      <c r="Q41" s="196">
        <f>VLOOKUP(C41,Спецтехника!$B$16:$J$104,7,0)</f>
        <v>0.0319488817891374</v>
      </c>
      <c r="R41" s="197"/>
      <c r="S41" s="137"/>
      <c r="T41" s="170"/>
      <c r="U41" s="170"/>
      <c r="V41" s="171"/>
      <c r="W41" s="174">
        <f>VLOOKUP($C41,МНО!$B$16:$AB$104,16,0)</f>
        <v>15577</v>
      </c>
      <c r="X41" s="175">
        <f>VLOOKUP($C41,МНО!$B$16:$AB$104,8,0)</f>
        <v>12577</v>
      </c>
      <c r="Y41" s="175">
        <f>VLOOKUP($C41,МНО!$B$16:$AB$104,11,0)</f>
        <v>3000</v>
      </c>
      <c r="Z41" s="212">
        <f>VLOOKUP($C41,МНО!$B$16:$AB$104,17,0)</f>
        <v>0.192591641522758</v>
      </c>
      <c r="AA41" s="213"/>
      <c r="AB41" s="214">
        <f>VLOOKUP($C41,МНО!$B$16:$AB$104,13,0)</f>
        <v>4.68982622990546</v>
      </c>
      <c r="AC41" s="215">
        <f>VLOOKUP($C41,МНО!$B$16:$AB$104,18,0)</f>
        <v>0.646333316203299</v>
      </c>
      <c r="AD41" s="174">
        <f>VLOOKUP($C41,Контейнеры!$B$16:$AB$104,16,0)</f>
        <v>32271</v>
      </c>
      <c r="AE41" s="175">
        <f>VLOOKUP($C41,Контейнеры!$B$16:$AB$104,8,0)</f>
        <v>25836</v>
      </c>
      <c r="AF41" s="175">
        <f>VLOOKUP($C41,Контейнеры!$B$16:$AB$104,11,0)</f>
        <v>6435</v>
      </c>
      <c r="AG41" s="212">
        <f>VLOOKUP($C41,Контейнеры!$B$16:$AB$104,17,0)</f>
        <v>0.19940503857953</v>
      </c>
      <c r="AH41" s="213"/>
      <c r="AI41" s="214">
        <f>VLOOKUP($C41,Контейнеры!$B$16:$AB$104,13,0)</f>
        <v>10.8319641047593</v>
      </c>
      <c r="AJ41" s="215">
        <f>VLOOKUP($C41,Контейнеры!$B$16:$AB$104,18,0)</f>
        <v>0.818942563712438</v>
      </c>
      <c r="AK41" s="231"/>
      <c r="AL41" s="170"/>
      <c r="AM41" s="170"/>
      <c r="AN41" s="232"/>
      <c r="AO41" s="257">
        <f>VLOOKUP($C41,Обработка!$B$16:$L$104,6,0)</f>
        <v>0.852</v>
      </c>
      <c r="AP41" s="250">
        <f t="shared" si="4"/>
        <v>0.309</v>
      </c>
      <c r="AQ41" s="250">
        <f>VLOOKUP($C41,Обработка!$B$16:$L$104,7,0)</f>
        <v>0.831</v>
      </c>
      <c r="AR41" s="255">
        <f t="shared" si="5"/>
        <v>0.0239999999999999</v>
      </c>
      <c r="AS41" s="253">
        <f>VLOOKUP($C41,Утилизация!$B$16:$L$104,6,0)</f>
        <v>0.05</v>
      </c>
      <c r="AT41" s="251">
        <f t="shared" si="6"/>
        <v>-0.089</v>
      </c>
      <c r="AU41" s="251">
        <f>VLOOKUP($C41,Утилизация!$B$16:$L$104,7,0)</f>
        <v>0.045</v>
      </c>
      <c r="AV41" s="254">
        <f t="shared" si="7"/>
        <v>-0.241</v>
      </c>
      <c r="AW41" s="284" t="str">
        <f>VLOOKUP(C41,Захоронение!$B$16:$Q$104,16,0)</f>
        <v/>
      </c>
      <c r="AX41" s="231"/>
      <c r="AY41" s="170"/>
      <c r="AZ41" s="170"/>
      <c r="BA41" s="171"/>
      <c r="BB41" s="280" t="str">
        <f>VLOOKUP(C41,'ДК ИП'!$B$16:$S$104,5,0)</f>
        <v>существенное</v>
      </c>
      <c r="BC41" s="327">
        <f>VLOOKUP(C41,'Радар олд'!$B$3:$E$87,4,0)</f>
        <v>0.0708546963037746</v>
      </c>
      <c r="BD41" s="171"/>
      <c r="BI41" s="9">
        <f t="shared" si="8"/>
        <v>0</v>
      </c>
      <c r="BJ41" s="9">
        <f>VLOOKUP(C41,Штаб!$B$16:$C$104,2)</f>
        <v>2</v>
      </c>
      <c r="BK41" s="9">
        <f>VLOOKUP(C41,'РО - регионы'!$B$16:$C$104,2)</f>
        <v>0</v>
      </c>
      <c r="BL41" s="9">
        <f>VLOOKUP(C41,'РО - регионы'!$B$16:$L$104,11)</f>
        <v>0</v>
      </c>
      <c r="BM41" s="9">
        <f>VLOOKUP(C41,Спецтехника!$B$16:$C$104,2)</f>
        <v>0</v>
      </c>
      <c r="BN41" s="9">
        <f>VLOOKUP($C41,МНО!$B$16:$AB$104,6,0)</f>
        <v>1</v>
      </c>
      <c r="BO41" s="9">
        <f>VLOOKUP($C41,МНО!$B$16:$AB$104,4,0)</f>
        <v>1</v>
      </c>
      <c r="BP41" s="9">
        <f>VLOOKUP($C41,МНО!$B$16:$AB$104,5,0)</f>
        <v>2</v>
      </c>
      <c r="BQ41" s="9">
        <f>VLOOKUP($C41,Контейнеры!$B$16:$G$104,6,0)</f>
        <v>1</v>
      </c>
      <c r="BR41" s="9">
        <f>VLOOKUP($C41,Контейнеры!$B$16:$G$104,4,0)</f>
        <v>0</v>
      </c>
      <c r="BS41" s="9">
        <f>VLOOKUP($C41,Контейнеры!$B$16:$G$104,5,0)</f>
        <v>1</v>
      </c>
      <c r="BT41" s="9">
        <f>VLOOKUP($C41,'ДК МНО'!$B$16:$C$104,2,0)</f>
        <v>2</v>
      </c>
      <c r="BU41" s="9">
        <f>VLOOKUP($C41,Обработка!$B$16:$F$104,5,0)</f>
        <v>0</v>
      </c>
      <c r="BV41" s="9">
        <f>VLOOKUP($C41,Обработка!$B$16:$F$104,4,0)</f>
        <v>0</v>
      </c>
      <c r="BW41" s="9">
        <f>VLOOKUP($C41,Утилизация!$B$16:$F$104,5,0)</f>
        <v>2</v>
      </c>
      <c r="BX41" s="9">
        <f>VLOOKUP($C41,Утилизация!$B$16:$F$104,4,0)</f>
        <v>2</v>
      </c>
      <c r="BY41" s="9">
        <f>VLOOKUP($C41,Захоронение!$B$16:$C$104,2,0)</f>
        <v>0</v>
      </c>
      <c r="BZ41" s="9">
        <f>VLOOKUP($C41,'ДК ИП'!$B$16:$C$104,2,0)</f>
        <v>2</v>
      </c>
      <c r="CA41" s="9">
        <f t="shared" si="9"/>
        <v>0.55</v>
      </c>
    </row>
    <row r="42" ht="30" customHeight="1" spans="1:79">
      <c r="A42" s="6" t="s">
        <v>67</v>
      </c>
      <c r="B42" s="331">
        <f t="shared" si="3"/>
        <v>32</v>
      </c>
      <c r="C42" s="332" t="s">
        <v>103</v>
      </c>
      <c r="D42" s="333" t="str">
        <f>VLOOKUP($C42,Штаб!$B$16:$J$104,6,0)</f>
        <v/>
      </c>
      <c r="E42" s="334" t="str">
        <f>VLOOKUP($C42,Штаб!$B$16:$J$104,7,0)</f>
        <v/>
      </c>
      <c r="F42" s="334" t="str">
        <f>VLOOKUP($C42,Штаб!$B$16:$J$104,8,0)</f>
        <v/>
      </c>
      <c r="G42" s="335" t="str">
        <f>VLOOKUP($C42,Штаб!$B$16:$J$104,9,0)</f>
        <v>✔️</v>
      </c>
      <c r="H42" s="284" t="str">
        <f>VLOOKUP(C42,'РО - регионы'!$B$16:$I$104,8,0)</f>
        <v>0 / 0 / 1 из 1</v>
      </c>
      <c r="I42" s="169"/>
      <c r="J42" s="137"/>
      <c r="K42" s="170"/>
      <c r="L42" s="170"/>
      <c r="M42" s="171"/>
      <c r="N42" s="172">
        <f>VLOOKUP(C42,Спецтехника!$B$16:$J$104,4,0)</f>
        <v>113</v>
      </c>
      <c r="O42" s="173">
        <f>VLOOKUP(C42,Спецтехника!$B$16:$J$104,5,0)</f>
        <v>107</v>
      </c>
      <c r="P42" s="173">
        <f>VLOOKUP(C42,Спецтехника!$B$16:$J$104,6,0)</f>
        <v>6</v>
      </c>
      <c r="Q42" s="196">
        <f>VLOOKUP(C42,Спецтехника!$B$16:$J$104,7,0)</f>
        <v>0.0530973451327434</v>
      </c>
      <c r="R42" s="197"/>
      <c r="S42" s="137"/>
      <c r="T42" s="170"/>
      <c r="U42" s="170"/>
      <c r="V42" s="171"/>
      <c r="W42" s="174">
        <f>VLOOKUP($C42,МНО!$B$16:$AB$104,16,0)</f>
        <v>7409</v>
      </c>
      <c r="X42" s="175">
        <f>VLOOKUP($C42,МНО!$B$16:$AB$104,8,0)</f>
        <v>6089</v>
      </c>
      <c r="Y42" s="175">
        <f>VLOOKUP($C42,МНО!$B$16:$AB$104,11,0)</f>
        <v>1320</v>
      </c>
      <c r="Z42" s="212">
        <f>VLOOKUP($C42,МНО!$B$16:$AB$104,17,0)</f>
        <v>0.178161695235524</v>
      </c>
      <c r="AA42" s="213"/>
      <c r="AB42" s="214">
        <f>VLOOKUP($C42,МНО!$B$16:$AB$104,13,0)</f>
        <v>6.35657712442433</v>
      </c>
      <c r="AC42" s="215">
        <f>VLOOKUP($C42,МНО!$B$16:$AB$104,18,0)</f>
        <v>0.763702495923743</v>
      </c>
      <c r="AD42" s="174">
        <f>VLOOKUP($C42,Контейнеры!$B$16:$AB$104,16,0)</f>
        <v>16732</v>
      </c>
      <c r="AE42" s="175">
        <f>VLOOKUP($C42,Контейнеры!$B$16:$AB$104,8,0)</f>
        <v>12460</v>
      </c>
      <c r="AF42" s="175">
        <f>VLOOKUP($C42,Контейнеры!$B$16:$AB$104,11,0)</f>
        <v>4272</v>
      </c>
      <c r="AG42" s="212">
        <f>VLOOKUP($C42,Контейнеры!$B$16:$AB$104,17,0)</f>
        <v>0.25531914893617</v>
      </c>
      <c r="AH42" s="213"/>
      <c r="AI42" s="214">
        <f>VLOOKUP($C42,Контейнеры!$B$16:$AB$104,13,0)</f>
        <v>14.4215132866582</v>
      </c>
      <c r="AJ42" s="215">
        <f>VLOOKUP($C42,Контейнеры!$B$16:$AB$104,18,0)</f>
        <v>0.673149648838466</v>
      </c>
      <c r="AK42" s="231"/>
      <c r="AL42" s="170"/>
      <c r="AM42" s="170"/>
      <c r="AN42" s="232"/>
      <c r="AO42" s="257">
        <f>VLOOKUP($C42,Обработка!$B$16:$L$104,6,0)</f>
        <v>0.598</v>
      </c>
      <c r="AP42" s="250">
        <f t="shared" si="4"/>
        <v>0.0549999999999999</v>
      </c>
      <c r="AQ42" s="259">
        <f>VLOOKUP($C42,Обработка!$B$16:$L$104,7,0)</f>
        <v>0.55</v>
      </c>
      <c r="AR42" s="262">
        <f t="shared" si="5"/>
        <v>-0.257</v>
      </c>
      <c r="AS42" s="253">
        <f>VLOOKUP($C42,Утилизация!$B$16:$L$104,6,0)</f>
        <v>0.014</v>
      </c>
      <c r="AT42" s="251">
        <f t="shared" si="6"/>
        <v>-0.125</v>
      </c>
      <c r="AU42" s="251">
        <f>VLOOKUP($C42,Утилизация!$B$16:$L$104,7,0)</f>
        <v>0.014</v>
      </c>
      <c r="AV42" s="254">
        <f t="shared" si="7"/>
        <v>-0.272</v>
      </c>
      <c r="AW42" s="284" t="str">
        <f>VLOOKUP(C42,Захоронение!$B$16:$Q$104,16,0)</f>
        <v/>
      </c>
      <c r="AX42" s="231"/>
      <c r="AY42" s="170"/>
      <c r="AZ42" s="170"/>
      <c r="BA42" s="171"/>
      <c r="BB42" s="280" t="str">
        <f>VLOOKUP(C42,'ДК ИП'!$B$16:$S$104,5,0)</f>
        <v>существенное</v>
      </c>
      <c r="BC42" s="327">
        <f>VLOOKUP(C42,'Радар олд'!$B$3:$E$87,4,0)</f>
        <v>0.0590286659405755</v>
      </c>
      <c r="BD42" s="171"/>
      <c r="BI42" s="9">
        <f t="shared" si="8"/>
        <v>0</v>
      </c>
      <c r="BJ42" s="9">
        <f>VLOOKUP(C42,Штаб!$B$16:$C$104,2)</f>
        <v>2</v>
      </c>
      <c r="BK42" s="9">
        <f>VLOOKUP(C42,'РО - регионы'!$B$16:$C$104,2)</f>
        <v>0</v>
      </c>
      <c r="BL42" s="9">
        <f>VLOOKUP(C42,'РО - регионы'!$B$16:$L$104,11)</f>
        <v>0</v>
      </c>
      <c r="BM42" s="9">
        <f>VLOOKUP(C42,Спецтехника!$B$16:$C$104,2)</f>
        <v>0</v>
      </c>
      <c r="BN42" s="9">
        <f>VLOOKUP($C42,МНО!$B$16:$AB$104,6,0)</f>
        <v>0</v>
      </c>
      <c r="BO42" s="9">
        <f>VLOOKUP($C42,МНО!$B$16:$AB$104,4,0)</f>
        <v>0</v>
      </c>
      <c r="BP42" s="9">
        <f>VLOOKUP($C42,МНО!$B$16:$AB$104,5,0)</f>
        <v>1</v>
      </c>
      <c r="BQ42" s="9">
        <f>VLOOKUP($C42,Контейнеры!$B$16:$G$104,6,0)</f>
        <v>1</v>
      </c>
      <c r="BR42" s="9">
        <f>VLOOKUP($C42,Контейнеры!$B$16:$G$104,4,0)</f>
        <v>0</v>
      </c>
      <c r="BS42" s="9">
        <f>VLOOKUP($C42,Контейнеры!$B$16:$G$104,5,0)</f>
        <v>2</v>
      </c>
      <c r="BT42" s="9">
        <f>VLOOKUP($C42,'ДК МНО'!$B$16:$C$104,2,0)</f>
        <v>2</v>
      </c>
      <c r="BU42" s="9">
        <f>VLOOKUP($C42,Обработка!$B$16:$F$104,5,0)</f>
        <v>1</v>
      </c>
      <c r="BV42" s="9">
        <f>VLOOKUP($C42,Обработка!$B$16:$F$104,4,0)</f>
        <v>0</v>
      </c>
      <c r="BW42" s="9">
        <f>VLOOKUP($C42,Утилизация!$B$16:$F$104,5,0)</f>
        <v>2</v>
      </c>
      <c r="BX42" s="9">
        <f>VLOOKUP($C42,Утилизация!$B$16:$F$104,4,0)</f>
        <v>2</v>
      </c>
      <c r="BY42" s="9">
        <f>VLOOKUP($C42,Захоронение!$B$16:$C$104,2,0)</f>
        <v>0</v>
      </c>
      <c r="BZ42" s="9">
        <f>VLOOKUP($C42,'ДК ИП'!$B$16:$C$104,2,0)</f>
        <v>2</v>
      </c>
      <c r="CA42" s="9">
        <f t="shared" si="9"/>
        <v>0.5</v>
      </c>
    </row>
    <row r="43" ht="30" customHeight="1" spans="1:79">
      <c r="A43" s="6" t="s">
        <v>104</v>
      </c>
      <c r="B43" s="331">
        <f t="shared" si="3"/>
        <v>33</v>
      </c>
      <c r="C43" s="332" t="s">
        <v>105</v>
      </c>
      <c r="D43" s="333" t="str">
        <f>VLOOKUP($C43,Штаб!$B$16:$J$104,6,0)</f>
        <v/>
      </c>
      <c r="E43" s="334" t="str">
        <f>VLOOKUP($C43,Штаб!$B$16:$J$104,7,0)</f>
        <v/>
      </c>
      <c r="F43" s="334" t="str">
        <f>VLOOKUP($C43,Штаб!$B$16:$J$104,8,0)</f>
        <v>✔️</v>
      </c>
      <c r="G43" s="335" t="str">
        <f>VLOOKUP($C43,Штаб!$B$16:$J$104,9,0)</f>
        <v/>
      </c>
      <c r="H43" s="283" t="str">
        <f>VLOOKUP(C43,'РО - регионы'!$B$16:$I$104,8,0)</f>
        <v>0 / 1 / 3 из 4</v>
      </c>
      <c r="I43" s="169"/>
      <c r="J43" s="137"/>
      <c r="K43" s="170"/>
      <c r="L43" s="170"/>
      <c r="M43" s="171"/>
      <c r="N43" s="174">
        <f>VLOOKUP(C43,Спецтехника!$B$16:$J$104,4,0)</f>
        <v>783</v>
      </c>
      <c r="O43" s="175">
        <f>VLOOKUP(C43,Спецтехника!$B$16:$J$104,5,0)</f>
        <v>679</v>
      </c>
      <c r="P43" s="175">
        <f>VLOOKUP(C43,Спецтехника!$B$16:$J$104,6,0)</f>
        <v>104</v>
      </c>
      <c r="Q43" s="198">
        <f>VLOOKUP(C43,Спецтехника!$B$16:$J$104,7,0)</f>
        <v>0.132822477650064</v>
      </c>
      <c r="R43" s="197"/>
      <c r="S43" s="137"/>
      <c r="T43" s="170"/>
      <c r="U43" s="170"/>
      <c r="V43" s="171"/>
      <c r="W43" s="176">
        <f>VLOOKUP($C43,МНО!$B$16:$AB$104,16,0)</f>
        <v>12598</v>
      </c>
      <c r="X43" s="177">
        <f>VLOOKUP($C43,МНО!$B$16:$AB$104,8,0)</f>
        <v>10544</v>
      </c>
      <c r="Y43" s="177">
        <f>VLOOKUP($C43,МНО!$B$16:$AB$104,11,0)</f>
        <v>2054</v>
      </c>
      <c r="Z43" s="217">
        <f>VLOOKUP($C43,МНО!$B$16:$AB$104,17,0)</f>
        <v>0.163041752659152</v>
      </c>
      <c r="AA43" s="213"/>
      <c r="AB43" s="214">
        <f>VLOOKUP($C43,МНО!$B$16:$AB$104,13,0)</f>
        <v>3.52793450556944</v>
      </c>
      <c r="AC43" s="215">
        <f>VLOOKUP($C43,МНО!$B$16:$AB$104,18,0)</f>
        <v>0.724922653832932</v>
      </c>
      <c r="AD43" s="176">
        <f>VLOOKUP($C43,Контейнеры!$B$16:$AB$104,16,0)</f>
        <v>23360</v>
      </c>
      <c r="AE43" s="177">
        <f>VLOOKUP($C43,Контейнеры!$B$16:$AB$104,8,0)</f>
        <v>19550</v>
      </c>
      <c r="AF43" s="177">
        <f>VLOOKUP($C43,Контейнеры!$B$16:$AB$104,11,0)</f>
        <v>3810</v>
      </c>
      <c r="AG43" s="217">
        <f>VLOOKUP($C43,Контейнеры!$B$16:$AB$104,17,0)</f>
        <v>0.163099315068493</v>
      </c>
      <c r="AH43" s="213"/>
      <c r="AI43" s="214">
        <f>VLOOKUP($C43,Контейнеры!$B$16:$AB$104,13,0)</f>
        <v>6.77382828362625</v>
      </c>
      <c r="AJ43" s="215">
        <f>VLOOKUP($C43,Контейнеры!$B$16:$AB$104,18,0)</f>
        <v>0.732264589107798</v>
      </c>
      <c r="AK43" s="231"/>
      <c r="AL43" s="170"/>
      <c r="AM43" s="170"/>
      <c r="AN43" s="232"/>
      <c r="AO43" s="257">
        <f>VLOOKUP($C43,Обработка!$B$16:$L$104,6,0)</f>
        <v>0.948</v>
      </c>
      <c r="AP43" s="250">
        <f t="shared" si="4"/>
        <v>0.405</v>
      </c>
      <c r="AQ43" s="250">
        <f>VLOOKUP($C43,Обработка!$B$16:$L$104,7,0)</f>
        <v>0.9</v>
      </c>
      <c r="AR43" s="255">
        <f t="shared" si="5"/>
        <v>0.093</v>
      </c>
      <c r="AS43" s="263">
        <f>VLOOKUP($C43,Утилизация!$B$16:$L$104,6,0)</f>
        <v>0.385</v>
      </c>
      <c r="AT43" s="250">
        <f t="shared" si="6"/>
        <v>0.246</v>
      </c>
      <c r="AU43" s="259">
        <f>VLOOKUP($C43,Утилизация!$B$16:$L$104,7,0)</f>
        <v>0.15</v>
      </c>
      <c r="AV43" s="260">
        <f t="shared" si="7"/>
        <v>-0.136</v>
      </c>
      <c r="AW43" s="284" t="str">
        <f>VLOOKUP(C43,Захоронение!$B$16:$Q$104,16,0)</f>
        <v/>
      </c>
      <c r="AX43" s="231"/>
      <c r="AY43" s="170"/>
      <c r="AZ43" s="170"/>
      <c r="BA43" s="171"/>
      <c r="BB43" s="280" t="str">
        <f>VLOOKUP(C43,'ДК ИП'!$B$16:$S$104,5,0)</f>
        <v>не подписана</v>
      </c>
      <c r="BC43" s="327">
        <f>VLOOKUP(C43,'Радар олд'!$B$3:$E$87,4,0)</f>
        <v>0.0176708563920685</v>
      </c>
      <c r="BD43" s="171"/>
      <c r="BI43" s="9">
        <f t="shared" si="8"/>
        <v>0</v>
      </c>
      <c r="BJ43" s="9">
        <f>VLOOKUP(C43,Штаб!$B$16:$C$104,2)</f>
        <v>1</v>
      </c>
      <c r="BK43" s="9">
        <f>VLOOKUP(C43,'РО - регионы'!$B$16:$C$104,2)</f>
        <v>1</v>
      </c>
      <c r="BL43" s="9">
        <f>VLOOKUP(C43,'РО - регионы'!$B$16:$L$104,11)</f>
        <v>2</v>
      </c>
      <c r="BM43" s="9">
        <f>VLOOKUP(C43,Спецтехника!$B$16:$C$104,2)</f>
        <v>1</v>
      </c>
      <c r="BN43" s="9">
        <f>VLOOKUP($C43,МНО!$B$16:$AB$104,6,0)</f>
        <v>0</v>
      </c>
      <c r="BO43" s="9">
        <f>VLOOKUP($C43,МНО!$B$16:$AB$104,4,0)</f>
        <v>1</v>
      </c>
      <c r="BP43" s="9">
        <f>VLOOKUP($C43,МНО!$B$16:$AB$104,5,0)</f>
        <v>1</v>
      </c>
      <c r="BQ43" s="9">
        <f>VLOOKUP($C43,Контейнеры!$B$16:$G$104,6,0)</f>
        <v>1</v>
      </c>
      <c r="BR43" s="9">
        <f>VLOOKUP($C43,Контейнеры!$B$16:$G$104,4,0)</f>
        <v>0</v>
      </c>
      <c r="BS43" s="9">
        <f>VLOOKUP($C43,Контейнеры!$B$16:$G$104,5,0)</f>
        <v>2</v>
      </c>
      <c r="BT43" s="9">
        <f>VLOOKUP($C43,'ДК МНО'!$B$16:$C$104,2,0)</f>
        <v>2</v>
      </c>
      <c r="BU43" s="9">
        <f>VLOOKUP($C43,Обработка!$B$16:$F$104,5,0)</f>
        <v>0</v>
      </c>
      <c r="BV43" s="9">
        <f>VLOOKUP($C43,Обработка!$B$16:$F$104,4,0)</f>
        <v>0</v>
      </c>
      <c r="BW43" s="9">
        <f>VLOOKUP($C43,Утилизация!$B$16:$F$104,5,0)</f>
        <v>1</v>
      </c>
      <c r="BX43" s="9">
        <f>VLOOKUP($C43,Утилизация!$B$16:$F$104,4,0)</f>
        <v>0</v>
      </c>
      <c r="BY43" s="9">
        <f>VLOOKUP($C43,Захоронение!$B$16:$C$104,2,0)</f>
        <v>0</v>
      </c>
      <c r="BZ43" s="9">
        <f>VLOOKUP($C43,'ДК ИП'!$B$16:$C$104,2,0)</f>
        <v>0</v>
      </c>
      <c r="CA43" s="9">
        <f t="shared" si="9"/>
        <v>0.4</v>
      </c>
    </row>
    <row r="44" ht="30" customHeight="1" spans="1:79">
      <c r="A44" s="6" t="s">
        <v>67</v>
      </c>
      <c r="B44" s="331">
        <f t="shared" si="3"/>
        <v>34</v>
      </c>
      <c r="C44" s="332" t="s">
        <v>106</v>
      </c>
      <c r="D44" s="333" t="str">
        <f>VLOOKUP($C44,Штаб!$B$16:$J$104,6,0)</f>
        <v/>
      </c>
      <c r="E44" s="334" t="str">
        <f>VLOOKUP($C44,Штаб!$B$16:$J$104,7,0)</f>
        <v/>
      </c>
      <c r="F44" s="334" t="str">
        <f>VLOOKUP($C44,Штаб!$B$16:$J$104,8,0)</f>
        <v/>
      </c>
      <c r="G44" s="335" t="str">
        <f>VLOOKUP($C44,Штаб!$B$16:$J$104,9,0)</f>
        <v>✔️</v>
      </c>
      <c r="H44" s="284" t="str">
        <f>VLOOKUP(C44,'РО - регионы'!$B$16:$I$104,8,0)</f>
        <v>0 / 0 / 1 из 1</v>
      </c>
      <c r="I44" s="169"/>
      <c r="J44" s="137"/>
      <c r="K44" s="170"/>
      <c r="L44" s="170"/>
      <c r="M44" s="171"/>
      <c r="N44" s="172">
        <f>VLOOKUP(C44,Спецтехника!$B$16:$J$104,4,0)</f>
        <v>242</v>
      </c>
      <c r="O44" s="173">
        <f>VLOOKUP(C44,Спецтехника!$B$16:$J$104,5,0)</f>
        <v>223</v>
      </c>
      <c r="P44" s="173">
        <f>VLOOKUP(C44,Спецтехника!$B$16:$J$104,6,0)</f>
        <v>19</v>
      </c>
      <c r="Q44" s="196">
        <f>VLOOKUP(C44,Спецтехника!$B$16:$J$104,7,0)</f>
        <v>0.0785123966942149</v>
      </c>
      <c r="R44" s="197"/>
      <c r="S44" s="137"/>
      <c r="T44" s="170"/>
      <c r="U44" s="170"/>
      <c r="V44" s="171"/>
      <c r="W44" s="172">
        <f>VLOOKUP($C44,МНО!$B$16:$AB$104,16,0)</f>
        <v>25727</v>
      </c>
      <c r="X44" s="173">
        <f>VLOOKUP($C44,МНО!$B$16:$AB$104,8,0)</f>
        <v>23354</v>
      </c>
      <c r="Y44" s="173">
        <f>VLOOKUP($C44,МНО!$B$16:$AB$104,11,0)</f>
        <v>2373</v>
      </c>
      <c r="Z44" s="216">
        <f>VLOOKUP($C44,МНО!$B$16:$AB$104,17,0)</f>
        <v>0.0922377269016986</v>
      </c>
      <c r="AA44" s="213"/>
      <c r="AB44" s="214">
        <f>VLOOKUP($C44,МНО!$B$16:$AB$104,13,0)</f>
        <v>15.2326411263318</v>
      </c>
      <c r="AC44" s="215">
        <f>VLOOKUP($C44,МНО!$B$16:$AB$104,18,0)</f>
        <v>1</v>
      </c>
      <c r="AD44" s="174">
        <f>VLOOKUP($C44,Контейнеры!$B$16:$AB$104,16,0)</f>
        <v>44882</v>
      </c>
      <c r="AE44" s="175">
        <f>VLOOKUP($C44,Контейнеры!$B$16:$AB$104,8,0)</f>
        <v>35519</v>
      </c>
      <c r="AF44" s="175">
        <f>VLOOKUP($C44,Контейнеры!$B$16:$AB$104,11,0)</f>
        <v>9363</v>
      </c>
      <c r="AG44" s="212">
        <f>VLOOKUP($C44,Контейнеры!$B$16:$AB$104,17,0)</f>
        <v>0.208613698141794</v>
      </c>
      <c r="AH44" s="213"/>
      <c r="AI44" s="214">
        <f>VLOOKUP($C44,Контейнеры!$B$16:$AB$104,13,0)</f>
        <v>23.6689347813194</v>
      </c>
      <c r="AJ44" s="215">
        <f>VLOOKUP($C44,Контейнеры!$B$16:$AB$104,18,0)</f>
        <v>1</v>
      </c>
      <c r="AK44" s="231"/>
      <c r="AL44" s="170"/>
      <c r="AM44" s="170"/>
      <c r="AN44" s="232"/>
      <c r="AO44" s="257">
        <f>VLOOKUP($C44,Обработка!$B$16:$L$104,6,0)</f>
        <v>0.673</v>
      </c>
      <c r="AP44" s="250">
        <f t="shared" si="4"/>
        <v>0.13</v>
      </c>
      <c r="AQ44" s="251">
        <f>VLOOKUP($C44,Обработка!$B$16:$L$104,7,0)</f>
        <v>0.32</v>
      </c>
      <c r="AR44" s="252">
        <f t="shared" si="5"/>
        <v>-0.487</v>
      </c>
      <c r="AS44" s="253">
        <f>VLOOKUP($C44,Утилизация!$B$16:$L$104,6,0)</f>
        <v>0.064</v>
      </c>
      <c r="AT44" s="251">
        <f t="shared" si="6"/>
        <v>-0.075</v>
      </c>
      <c r="AU44" s="251">
        <f>VLOOKUP($C44,Утилизация!$B$16:$L$104,7,0)</f>
        <v>0.046</v>
      </c>
      <c r="AV44" s="254">
        <f t="shared" si="7"/>
        <v>-0.24</v>
      </c>
      <c r="AW44" s="283" t="str">
        <f>VLOOKUP(C44,Захоронение!$B$16:$Q$104,16,0)</f>
        <v>перегруз</v>
      </c>
      <c r="AX44" s="231"/>
      <c r="AY44" s="170"/>
      <c r="AZ44" s="170"/>
      <c r="BA44" s="171"/>
      <c r="BB44" s="280" t="str">
        <f>VLOOKUP(C44,'ДК ИП'!$B$16:$S$104,5,0)</f>
        <v>не подписана</v>
      </c>
      <c r="BC44" s="327">
        <f>VLOOKUP(C44,'Радар олд'!$B$3:$E$87,4,0)</f>
        <v>0.297869136159514</v>
      </c>
      <c r="BD44" s="171"/>
      <c r="BI44" s="9">
        <f t="shared" si="8"/>
        <v>0</v>
      </c>
      <c r="BJ44" s="9">
        <f>VLOOKUP(C44,Штаб!$B$16:$C$104,2)</f>
        <v>2</v>
      </c>
      <c r="BK44" s="9">
        <f>VLOOKUP(C44,'РО - регионы'!$B$16:$C$104,2)</f>
        <v>0</v>
      </c>
      <c r="BL44" s="9">
        <f>VLOOKUP(C44,'РО - регионы'!$B$16:$L$104,11)</f>
        <v>0</v>
      </c>
      <c r="BM44" s="9">
        <f>VLOOKUP(C44,Спецтехника!$B$16:$C$104,2)</f>
        <v>0</v>
      </c>
      <c r="BN44" s="9">
        <f>VLOOKUP($C44,МНО!$B$16:$AB$104,6,0)</f>
        <v>0</v>
      </c>
      <c r="BO44" s="9">
        <f>VLOOKUP($C44,МНО!$B$16:$AB$104,4,0)</f>
        <v>0</v>
      </c>
      <c r="BP44" s="9">
        <f>VLOOKUP($C44,МНО!$B$16:$AB$104,5,0)</f>
        <v>0</v>
      </c>
      <c r="BQ44" s="9">
        <f>VLOOKUP($C44,Контейнеры!$B$16:$G$104,6,0)</f>
        <v>1</v>
      </c>
      <c r="BR44" s="9">
        <f>VLOOKUP($C44,Контейнеры!$B$16:$G$104,4,0)</f>
        <v>0</v>
      </c>
      <c r="BS44" s="9">
        <f>VLOOKUP($C44,Контейнеры!$B$16:$G$104,5,0)</f>
        <v>0</v>
      </c>
      <c r="BT44" s="9">
        <f>VLOOKUP($C44,'ДК МНО'!$B$16:$C$104,2,0)</f>
        <v>2</v>
      </c>
      <c r="BU44" s="9">
        <f>VLOOKUP($C44,Обработка!$B$16:$F$104,5,0)</f>
        <v>2</v>
      </c>
      <c r="BV44" s="9">
        <f>VLOOKUP($C44,Обработка!$B$16:$F$104,4,0)</f>
        <v>0</v>
      </c>
      <c r="BW44" s="9">
        <f>VLOOKUP($C44,Утилизация!$B$16:$F$104,5,0)</f>
        <v>2</v>
      </c>
      <c r="BX44" s="9">
        <f>VLOOKUP($C44,Утилизация!$B$16:$F$104,4,0)</f>
        <v>2</v>
      </c>
      <c r="BY44" s="9">
        <f>VLOOKUP($C44,Захоронение!$B$16:$C$104,2,0)</f>
        <v>1</v>
      </c>
      <c r="BZ44" s="9">
        <f>VLOOKUP($C44,'ДК ИП'!$B$16:$C$104,2,0)</f>
        <v>0</v>
      </c>
      <c r="CA44" s="9">
        <f t="shared" si="9"/>
        <v>0.6</v>
      </c>
    </row>
    <row r="45" ht="30" customHeight="1" spans="1:79">
      <c r="A45" s="6" t="s">
        <v>70</v>
      </c>
      <c r="B45" s="331">
        <f t="shared" si="3"/>
        <v>35</v>
      </c>
      <c r="C45" s="332" t="s">
        <v>107</v>
      </c>
      <c r="D45" s="333" t="str">
        <f>VLOOKUP($C45,Штаб!$B$16:$J$104,6,0)</f>
        <v/>
      </c>
      <c r="E45" s="334" t="str">
        <f>VLOOKUP($C45,Штаб!$B$16:$J$104,7,0)</f>
        <v/>
      </c>
      <c r="F45" s="334" t="str">
        <f>VLOOKUP($C45,Штаб!$B$16:$J$104,8,0)</f>
        <v>✔️</v>
      </c>
      <c r="G45" s="335" t="str">
        <f>VLOOKUP($C45,Штаб!$B$16:$J$104,9,0)</f>
        <v/>
      </c>
      <c r="H45" s="283" t="str">
        <f>VLOOKUP(C45,'РО - регионы'!$B$16:$I$104,8,0)</f>
        <v>0 / 2 / 0 из 2</v>
      </c>
      <c r="I45" s="169"/>
      <c r="J45" s="137"/>
      <c r="K45" s="170"/>
      <c r="L45" s="170"/>
      <c r="M45" s="171"/>
      <c r="N45" s="172">
        <f>VLOOKUP(C45,Спецтехника!$B$16:$J$104,4,0)</f>
        <v>212</v>
      </c>
      <c r="O45" s="173">
        <f>VLOOKUP(C45,Спецтехника!$B$16:$J$104,5,0)</f>
        <v>203</v>
      </c>
      <c r="P45" s="173">
        <f>VLOOKUP(C45,Спецтехника!$B$16:$J$104,6,0)</f>
        <v>9</v>
      </c>
      <c r="Q45" s="196">
        <f>VLOOKUP(C45,Спецтехника!$B$16:$J$104,7,0)</f>
        <v>0.0424528301886792</v>
      </c>
      <c r="R45" s="197"/>
      <c r="S45" s="137"/>
      <c r="T45" s="170"/>
      <c r="U45" s="170"/>
      <c r="V45" s="171"/>
      <c r="W45" s="174">
        <f>VLOOKUP($C45,МНО!$B$16:$AB$104,16,0)</f>
        <v>20214</v>
      </c>
      <c r="X45" s="175">
        <f>VLOOKUP($C45,МНО!$B$16:$AB$104,8,0)</f>
        <v>14936</v>
      </c>
      <c r="Y45" s="175">
        <f>VLOOKUP($C45,МНО!$B$16:$AB$104,11,0)</f>
        <v>5278</v>
      </c>
      <c r="Z45" s="212">
        <f>VLOOKUP($C45,МНО!$B$16:$AB$104,17,0)</f>
        <v>0.261106164044721</v>
      </c>
      <c r="AA45" s="213"/>
      <c r="AB45" s="214">
        <f>VLOOKUP($C45,МНО!$B$16:$AB$104,13,0)</f>
        <v>12.8408524421163</v>
      </c>
      <c r="AC45" s="215">
        <f>VLOOKUP($C45,МНО!$B$16:$AB$104,18,0)</f>
        <v>1</v>
      </c>
      <c r="AD45" s="172">
        <f>VLOOKUP($C45,Контейнеры!$B$16:$AB$104,16,0)</f>
        <v>34913</v>
      </c>
      <c r="AE45" s="173">
        <f>VLOOKUP($C45,Контейнеры!$B$16:$AB$104,8,0)</f>
        <v>31272</v>
      </c>
      <c r="AF45" s="173">
        <f>VLOOKUP($C45,Контейнеры!$B$16:$AB$104,11,0)</f>
        <v>3641</v>
      </c>
      <c r="AG45" s="216">
        <f>VLOOKUP($C45,Контейнеры!$B$16:$AB$104,17,0)</f>
        <v>0.104287801105605</v>
      </c>
      <c r="AH45" s="213"/>
      <c r="AI45" s="214">
        <f>VLOOKUP($C45,Контейнеры!$B$16:$AB$104,13,0)</f>
        <v>27.8879878859546</v>
      </c>
      <c r="AJ45" s="215">
        <f>VLOOKUP($C45,Контейнеры!$B$16:$AB$104,18,0)</f>
        <v>1</v>
      </c>
      <c r="AK45" s="231"/>
      <c r="AL45" s="170"/>
      <c r="AM45" s="170"/>
      <c r="AN45" s="232"/>
      <c r="AO45" s="257">
        <f>VLOOKUP($C45,Обработка!$B$16:$L$104,6,0)</f>
        <v>0.56</v>
      </c>
      <c r="AP45" s="250">
        <f t="shared" si="4"/>
        <v>0.017</v>
      </c>
      <c r="AQ45" s="259">
        <f>VLOOKUP($C45,Обработка!$B$16:$L$104,7,0)</f>
        <v>0.7</v>
      </c>
      <c r="AR45" s="262">
        <f t="shared" si="5"/>
        <v>-0.107</v>
      </c>
      <c r="AS45" s="253">
        <f>VLOOKUP($C45,Утилизация!$B$16:$L$104,6,0)</f>
        <v>0.063</v>
      </c>
      <c r="AT45" s="251">
        <f t="shared" si="6"/>
        <v>-0.076</v>
      </c>
      <c r="AU45" s="251">
        <f>VLOOKUP($C45,Утилизация!$B$16:$L$104,7,0)</f>
        <v>0.099</v>
      </c>
      <c r="AV45" s="254">
        <f t="shared" si="7"/>
        <v>-0.187</v>
      </c>
      <c r="AW45" s="284" t="str">
        <f>VLOOKUP(C45,Захоронение!$B$16:$Q$104,16,0)</f>
        <v/>
      </c>
      <c r="AX45" s="231"/>
      <c r="AY45" s="170"/>
      <c r="AZ45" s="170"/>
      <c r="BA45" s="171"/>
      <c r="BB45" s="280" t="str">
        <f>VLOOKUP(C45,'ДК ИП'!$B$16:$S$104,5,0)</f>
        <v>среднее</v>
      </c>
      <c r="BC45" s="327">
        <f>VLOOKUP(C45,'Радар олд'!$B$3:$E$87,4,0)</f>
        <v>0.0517236920371376</v>
      </c>
      <c r="BD45" s="171"/>
      <c r="BI45" s="9">
        <f t="shared" si="8"/>
        <v>0</v>
      </c>
      <c r="BJ45" s="9">
        <f>VLOOKUP(C45,Штаб!$B$16:$C$104,2)</f>
        <v>1</v>
      </c>
      <c r="BK45" s="9">
        <f>VLOOKUP(C45,'РО - регионы'!$B$16:$C$104,2)</f>
        <v>1</v>
      </c>
      <c r="BL45" s="9">
        <f>VLOOKUP(C45,'РО - регионы'!$B$16:$L$104,11)</f>
        <v>2</v>
      </c>
      <c r="BM45" s="9">
        <f>VLOOKUP(C45,Спецтехника!$B$16:$C$104,2)</f>
        <v>0</v>
      </c>
      <c r="BN45" s="9">
        <f>VLOOKUP($C45,МНО!$B$16:$AB$104,6,0)</f>
        <v>1</v>
      </c>
      <c r="BO45" s="9">
        <f>VLOOKUP($C45,МНО!$B$16:$AB$104,4,0)</f>
        <v>0</v>
      </c>
      <c r="BP45" s="9">
        <f>VLOOKUP($C45,МНО!$B$16:$AB$104,5,0)</f>
        <v>0</v>
      </c>
      <c r="BQ45" s="9">
        <f>VLOOKUP($C45,Контейнеры!$B$16:$G$104,6,0)</f>
        <v>0</v>
      </c>
      <c r="BR45" s="9">
        <f>VLOOKUP($C45,Контейнеры!$B$16:$G$104,4,0)</f>
        <v>0</v>
      </c>
      <c r="BS45" s="9">
        <f>VLOOKUP($C45,Контейнеры!$B$16:$G$104,5,0)</f>
        <v>0</v>
      </c>
      <c r="BT45" s="9">
        <f>VLOOKUP($C45,'ДК МНО'!$B$16:$C$104,2,0)</f>
        <v>2</v>
      </c>
      <c r="BU45" s="9">
        <f>VLOOKUP($C45,Обработка!$B$16:$F$104,5,0)</f>
        <v>1</v>
      </c>
      <c r="BV45" s="9">
        <f>VLOOKUP($C45,Обработка!$B$16:$F$104,4,0)</f>
        <v>0</v>
      </c>
      <c r="BW45" s="9">
        <f>VLOOKUP($C45,Утилизация!$B$16:$F$104,5,0)</f>
        <v>2</v>
      </c>
      <c r="BX45" s="9">
        <f>VLOOKUP($C45,Утилизация!$B$16:$F$104,4,0)</f>
        <v>2</v>
      </c>
      <c r="BY45" s="9">
        <f>VLOOKUP($C45,Захоронение!$B$16:$C$104,2,0)</f>
        <v>0</v>
      </c>
      <c r="BZ45" s="9">
        <f>VLOOKUP($C45,'ДК ИП'!$B$16:$C$104,2,0)</f>
        <v>1</v>
      </c>
      <c r="CA45" s="9">
        <f t="shared" si="9"/>
        <v>0.6</v>
      </c>
    </row>
    <row r="46" ht="30" customHeight="1" spans="1:79">
      <c r="A46" s="6" t="s">
        <v>108</v>
      </c>
      <c r="B46" s="331">
        <f t="shared" si="3"/>
        <v>36</v>
      </c>
      <c r="C46" s="332" t="s">
        <v>109</v>
      </c>
      <c r="D46" s="333" t="str">
        <f>VLOOKUP($C46,Штаб!$B$16:$J$104,6,0)</f>
        <v/>
      </c>
      <c r="E46" s="334" t="str">
        <f>VLOOKUP($C46,Штаб!$B$16:$J$104,7,0)</f>
        <v/>
      </c>
      <c r="F46" s="334" t="str">
        <f>VLOOKUP($C46,Штаб!$B$16:$J$104,8,0)</f>
        <v>✔️</v>
      </c>
      <c r="G46" s="335" t="str">
        <f>VLOOKUP($C46,Штаб!$B$16:$J$104,9,0)</f>
        <v/>
      </c>
      <c r="H46" s="283" t="str">
        <f>VLOOKUP(C46,'РО - регионы'!$B$16:$I$104,8,0)</f>
        <v>0 / 1 / 1 из 2</v>
      </c>
      <c r="I46" s="169"/>
      <c r="J46" s="137"/>
      <c r="K46" s="170"/>
      <c r="L46" s="170"/>
      <c r="M46" s="171"/>
      <c r="N46" s="172">
        <f>VLOOKUP(C46,Спецтехника!$B$16:$J$104,4,0)</f>
        <v>292</v>
      </c>
      <c r="O46" s="173">
        <f>VLOOKUP(C46,Спецтехника!$B$16:$J$104,5,0)</f>
        <v>292</v>
      </c>
      <c r="P46" s="173">
        <f>VLOOKUP(C46,Спецтехника!$B$16:$J$104,6,0)</f>
        <v>0</v>
      </c>
      <c r="Q46" s="196">
        <f>VLOOKUP(C46,Спецтехника!$B$16:$J$104,7,0)</f>
        <v>0</v>
      </c>
      <c r="R46" s="197"/>
      <c r="S46" s="137"/>
      <c r="T46" s="170"/>
      <c r="U46" s="170"/>
      <c r="V46" s="171"/>
      <c r="W46" s="176">
        <f>VLOOKUP($C46,МНО!$B$16:$AB$104,16,0)</f>
        <v>44859</v>
      </c>
      <c r="X46" s="177">
        <f>VLOOKUP($C46,МНО!$B$16:$AB$104,8,0)</f>
        <v>44859</v>
      </c>
      <c r="Y46" s="177">
        <f>VLOOKUP($C46,МНО!$B$16:$AB$104,11,0)</f>
        <v>0</v>
      </c>
      <c r="Z46" s="217">
        <f>VLOOKUP($C46,МНО!$B$16:$AB$104,17,0)</f>
        <v>0</v>
      </c>
      <c r="AA46" s="213"/>
      <c r="AB46" s="214">
        <f>VLOOKUP($C46,МНО!$B$16:$AB$104,13,0)</f>
        <v>16.830972758003</v>
      </c>
      <c r="AC46" s="215">
        <f>VLOOKUP($C46,МНО!$B$16:$AB$104,18,0)</f>
        <v>0.971226292543518</v>
      </c>
      <c r="AD46" s="176">
        <f>VLOOKUP($C46,Контейнеры!$B$16:$AB$104,16,0)</f>
        <v>65282</v>
      </c>
      <c r="AE46" s="177">
        <f>VLOOKUP($C46,Контейнеры!$B$16:$AB$104,8,0)</f>
        <v>65282</v>
      </c>
      <c r="AF46" s="177">
        <f>VLOOKUP($C46,Контейнеры!$B$16:$AB$104,11,0)</f>
        <v>0</v>
      </c>
      <c r="AG46" s="217">
        <f>VLOOKUP($C46,Контейнеры!$B$16:$AB$104,17,0)</f>
        <v>0</v>
      </c>
      <c r="AH46" s="213"/>
      <c r="AI46" s="214">
        <f>VLOOKUP($C46,Контейнеры!$B$16:$AB$104,13,0)</f>
        <v>25.6240569866593</v>
      </c>
      <c r="AJ46" s="215">
        <f>VLOOKUP($C46,Контейнеры!$B$16:$AB$104,18,0)</f>
        <v>1</v>
      </c>
      <c r="AK46" s="231"/>
      <c r="AL46" s="170"/>
      <c r="AM46" s="170"/>
      <c r="AN46" s="232"/>
      <c r="AO46" s="261">
        <f>VLOOKUP($C46,Обработка!$B$16:$L$104,6,0)</f>
        <v>0.363</v>
      </c>
      <c r="AP46" s="259">
        <f t="shared" si="4"/>
        <v>-0.18</v>
      </c>
      <c r="AQ46" s="250">
        <f>VLOOKUP($C46,Обработка!$B$16:$L$104,7,0)</f>
        <v>0.829</v>
      </c>
      <c r="AR46" s="255">
        <f t="shared" si="5"/>
        <v>0.022</v>
      </c>
      <c r="AS46" s="253">
        <f>VLOOKUP($C46,Утилизация!$B$16:$L$104,6,0)</f>
        <v>0.036</v>
      </c>
      <c r="AT46" s="251">
        <f t="shared" si="6"/>
        <v>-0.103</v>
      </c>
      <c r="AU46" s="259">
        <f>VLOOKUP($C46,Утилизация!$B$16:$L$104,7,0)</f>
        <v>0.283</v>
      </c>
      <c r="AV46" s="260">
        <f t="shared" si="7"/>
        <v>-0.00299999999999995</v>
      </c>
      <c r="AW46" s="284" t="str">
        <f>VLOOKUP(C46,Захоронение!$B$16:$Q$104,16,0)</f>
        <v/>
      </c>
      <c r="AX46" s="231"/>
      <c r="AY46" s="170"/>
      <c r="AZ46" s="170"/>
      <c r="BA46" s="171"/>
      <c r="BB46" s="280" t="str">
        <f>VLOOKUP(C46,'ДК ИП'!$B$16:$S$104,5,0)</f>
        <v>нет</v>
      </c>
      <c r="BC46" s="327">
        <f>VLOOKUP(C46,'Радар олд'!$B$3:$E$87,4,0)</f>
        <v>0.0368962555795774</v>
      </c>
      <c r="BD46" s="171"/>
      <c r="BI46" s="9">
        <f t="shared" si="8"/>
        <v>0</v>
      </c>
      <c r="BJ46" s="9">
        <f>VLOOKUP(C46,Штаб!$B$16:$C$104,2)</f>
        <v>1</v>
      </c>
      <c r="BK46" s="9">
        <f>VLOOKUP(C46,'РО - регионы'!$B$16:$C$104,2)</f>
        <v>1</v>
      </c>
      <c r="BL46" s="9">
        <f>VLOOKUP(C46,'РО - регионы'!$B$16:$L$104,11)</f>
        <v>2</v>
      </c>
      <c r="BM46" s="9">
        <f>VLOOKUP(C46,Спецтехника!$B$16:$C$104,2)</f>
        <v>0</v>
      </c>
      <c r="BN46" s="9">
        <f>VLOOKUP($C46,МНО!$B$16:$AB$104,6,0)</f>
        <v>2</v>
      </c>
      <c r="BO46" s="9">
        <f>VLOOKUP($C46,МНО!$B$16:$AB$104,4,0)</f>
        <v>0</v>
      </c>
      <c r="BP46" s="9">
        <f>VLOOKUP($C46,МНО!$B$16:$AB$104,5,0)</f>
        <v>0</v>
      </c>
      <c r="BQ46" s="9">
        <f>VLOOKUP($C46,Контейнеры!$B$16:$G$104,6,0)</f>
        <v>2</v>
      </c>
      <c r="BR46" s="9">
        <f>VLOOKUP($C46,Контейнеры!$B$16:$G$104,4,0)</f>
        <v>0</v>
      </c>
      <c r="BS46" s="9">
        <f>VLOOKUP($C46,Контейнеры!$B$16:$G$104,5,0)</f>
        <v>0</v>
      </c>
      <c r="BT46" s="9">
        <f>VLOOKUP($C46,'ДК МНО'!$B$16:$C$104,2,0)</f>
        <v>2</v>
      </c>
      <c r="BU46" s="9">
        <f>VLOOKUP($C46,Обработка!$B$16:$F$104,5,0)</f>
        <v>0</v>
      </c>
      <c r="BV46" s="9">
        <f>VLOOKUP($C46,Обработка!$B$16:$F$104,4,0)</f>
        <v>1</v>
      </c>
      <c r="BW46" s="9">
        <f>VLOOKUP($C46,Утилизация!$B$16:$F$104,5,0)</f>
        <v>1</v>
      </c>
      <c r="BX46" s="9">
        <f>VLOOKUP($C46,Утилизация!$B$16:$F$104,4,0)</f>
        <v>2</v>
      </c>
      <c r="BY46" s="9">
        <f>VLOOKUP($C46,Захоронение!$B$16:$C$104,2,0)</f>
        <v>0</v>
      </c>
      <c r="BZ46" s="9">
        <f>VLOOKUP($C46,'ДК ИП'!$B$16:$C$104,2,0)</f>
        <v>0</v>
      </c>
      <c r="CA46" s="9">
        <f t="shared" si="9"/>
        <v>0.6</v>
      </c>
    </row>
    <row r="47" ht="30" customHeight="1" spans="1:79">
      <c r="A47" s="6" t="s">
        <v>74</v>
      </c>
      <c r="B47" s="331">
        <f t="shared" si="3"/>
        <v>37</v>
      </c>
      <c r="C47" s="332" t="s">
        <v>110</v>
      </c>
      <c r="D47" s="333" t="str">
        <f>VLOOKUP($C47,Штаб!$B$16:$J$104,6,0)</f>
        <v>✔️</v>
      </c>
      <c r="E47" s="334" t="str">
        <f>VLOOKUP($C47,Штаб!$B$16:$J$104,7,0)</f>
        <v/>
      </c>
      <c r="F47" s="334" t="str">
        <f>VLOOKUP($C47,Штаб!$B$16:$J$104,8,0)</f>
        <v/>
      </c>
      <c r="G47" s="335" t="str">
        <f>VLOOKUP($C47,Штаб!$B$16:$J$104,9,0)</f>
        <v/>
      </c>
      <c r="H47" s="283" t="str">
        <f>VLOOKUP(C47,'РО - регионы'!$B$16:$I$104,8,0)</f>
        <v>0 / 2 / 0 из 2</v>
      </c>
      <c r="I47" s="169"/>
      <c r="J47" s="137"/>
      <c r="K47" s="170"/>
      <c r="L47" s="170"/>
      <c r="M47" s="171"/>
      <c r="N47" s="174">
        <f>VLOOKUP(C47,Спецтехника!$B$16:$J$104,4,0)</f>
        <v>102</v>
      </c>
      <c r="O47" s="175">
        <f>VLOOKUP(C47,Спецтехника!$B$16:$J$104,5,0)</f>
        <v>92</v>
      </c>
      <c r="P47" s="175">
        <f>VLOOKUP(C47,Спецтехника!$B$16:$J$104,6,0)</f>
        <v>10</v>
      </c>
      <c r="Q47" s="198">
        <f>VLOOKUP(C47,Спецтехника!$B$16:$J$104,7,0)</f>
        <v>0.0980392156862745</v>
      </c>
      <c r="R47" s="197"/>
      <c r="S47" s="137"/>
      <c r="T47" s="170"/>
      <c r="U47" s="170"/>
      <c r="V47" s="171"/>
      <c r="W47" s="176">
        <f>VLOOKUP($C47,МНО!$B$16:$AB$104,16,0)</f>
        <v>5095</v>
      </c>
      <c r="X47" s="177">
        <f>VLOOKUP($C47,МНО!$B$16:$AB$104,8,0)</f>
        <v>4950</v>
      </c>
      <c r="Y47" s="177">
        <f>VLOOKUP($C47,МНО!$B$16:$AB$104,11,0)</f>
        <v>145</v>
      </c>
      <c r="Z47" s="217">
        <f>VLOOKUP($C47,МНО!$B$16:$AB$104,17,0)</f>
        <v>0.028459273797841</v>
      </c>
      <c r="AA47" s="213"/>
      <c r="AB47" s="214">
        <f>VLOOKUP($C47,МНО!$B$16:$AB$104,13,0)</f>
        <v>7.10602608926721</v>
      </c>
      <c r="AC47" s="215">
        <f>VLOOKUP($C47,МНО!$B$16:$AB$104,18,0)</f>
        <v>1</v>
      </c>
      <c r="AD47" s="172">
        <f>VLOOKUP($C47,Контейнеры!$B$16:$AB$104,16,0)</f>
        <v>9384</v>
      </c>
      <c r="AE47" s="173">
        <f>VLOOKUP($C47,Контейнеры!$B$16:$AB$104,8,0)</f>
        <v>9210</v>
      </c>
      <c r="AF47" s="173">
        <f>VLOOKUP($C47,Контейнеры!$B$16:$AB$104,11,0)</f>
        <v>174</v>
      </c>
      <c r="AG47" s="216">
        <f>VLOOKUP($C47,Контейнеры!$B$16:$AB$104,17,0)</f>
        <v>0.018542199488491</v>
      </c>
      <c r="AH47" s="213"/>
      <c r="AI47" s="214">
        <f>VLOOKUP($C47,Контейнеры!$B$16:$AB$104,13,0)</f>
        <v>13.7492647651578</v>
      </c>
      <c r="AJ47" s="215">
        <f>VLOOKUP($C47,Контейнеры!$B$16:$AB$104,18,0)</f>
        <v>0.914053195712584</v>
      </c>
      <c r="AK47" s="231"/>
      <c r="AL47" s="170"/>
      <c r="AM47" s="170"/>
      <c r="AN47" s="232"/>
      <c r="AO47" s="261">
        <f>VLOOKUP($C47,Обработка!$B$16:$L$104,6,0)</f>
        <v>0.337</v>
      </c>
      <c r="AP47" s="259">
        <f t="shared" si="4"/>
        <v>-0.206</v>
      </c>
      <c r="AQ47" s="250">
        <f>VLOOKUP($C47,Обработка!$B$16:$L$104,7,0)</f>
        <v>0.999</v>
      </c>
      <c r="AR47" s="255">
        <f t="shared" si="5"/>
        <v>0.192</v>
      </c>
      <c r="AS47" s="253">
        <f>VLOOKUP($C47,Утилизация!$B$16:$L$104,6,0)</f>
        <v>0.009</v>
      </c>
      <c r="AT47" s="251">
        <f t="shared" si="6"/>
        <v>-0.13</v>
      </c>
      <c r="AU47" s="251">
        <f>VLOOKUP($C47,Утилизация!$B$16:$L$104,7,0)</f>
        <v>0.08</v>
      </c>
      <c r="AV47" s="254">
        <f t="shared" si="7"/>
        <v>-0.206</v>
      </c>
      <c r="AW47" s="284" t="str">
        <f>VLOOKUP(C47,Захоронение!$B$16:$Q$104,16,0)</f>
        <v/>
      </c>
      <c r="AX47" s="231"/>
      <c r="AY47" s="170"/>
      <c r="AZ47" s="170"/>
      <c r="BA47" s="171"/>
      <c r="BB47" s="280" t="str">
        <f>VLOOKUP(C47,'ДК ИП'!$B$16:$S$104,5,0)</f>
        <v>нет</v>
      </c>
      <c r="BC47" s="327">
        <f>VLOOKUP(C47,'Радар олд'!$B$3:$E$87,4,0)</f>
        <v>0.0940503452991249</v>
      </c>
      <c r="BD47" s="171"/>
      <c r="BI47" s="9">
        <f t="shared" si="8"/>
        <v>0</v>
      </c>
      <c r="BJ47" s="9">
        <f>VLOOKUP(C47,Штаб!$B$16:$C$104,2)</f>
        <v>0</v>
      </c>
      <c r="BK47" s="9">
        <f>VLOOKUP(C47,'РО - регионы'!$B$16:$C$104,2)</f>
        <v>1</v>
      </c>
      <c r="BL47" s="9">
        <f>VLOOKUP(C47,'РО - регионы'!$B$16:$L$104,11)</f>
        <v>2</v>
      </c>
      <c r="BM47" s="9">
        <f>VLOOKUP(C47,Спецтехника!$B$16:$C$104,2)</f>
        <v>1</v>
      </c>
      <c r="BN47" s="9">
        <f>VLOOKUP($C47,МНО!$B$16:$AB$104,6,0)</f>
        <v>0</v>
      </c>
      <c r="BO47" s="9">
        <f>VLOOKUP($C47,МНО!$B$16:$AB$104,4,0)</f>
        <v>0</v>
      </c>
      <c r="BP47" s="9">
        <f>VLOOKUP($C47,МНО!$B$16:$AB$104,5,0)</f>
        <v>0</v>
      </c>
      <c r="BQ47" s="9">
        <f>VLOOKUP($C47,Контейнеры!$B$16:$G$104,6,0)</f>
        <v>0</v>
      </c>
      <c r="BR47" s="9">
        <f>VLOOKUP($C47,Контейнеры!$B$16:$G$104,4,0)</f>
        <v>0</v>
      </c>
      <c r="BS47" s="9">
        <f>VLOOKUP($C47,Контейнеры!$B$16:$G$104,5,0)</f>
        <v>0</v>
      </c>
      <c r="BT47" s="9">
        <f>VLOOKUP($C47,'ДК МНО'!$B$16:$C$104,2,0)</f>
        <v>2</v>
      </c>
      <c r="BU47" s="9">
        <f>VLOOKUP($C47,Обработка!$B$16:$F$104,5,0)</f>
        <v>0</v>
      </c>
      <c r="BV47" s="9">
        <f>VLOOKUP($C47,Обработка!$B$16:$F$104,4,0)</f>
        <v>1</v>
      </c>
      <c r="BW47" s="9">
        <f>VLOOKUP($C47,Утилизация!$B$16:$F$104,5,0)</f>
        <v>2</v>
      </c>
      <c r="BX47" s="9">
        <f>VLOOKUP($C47,Утилизация!$B$16:$F$104,4,0)</f>
        <v>2</v>
      </c>
      <c r="BY47" s="9">
        <f>VLOOKUP($C47,Захоронение!$B$16:$C$104,2,0)</f>
        <v>0</v>
      </c>
      <c r="BZ47" s="9">
        <f>VLOOKUP($C47,'ДК ИП'!$B$16:$C$104,2,0)</f>
        <v>0</v>
      </c>
      <c r="CA47" s="9">
        <f t="shared" si="9"/>
        <v>0.5</v>
      </c>
    </row>
    <row r="48" ht="30" customHeight="1" spans="1:79">
      <c r="A48" s="6" t="s">
        <v>67</v>
      </c>
      <c r="B48" s="331">
        <f t="shared" si="3"/>
        <v>38</v>
      </c>
      <c r="C48" s="332" t="s">
        <v>111</v>
      </c>
      <c r="D48" s="333" t="str">
        <f>VLOOKUP($C48,Штаб!$B$16:$J$104,6,0)</f>
        <v>✔️</v>
      </c>
      <c r="E48" s="334" t="str">
        <f>VLOOKUP($C48,Штаб!$B$16:$J$104,7,0)</f>
        <v/>
      </c>
      <c r="F48" s="334" t="str">
        <f>VLOOKUP($C48,Штаб!$B$16:$J$104,8,0)</f>
        <v/>
      </c>
      <c r="G48" s="335" t="str">
        <f>VLOOKUP($C48,Штаб!$B$16:$J$104,9,0)</f>
        <v/>
      </c>
      <c r="H48" s="284" t="str">
        <f>VLOOKUP(C48,'РО - регионы'!$B$16:$I$104,8,0)</f>
        <v>0 / 0 / 1 из 1</v>
      </c>
      <c r="I48" s="169"/>
      <c r="J48" s="137"/>
      <c r="K48" s="170"/>
      <c r="L48" s="170"/>
      <c r="M48" s="171"/>
      <c r="N48" s="172">
        <f>VLOOKUP(C48,Спецтехника!$B$16:$J$104,4,0)</f>
        <v>78</v>
      </c>
      <c r="O48" s="173">
        <f>VLOOKUP(C48,Спецтехника!$B$16:$J$104,5,0)</f>
        <v>78</v>
      </c>
      <c r="P48" s="173">
        <f>VLOOKUP(C48,Спецтехника!$B$16:$J$104,6,0)</f>
        <v>0</v>
      </c>
      <c r="Q48" s="196">
        <f>VLOOKUP(C48,Спецтехника!$B$16:$J$104,7,0)</f>
        <v>0</v>
      </c>
      <c r="R48" s="197"/>
      <c r="S48" s="137"/>
      <c r="T48" s="170"/>
      <c r="U48" s="170"/>
      <c r="V48" s="171"/>
      <c r="W48" s="174">
        <f>VLOOKUP($C48,МНО!$B$16:$AB$104,16,0)</f>
        <v>12095</v>
      </c>
      <c r="X48" s="175">
        <f>VLOOKUP($C48,МНО!$B$16:$AB$104,8,0)</f>
        <v>9385</v>
      </c>
      <c r="Y48" s="175">
        <f>VLOOKUP($C48,МНО!$B$16:$AB$104,11,0)</f>
        <v>2710</v>
      </c>
      <c r="Z48" s="212">
        <f>VLOOKUP($C48,МНО!$B$16:$AB$104,17,0)</f>
        <v>0.224059528730881</v>
      </c>
      <c r="AA48" s="213"/>
      <c r="AB48" s="214">
        <f>VLOOKUP($C48,МНО!$B$16:$AB$104,13,0)</f>
        <v>12.170643161017</v>
      </c>
      <c r="AC48" s="215">
        <f>VLOOKUP($C48,МНО!$B$16:$AB$104,18,0)</f>
        <v>1</v>
      </c>
      <c r="AD48" s="172">
        <f>VLOOKUP($C48,Контейнеры!$B$16:$AB$104,16,0)</f>
        <v>19592</v>
      </c>
      <c r="AE48" s="173">
        <f>VLOOKUP($C48,Контейнеры!$B$16:$AB$104,8,0)</f>
        <v>19433</v>
      </c>
      <c r="AF48" s="173">
        <f>VLOOKUP($C48,Контейнеры!$B$16:$AB$104,11,0)</f>
        <v>159</v>
      </c>
      <c r="AG48" s="216">
        <f>VLOOKUP($C48,Контейнеры!$B$16:$AB$104,17,0)</f>
        <v>0.00811555737035525</v>
      </c>
      <c r="AH48" s="213"/>
      <c r="AI48" s="214">
        <f>VLOOKUP($C48,Контейнеры!$B$16:$AB$104,13,0)</f>
        <v>28.0626611945945</v>
      </c>
      <c r="AJ48" s="215">
        <f>VLOOKUP($C48,Контейнеры!$B$16:$AB$104,18,0)</f>
        <v>1</v>
      </c>
      <c r="AK48" s="231"/>
      <c r="AL48" s="170"/>
      <c r="AM48" s="170"/>
      <c r="AN48" s="232"/>
      <c r="AO48" s="257">
        <f>VLOOKUP($C48,Обработка!$B$16:$L$104,6,0)</f>
        <v>0.626</v>
      </c>
      <c r="AP48" s="250">
        <f t="shared" si="4"/>
        <v>0.083</v>
      </c>
      <c r="AQ48" s="250">
        <f>VLOOKUP($C48,Обработка!$B$16:$L$104,7,0)</f>
        <v>0.819</v>
      </c>
      <c r="AR48" s="255">
        <f t="shared" si="5"/>
        <v>0.012</v>
      </c>
      <c r="AS48" s="263">
        <f>VLOOKUP($C48,Утилизация!$B$16:$L$104,6,0)</f>
        <v>0.218</v>
      </c>
      <c r="AT48" s="250">
        <f t="shared" si="6"/>
        <v>0.079</v>
      </c>
      <c r="AU48" s="251">
        <f>VLOOKUP($C48,Утилизация!$B$16:$L$104,7,0)</f>
        <v>0.105</v>
      </c>
      <c r="AV48" s="254">
        <f t="shared" si="7"/>
        <v>-0.181</v>
      </c>
      <c r="AW48" s="283" t="str">
        <f>VLOOKUP(C48,Захоронение!$B$16:$Q$104,16,0)</f>
        <v>перегруз</v>
      </c>
      <c r="AX48" s="231"/>
      <c r="AY48" s="170"/>
      <c r="AZ48" s="170"/>
      <c r="BA48" s="171"/>
      <c r="BB48" s="280" t="str">
        <f>VLOOKUP(C48,'ДК ИП'!$B$16:$S$104,5,0)</f>
        <v>существенное</v>
      </c>
      <c r="BC48" s="327">
        <f>VLOOKUP(C48,'Радар олд'!$B$3:$E$87,4,0)</f>
        <v>0.290258575624634</v>
      </c>
      <c r="BD48" s="171"/>
      <c r="BI48" s="9">
        <f t="shared" si="8"/>
        <v>0</v>
      </c>
      <c r="BJ48" s="9">
        <f>VLOOKUP(C48,Штаб!$B$16:$C$104,2)</f>
        <v>0</v>
      </c>
      <c r="BK48" s="9">
        <f>VLOOKUP(C48,'РО - регионы'!$B$16:$C$104,2)</f>
        <v>0</v>
      </c>
      <c r="BL48" s="9">
        <f>VLOOKUP(C48,'РО - регионы'!$B$16:$L$104,11)</f>
        <v>0</v>
      </c>
      <c r="BM48" s="9">
        <f>VLOOKUP(C48,Спецтехника!$B$16:$C$104,2)</f>
        <v>0</v>
      </c>
      <c r="BN48" s="9">
        <f>VLOOKUP($C48,МНО!$B$16:$AB$104,6,0)</f>
        <v>1</v>
      </c>
      <c r="BO48" s="9">
        <f>VLOOKUP($C48,МНО!$B$16:$AB$104,4,0)</f>
        <v>0</v>
      </c>
      <c r="BP48" s="9">
        <f>VLOOKUP($C48,МНО!$B$16:$AB$104,5,0)</f>
        <v>0</v>
      </c>
      <c r="BQ48" s="9">
        <f>VLOOKUP($C48,Контейнеры!$B$16:$G$104,6,0)</f>
        <v>0</v>
      </c>
      <c r="BR48" s="9">
        <f>VLOOKUP($C48,Контейнеры!$B$16:$G$104,4,0)</f>
        <v>0</v>
      </c>
      <c r="BS48" s="9">
        <f>VLOOKUP($C48,Контейнеры!$B$16:$G$104,5,0)</f>
        <v>0</v>
      </c>
      <c r="BT48" s="9">
        <f>VLOOKUP($C48,'ДК МНО'!$B$16:$C$104,2,0)</f>
        <v>2</v>
      </c>
      <c r="BU48" s="9">
        <f>VLOOKUP($C48,Обработка!$B$16:$F$104,5,0)</f>
        <v>0</v>
      </c>
      <c r="BV48" s="9">
        <f>VLOOKUP($C48,Обработка!$B$16:$F$104,4,0)</f>
        <v>0</v>
      </c>
      <c r="BW48" s="9">
        <f>VLOOKUP($C48,Утилизация!$B$16:$F$104,5,0)</f>
        <v>2</v>
      </c>
      <c r="BX48" s="9">
        <f>VLOOKUP($C48,Утилизация!$B$16:$F$104,4,0)</f>
        <v>0</v>
      </c>
      <c r="BY48" s="9">
        <f>VLOOKUP($C48,Захоронение!$B$16:$C$104,2,0)</f>
        <v>1</v>
      </c>
      <c r="BZ48" s="9">
        <f>VLOOKUP($C48,'ДК ИП'!$B$16:$C$104,2,0)</f>
        <v>2</v>
      </c>
      <c r="CA48" s="9">
        <f t="shared" si="9"/>
        <v>0.6</v>
      </c>
    </row>
    <row r="49" ht="30" customHeight="1" spans="1:79">
      <c r="A49" s="6" t="s">
        <v>70</v>
      </c>
      <c r="B49" s="331">
        <f t="shared" si="3"/>
        <v>39</v>
      </c>
      <c r="C49" s="332" t="s">
        <v>112</v>
      </c>
      <c r="D49" s="333" t="str">
        <f>VLOOKUP($C49,Штаб!$B$16:$J$104,6,0)</f>
        <v>✔️</v>
      </c>
      <c r="E49" s="334" t="str">
        <f>VLOOKUP($C49,Штаб!$B$16:$J$104,7,0)</f>
        <v/>
      </c>
      <c r="F49" s="334" t="str">
        <f>VLOOKUP($C49,Штаб!$B$16:$J$104,8,0)</f>
        <v/>
      </c>
      <c r="G49" s="335" t="str">
        <f>VLOOKUP($C49,Штаб!$B$16:$J$104,9,0)</f>
        <v/>
      </c>
      <c r="H49" s="284" t="str">
        <f>VLOOKUP(C49,'РО - регионы'!$B$16:$I$104,8,0)</f>
        <v>0 / 0 / 1 из 1</v>
      </c>
      <c r="I49" s="169"/>
      <c r="J49" s="137"/>
      <c r="K49" s="170"/>
      <c r="L49" s="170"/>
      <c r="M49" s="171"/>
      <c r="N49" s="172">
        <f>VLOOKUP(C49,Спецтехника!$B$16:$J$104,4,0)</f>
        <v>149</v>
      </c>
      <c r="O49" s="173">
        <f>VLOOKUP(C49,Спецтехника!$B$16:$J$104,5,0)</f>
        <v>149</v>
      </c>
      <c r="P49" s="173">
        <f>VLOOKUP(C49,Спецтехника!$B$16:$J$104,6,0)</f>
        <v>0</v>
      </c>
      <c r="Q49" s="196">
        <f>VLOOKUP(C49,Спецтехника!$B$16:$J$104,7,0)</f>
        <v>0</v>
      </c>
      <c r="R49" s="197"/>
      <c r="S49" s="137"/>
      <c r="T49" s="170"/>
      <c r="U49" s="170"/>
      <c r="V49" s="171"/>
      <c r="W49" s="176">
        <f>VLOOKUP($C49,МНО!$B$16:$AB$104,16,0)</f>
        <v>3580</v>
      </c>
      <c r="X49" s="177">
        <f>VLOOKUP($C49,МНО!$B$16:$AB$104,8,0)</f>
        <v>3580</v>
      </c>
      <c r="Y49" s="177">
        <f>VLOOKUP($C49,МНО!$B$16:$AB$104,11,0)</f>
        <v>0</v>
      </c>
      <c r="Z49" s="217">
        <f>VLOOKUP($C49,МНО!$B$16:$AB$104,17,0)</f>
        <v>0</v>
      </c>
      <c r="AA49" s="213"/>
      <c r="AB49" s="214">
        <f>VLOOKUP($C49,МНО!$B$16:$AB$104,13,0)</f>
        <v>5.61795607953331</v>
      </c>
      <c r="AC49" s="215">
        <f>VLOOKUP($C49,МНО!$B$16:$AB$104,18,0)</f>
        <v>0.945838837516513</v>
      </c>
      <c r="AD49" s="176">
        <f>VLOOKUP($C49,Контейнеры!$B$16:$AB$104,16,0)</f>
        <v>8628</v>
      </c>
      <c r="AE49" s="177">
        <f>VLOOKUP($C49,Контейнеры!$B$16:$AB$104,8,0)</f>
        <v>8628</v>
      </c>
      <c r="AF49" s="177">
        <f>VLOOKUP($C49,Контейнеры!$B$16:$AB$104,11,0)</f>
        <v>0</v>
      </c>
      <c r="AG49" s="217">
        <f>VLOOKUP($C49,Контейнеры!$B$16:$AB$104,17,0)</f>
        <v>0</v>
      </c>
      <c r="AH49" s="213"/>
      <c r="AI49" s="214">
        <f>VLOOKUP($C49,Контейнеры!$B$16:$AB$104,13,0)</f>
        <v>16.4701750099264</v>
      </c>
      <c r="AJ49" s="215">
        <f>VLOOKUP($C49,Контейнеры!$B$16:$AB$104,18,0)</f>
        <v>0.713057851239669</v>
      </c>
      <c r="AK49" s="231"/>
      <c r="AL49" s="170"/>
      <c r="AM49" s="170"/>
      <c r="AN49" s="232"/>
      <c r="AO49" s="249">
        <f>VLOOKUP($C49,Обработка!$B$16:$L$104,6,0)</f>
        <v>0.018</v>
      </c>
      <c r="AP49" s="251">
        <f t="shared" si="4"/>
        <v>-0.525</v>
      </c>
      <c r="AQ49" s="251">
        <f>VLOOKUP($C49,Обработка!$B$16:$L$104,7,0)</f>
        <v>0.22</v>
      </c>
      <c r="AR49" s="252">
        <f t="shared" si="5"/>
        <v>-0.587</v>
      </c>
      <c r="AS49" s="253">
        <f>VLOOKUP($C49,Утилизация!$B$16:$L$104,6,0)</f>
        <v>0.008</v>
      </c>
      <c r="AT49" s="251">
        <f t="shared" si="6"/>
        <v>-0.131</v>
      </c>
      <c r="AU49" s="251">
        <f>VLOOKUP($C49,Утилизация!$B$16:$L$104,7,0)</f>
        <v>0.063</v>
      </c>
      <c r="AV49" s="254">
        <f t="shared" si="7"/>
        <v>-0.223</v>
      </c>
      <c r="AW49" s="284" t="str">
        <f>VLOOKUP(C49,Захоронение!$B$16:$Q$104,16,0)</f>
        <v/>
      </c>
      <c r="AX49" s="231"/>
      <c r="AY49" s="170"/>
      <c r="AZ49" s="170"/>
      <c r="BA49" s="171"/>
      <c r="BB49" s="280" t="str">
        <f>VLOOKUP(C49,'ДК ИП'!$B$16:$S$104,5,0)</f>
        <v>небольшое</v>
      </c>
      <c r="BC49" s="327">
        <f>VLOOKUP(C49,'Радар олд'!$B$3:$E$87,4,0)</f>
        <v>0.150804801319447</v>
      </c>
      <c r="BD49" s="171"/>
      <c r="BI49" s="9">
        <f t="shared" si="8"/>
        <v>0</v>
      </c>
      <c r="BJ49" s="9">
        <f>VLOOKUP(C49,Штаб!$B$16:$C$104,2)</f>
        <v>0</v>
      </c>
      <c r="BK49" s="9">
        <f>VLOOKUP(C49,'РО - регионы'!$B$16:$C$104,2)</f>
        <v>0</v>
      </c>
      <c r="BL49" s="9">
        <f>VLOOKUP(C49,'РО - регионы'!$B$16:$L$104,11)</f>
        <v>0</v>
      </c>
      <c r="BM49" s="9">
        <f>VLOOKUP(C49,Спецтехника!$B$16:$C$104,2)</f>
        <v>0</v>
      </c>
      <c r="BN49" s="9">
        <f>VLOOKUP($C49,МНО!$B$16:$AB$104,6,0)</f>
        <v>2</v>
      </c>
      <c r="BO49" s="9">
        <f>VLOOKUP($C49,МНО!$B$16:$AB$104,4,0)</f>
        <v>1</v>
      </c>
      <c r="BP49" s="9">
        <f>VLOOKUP($C49,МНО!$B$16:$AB$104,5,0)</f>
        <v>0</v>
      </c>
      <c r="BQ49" s="9">
        <f>VLOOKUP($C49,Контейнеры!$B$16:$G$104,6,0)</f>
        <v>2</v>
      </c>
      <c r="BR49" s="9">
        <f>VLOOKUP($C49,Контейнеры!$B$16:$G$104,4,0)</f>
        <v>0</v>
      </c>
      <c r="BS49" s="9">
        <f>VLOOKUP($C49,Контейнеры!$B$16:$G$104,5,0)</f>
        <v>2</v>
      </c>
      <c r="BT49" s="9">
        <f>VLOOKUP($C49,'ДК МНО'!$B$16:$C$104,2,0)</f>
        <v>2</v>
      </c>
      <c r="BU49" s="9">
        <f>VLOOKUP($C49,Обработка!$B$16:$F$104,5,0)</f>
        <v>2</v>
      </c>
      <c r="BV49" s="9">
        <f>VLOOKUP($C49,Обработка!$B$16:$F$104,4,0)</f>
        <v>2</v>
      </c>
      <c r="BW49" s="9">
        <f>VLOOKUP($C49,Утилизация!$B$16:$F$104,5,0)</f>
        <v>2</v>
      </c>
      <c r="BX49" s="9">
        <f>VLOOKUP($C49,Утилизация!$B$16:$F$104,4,0)</f>
        <v>2</v>
      </c>
      <c r="BY49" s="9">
        <f>VLOOKUP($C49,Захоронение!$B$16:$C$104,2,0)</f>
        <v>0</v>
      </c>
      <c r="BZ49" s="9">
        <f>VLOOKUP($C49,'ДК ИП'!$B$16:$C$104,2,0)</f>
        <v>0</v>
      </c>
      <c r="CA49" s="9">
        <f t="shared" si="9"/>
        <v>0.65</v>
      </c>
    </row>
    <row r="50" ht="30" customHeight="1" spans="1:79">
      <c r="A50" s="6" t="s">
        <v>67</v>
      </c>
      <c r="B50" s="331">
        <f t="shared" si="3"/>
        <v>40</v>
      </c>
      <c r="C50" s="332" t="s">
        <v>113</v>
      </c>
      <c r="D50" s="333" t="str">
        <f>VLOOKUP($C50,Штаб!$B$16:$J$104,6,0)</f>
        <v>✔️</v>
      </c>
      <c r="E50" s="334" t="str">
        <f>VLOOKUP($C50,Штаб!$B$16:$J$104,7,0)</f>
        <v/>
      </c>
      <c r="F50" s="334" t="str">
        <f>VLOOKUP($C50,Штаб!$B$16:$J$104,8,0)</f>
        <v/>
      </c>
      <c r="G50" s="335" t="str">
        <f>VLOOKUP($C50,Штаб!$B$16:$J$104,9,0)</f>
        <v/>
      </c>
      <c r="H50" s="283" t="str">
        <f>VLOOKUP(C50,'РО - регионы'!$B$16:$I$104,8,0)</f>
        <v>0 / 1 / 2 из 3</v>
      </c>
      <c r="I50" s="169"/>
      <c r="J50" s="137"/>
      <c r="K50" s="170"/>
      <c r="L50" s="170"/>
      <c r="M50" s="171"/>
      <c r="N50" s="172">
        <f>VLOOKUP(C50,Спецтехника!$B$16:$J$104,4,0)</f>
        <v>258</v>
      </c>
      <c r="O50" s="173">
        <f>VLOOKUP(C50,Спецтехника!$B$16:$J$104,5,0)</f>
        <v>249</v>
      </c>
      <c r="P50" s="173">
        <f>VLOOKUP(C50,Спецтехника!$B$16:$J$104,6,0)</f>
        <v>9</v>
      </c>
      <c r="Q50" s="196">
        <f>VLOOKUP(C50,Спецтехника!$B$16:$J$104,7,0)</f>
        <v>0.0348837209302326</v>
      </c>
      <c r="R50" s="197"/>
      <c r="S50" s="137"/>
      <c r="T50" s="170"/>
      <c r="U50" s="170"/>
      <c r="V50" s="171"/>
      <c r="W50" s="172">
        <f>VLOOKUP($C50,МНО!$B$16:$AB$104,16,0)</f>
        <v>11895</v>
      </c>
      <c r="X50" s="173">
        <f>VLOOKUP($C50,МНО!$B$16:$AB$104,8,0)</f>
        <v>11298</v>
      </c>
      <c r="Y50" s="173">
        <f>VLOOKUP($C50,МНО!$B$16:$AB$104,11,0)</f>
        <v>597</v>
      </c>
      <c r="Z50" s="216">
        <f>VLOOKUP($C50,МНО!$B$16:$AB$104,17,0)</f>
        <v>0.0501891551071879</v>
      </c>
      <c r="AA50" s="213"/>
      <c r="AB50" s="214">
        <f>VLOOKUP($C50,МНО!$B$16:$AB$104,13,0)</f>
        <v>7.92248817123201</v>
      </c>
      <c r="AC50" s="215">
        <f>VLOOKUP($C50,МНО!$B$16:$AB$104,18,0)</f>
        <v>1</v>
      </c>
      <c r="AD50" s="172">
        <f>VLOOKUP($C50,Контейнеры!$B$16:$AB$104,16,0)</f>
        <v>26723</v>
      </c>
      <c r="AE50" s="173">
        <f>VLOOKUP($C50,Контейнеры!$B$16:$AB$104,8,0)</f>
        <v>25352</v>
      </c>
      <c r="AF50" s="173">
        <f>VLOOKUP($C50,Контейнеры!$B$16:$AB$104,11,0)</f>
        <v>1371</v>
      </c>
      <c r="AG50" s="216">
        <f>VLOOKUP($C50,Контейнеры!$B$16:$AB$104,17,0)</f>
        <v>0.051304120046402</v>
      </c>
      <c r="AH50" s="213"/>
      <c r="AI50" s="214">
        <f>VLOOKUP($C50,Контейнеры!$B$16:$AB$104,13,0)</f>
        <v>19.3535286295118</v>
      </c>
      <c r="AJ50" s="215">
        <f>VLOOKUP($C50,Контейнеры!$B$16:$AB$104,18,0)</f>
        <v>1</v>
      </c>
      <c r="AK50" s="231"/>
      <c r="AL50" s="170"/>
      <c r="AM50" s="170"/>
      <c r="AN50" s="232"/>
      <c r="AO50" s="261">
        <f>VLOOKUP($C50,Обработка!$B$16:$L$104,6,0)</f>
        <v>0.365</v>
      </c>
      <c r="AP50" s="259">
        <f t="shared" si="4"/>
        <v>-0.178</v>
      </c>
      <c r="AQ50" s="251">
        <f>VLOOKUP($C50,Обработка!$B$16:$L$104,7,0)</f>
        <v>0.277</v>
      </c>
      <c r="AR50" s="252">
        <f t="shared" si="5"/>
        <v>-0.53</v>
      </c>
      <c r="AS50" s="253">
        <f>VLOOKUP($C50,Утилизация!$B$16:$L$104,6,0)</f>
        <v>0.015</v>
      </c>
      <c r="AT50" s="251">
        <f t="shared" si="6"/>
        <v>-0.124</v>
      </c>
      <c r="AU50" s="251">
        <f>VLOOKUP($C50,Утилизация!$B$16:$L$104,7,0)</f>
        <v>0.016</v>
      </c>
      <c r="AV50" s="254">
        <f t="shared" si="7"/>
        <v>-0.27</v>
      </c>
      <c r="AW50" s="284" t="str">
        <f>VLOOKUP(C50,Захоронение!$B$16:$Q$104,16,0)</f>
        <v/>
      </c>
      <c r="AX50" s="231"/>
      <c r="AY50" s="170"/>
      <c r="AZ50" s="170"/>
      <c r="BA50" s="171"/>
      <c r="BB50" s="280" t="str">
        <f>VLOOKUP(C50,'ДК ИП'!$B$16:$S$104,5,0)</f>
        <v>среднее</v>
      </c>
      <c r="BC50" s="327">
        <f>VLOOKUP(C50,'Радар олд'!$B$3:$E$87,4,0)</f>
        <v>0.310700779118465</v>
      </c>
      <c r="BD50" s="171"/>
      <c r="BI50" s="9">
        <f t="shared" si="8"/>
        <v>0</v>
      </c>
      <c r="BJ50" s="9">
        <f>VLOOKUP(C50,Штаб!$B$16:$C$104,2)</f>
        <v>0</v>
      </c>
      <c r="BK50" s="9">
        <f>VLOOKUP(C50,'РО - регионы'!$B$16:$C$104,2)</f>
        <v>1</v>
      </c>
      <c r="BL50" s="9">
        <f>VLOOKUP(C50,'РО - регионы'!$B$16:$L$104,11)</f>
        <v>2</v>
      </c>
      <c r="BM50" s="9">
        <f>VLOOKUP(C50,Спецтехника!$B$16:$C$104,2)</f>
        <v>0</v>
      </c>
      <c r="BN50" s="9">
        <f>VLOOKUP($C50,МНО!$B$16:$AB$104,6,0)</f>
        <v>0</v>
      </c>
      <c r="BO50" s="9">
        <f>VLOOKUP($C50,МНО!$B$16:$AB$104,4,0)</f>
        <v>0</v>
      </c>
      <c r="BP50" s="9">
        <f>VLOOKUP($C50,МНО!$B$16:$AB$104,5,0)</f>
        <v>0</v>
      </c>
      <c r="BQ50" s="9">
        <f>VLOOKUP($C50,Контейнеры!$B$16:$G$104,6,0)</f>
        <v>0</v>
      </c>
      <c r="BR50" s="9">
        <f>VLOOKUP($C50,Контейнеры!$B$16:$G$104,4,0)</f>
        <v>0</v>
      </c>
      <c r="BS50" s="9">
        <f>VLOOKUP($C50,Контейнеры!$B$16:$G$104,5,0)</f>
        <v>0</v>
      </c>
      <c r="BT50" s="9">
        <f>VLOOKUP($C50,'ДК МНО'!$B$16:$C$104,2,0)</f>
        <v>2</v>
      </c>
      <c r="BU50" s="9">
        <f>VLOOKUP($C50,Обработка!$B$16:$F$104,5,0)</f>
        <v>2</v>
      </c>
      <c r="BV50" s="9">
        <f>VLOOKUP($C50,Обработка!$B$16:$F$104,4,0)</f>
        <v>1</v>
      </c>
      <c r="BW50" s="9">
        <f>VLOOKUP($C50,Утилизация!$B$16:$F$104,5,0)</f>
        <v>2</v>
      </c>
      <c r="BX50" s="9">
        <f>VLOOKUP($C50,Утилизация!$B$16:$F$104,4,0)</f>
        <v>2</v>
      </c>
      <c r="BY50" s="9">
        <f>VLOOKUP($C50,Захоронение!$B$16:$C$104,2,0)</f>
        <v>0</v>
      </c>
      <c r="BZ50" s="9">
        <f>VLOOKUP($C50,'ДК ИП'!$B$16:$C$104,2,0)</f>
        <v>1</v>
      </c>
      <c r="CA50" s="9">
        <f t="shared" si="9"/>
        <v>0.65</v>
      </c>
    </row>
    <row r="51" ht="30" customHeight="1" spans="1:79">
      <c r="A51" s="6" t="s">
        <v>78</v>
      </c>
      <c r="B51" s="331">
        <f t="shared" si="3"/>
        <v>41</v>
      </c>
      <c r="C51" s="332" t="s">
        <v>114</v>
      </c>
      <c r="D51" s="333" t="str">
        <f>VLOOKUP($C51,Штаб!$B$16:$J$104,6,0)</f>
        <v>✔️</v>
      </c>
      <c r="E51" s="334" t="str">
        <f>VLOOKUP($C51,Штаб!$B$16:$J$104,7,0)</f>
        <v/>
      </c>
      <c r="F51" s="334" t="str">
        <f>VLOOKUP($C51,Штаб!$B$16:$J$104,8,0)</f>
        <v/>
      </c>
      <c r="G51" s="335" t="str">
        <f>VLOOKUP($C51,Штаб!$B$16:$J$104,9,0)</f>
        <v/>
      </c>
      <c r="H51" s="284" t="str">
        <f>VLOOKUP(C51,'РО - регионы'!$B$16:$I$104,8,0)</f>
        <v>0 / 0 / 1 из 1</v>
      </c>
      <c r="I51" s="169"/>
      <c r="J51" s="137"/>
      <c r="K51" s="170"/>
      <c r="L51" s="170"/>
      <c r="M51" s="171"/>
      <c r="N51" s="172">
        <f>VLOOKUP(C51,Спецтехника!$B$16:$J$104,4,0)</f>
        <v>222</v>
      </c>
      <c r="O51" s="173">
        <f>VLOOKUP(C51,Спецтехника!$B$16:$J$104,5,0)</f>
        <v>222</v>
      </c>
      <c r="P51" s="173">
        <f>VLOOKUP(C51,Спецтехника!$B$16:$J$104,6,0)</f>
        <v>0</v>
      </c>
      <c r="Q51" s="196">
        <f>VLOOKUP(C51,Спецтехника!$B$16:$J$104,7,0)</f>
        <v>0</v>
      </c>
      <c r="R51" s="197"/>
      <c r="S51" s="137"/>
      <c r="T51" s="170"/>
      <c r="U51" s="170"/>
      <c r="V51" s="171"/>
      <c r="W51" s="172">
        <f>VLOOKUP($C51,МНО!$B$16:$AB$104,16,0)</f>
        <v>6749</v>
      </c>
      <c r="X51" s="173">
        <f>VLOOKUP($C51,МНО!$B$16:$AB$104,8,0)</f>
        <v>6714</v>
      </c>
      <c r="Y51" s="173">
        <f>VLOOKUP($C51,МНО!$B$16:$AB$104,11,0)</f>
        <v>35</v>
      </c>
      <c r="Z51" s="216">
        <f>VLOOKUP($C51,МНО!$B$16:$AB$104,17,0)</f>
        <v>0.00518595347458883</v>
      </c>
      <c r="AA51" s="213"/>
      <c r="AB51" s="214">
        <f>VLOOKUP($C51,МНО!$B$16:$AB$104,13,0)</f>
        <v>10.3709589890689</v>
      </c>
      <c r="AC51" s="215">
        <f>VLOOKUP($C51,МНО!$B$16:$AB$104,18,0)</f>
        <v>1</v>
      </c>
      <c r="AD51" s="172">
        <f>VLOOKUP($C51,Контейнеры!$B$16:$AB$104,16,0)</f>
        <v>16193</v>
      </c>
      <c r="AE51" s="173">
        <f>VLOOKUP($C51,Контейнеры!$B$16:$AB$104,8,0)</f>
        <v>15887</v>
      </c>
      <c r="AF51" s="173">
        <f>VLOOKUP($C51,Контейнеры!$B$16:$AB$104,11,0)</f>
        <v>306</v>
      </c>
      <c r="AG51" s="216">
        <f>VLOOKUP($C51,Контейнеры!$B$16:$AB$104,17,0)</f>
        <v>0.0188970542827148</v>
      </c>
      <c r="AH51" s="213"/>
      <c r="AI51" s="214">
        <f>VLOOKUP($C51,Контейнеры!$B$16:$AB$104,13,0)</f>
        <v>30.7911466005117</v>
      </c>
      <c r="AJ51" s="215">
        <f>VLOOKUP($C51,Контейнеры!$B$16:$AB$104,18,0)</f>
        <v>1</v>
      </c>
      <c r="AK51" s="231"/>
      <c r="AL51" s="170"/>
      <c r="AM51" s="170"/>
      <c r="AN51" s="232"/>
      <c r="AO51" s="261">
        <f>VLOOKUP($C51,Обработка!$B$16:$L$104,6,0)</f>
        <v>0.4</v>
      </c>
      <c r="AP51" s="259">
        <f t="shared" si="4"/>
        <v>-0.143</v>
      </c>
      <c r="AQ51" s="250">
        <f>VLOOKUP($C51,Обработка!$B$16:$L$104,7,0)</f>
        <v>0.9</v>
      </c>
      <c r="AR51" s="255">
        <f t="shared" si="5"/>
        <v>0.093</v>
      </c>
      <c r="AS51" s="253">
        <f>VLOOKUP($C51,Утилизация!$B$16:$L$104,6,0)</f>
        <v>0.016</v>
      </c>
      <c r="AT51" s="251">
        <f t="shared" si="6"/>
        <v>-0.123</v>
      </c>
      <c r="AU51" s="250">
        <f>VLOOKUP($C51,Утилизация!$B$16:$L$104,7,0)</f>
        <v>0.35</v>
      </c>
      <c r="AV51" s="256">
        <f t="shared" si="7"/>
        <v>0.064</v>
      </c>
      <c r="AW51" s="279" t="str">
        <f>VLOOKUP(C51,Захоронение!$B$16:$Q$104,16,0)</f>
        <v>белые пятна</v>
      </c>
      <c r="AX51" s="231"/>
      <c r="AY51" s="170"/>
      <c r="AZ51" s="170"/>
      <c r="BA51" s="171"/>
      <c r="BB51" s="280" t="str">
        <f>VLOOKUP(C51,'ДК ИП'!$B$16:$S$104,5,0)</f>
        <v>небольшое</v>
      </c>
      <c r="BC51" s="327">
        <f>VLOOKUP(C51,'Радар олд'!$B$3:$E$87,4,0)</f>
        <v>0.0368245600434142</v>
      </c>
      <c r="BD51" s="171"/>
      <c r="BI51" s="9">
        <f t="shared" si="8"/>
        <v>0</v>
      </c>
      <c r="BJ51" s="9">
        <f>VLOOKUP(C51,Штаб!$B$16:$C$104,2)</f>
        <v>0</v>
      </c>
      <c r="BK51" s="9">
        <f>VLOOKUP(C51,'РО - регионы'!$B$16:$C$104,2)</f>
        <v>0</v>
      </c>
      <c r="BL51" s="9">
        <f>VLOOKUP(C51,'РО - регионы'!$B$16:$L$104,11)</f>
        <v>0</v>
      </c>
      <c r="BM51" s="9">
        <f>VLOOKUP(C51,Спецтехника!$B$16:$C$104,2)</f>
        <v>0</v>
      </c>
      <c r="BN51" s="9">
        <f>VLOOKUP($C51,МНО!$B$16:$AB$104,6,0)</f>
        <v>0</v>
      </c>
      <c r="BO51" s="9">
        <f>VLOOKUP($C51,МНО!$B$16:$AB$104,4,0)</f>
        <v>0</v>
      </c>
      <c r="BP51" s="9">
        <f>VLOOKUP($C51,МНО!$B$16:$AB$104,5,0)</f>
        <v>0</v>
      </c>
      <c r="BQ51" s="9">
        <f>VLOOKUP($C51,Контейнеры!$B$16:$G$104,6,0)</f>
        <v>0</v>
      </c>
      <c r="BR51" s="9">
        <f>VLOOKUP($C51,Контейнеры!$B$16:$G$104,4,0)</f>
        <v>0</v>
      </c>
      <c r="BS51" s="9">
        <f>VLOOKUP($C51,Контейнеры!$B$16:$G$104,5,0)</f>
        <v>0</v>
      </c>
      <c r="BT51" s="9">
        <f>VLOOKUP($C51,'ДК МНО'!$B$16:$C$104,2,0)</f>
        <v>2</v>
      </c>
      <c r="BU51" s="9">
        <f>VLOOKUP($C51,Обработка!$B$16:$F$104,5,0)</f>
        <v>0</v>
      </c>
      <c r="BV51" s="9">
        <f>VLOOKUP($C51,Обработка!$B$16:$F$104,4,0)</f>
        <v>1</v>
      </c>
      <c r="BW51" s="9">
        <f>VLOOKUP($C51,Утилизация!$B$16:$F$104,5,0)</f>
        <v>0</v>
      </c>
      <c r="BX51" s="9">
        <f>VLOOKUP($C51,Утилизация!$B$16:$F$104,4,0)</f>
        <v>2</v>
      </c>
      <c r="BY51" s="9">
        <f>VLOOKUP($C51,Захоронение!$B$16:$C$104,2,0)</f>
        <v>2</v>
      </c>
      <c r="BZ51" s="9">
        <f>VLOOKUP($C51,'ДК ИП'!$B$16:$C$104,2,0)</f>
        <v>0</v>
      </c>
      <c r="CA51" s="9">
        <f t="shared" si="9"/>
        <v>0.65</v>
      </c>
    </row>
    <row r="52" ht="30" customHeight="1" spans="1:79">
      <c r="A52" s="6" t="s">
        <v>74</v>
      </c>
      <c r="B52" s="331">
        <f t="shared" si="3"/>
        <v>42</v>
      </c>
      <c r="C52" s="332" t="s">
        <v>115</v>
      </c>
      <c r="D52" s="333" t="str">
        <f>VLOOKUP($C52,Штаб!$B$16:$J$104,6,0)</f>
        <v/>
      </c>
      <c r="E52" s="334" t="str">
        <f>VLOOKUP($C52,Штаб!$B$16:$J$104,7,0)</f>
        <v>✔️</v>
      </c>
      <c r="F52" s="334" t="str">
        <f>VLOOKUP($C52,Штаб!$B$16:$J$104,8,0)</f>
        <v/>
      </c>
      <c r="G52" s="335" t="str">
        <f>VLOOKUP($C52,Штаб!$B$16:$J$104,9,0)</f>
        <v/>
      </c>
      <c r="H52" s="284" t="str">
        <f>VLOOKUP(C52,'РО - регионы'!$B$16:$I$104,8,0)</f>
        <v>0 / 0 / 1 из 1</v>
      </c>
      <c r="I52" s="169"/>
      <c r="J52" s="137"/>
      <c r="K52" s="170"/>
      <c r="L52" s="170"/>
      <c r="M52" s="171"/>
      <c r="N52" s="174">
        <f>VLOOKUP(C52,Спецтехника!$B$16:$J$104,4,0)</f>
        <v>104</v>
      </c>
      <c r="O52" s="175">
        <f>VLOOKUP(C52,Спецтехника!$B$16:$J$104,5,0)</f>
        <v>86</v>
      </c>
      <c r="P52" s="175">
        <f>VLOOKUP(C52,Спецтехника!$B$16:$J$104,6,0)</f>
        <v>18</v>
      </c>
      <c r="Q52" s="198">
        <f>VLOOKUP(C52,Спецтехника!$B$16:$J$104,7,0)</f>
        <v>0.173076923076923</v>
      </c>
      <c r="R52" s="197"/>
      <c r="S52" s="137"/>
      <c r="T52" s="170"/>
      <c r="U52" s="170"/>
      <c r="V52" s="171"/>
      <c r="W52" s="176">
        <f>VLOOKUP($C52,МНО!$B$16:$AB$104,16,0)</f>
        <v>8691</v>
      </c>
      <c r="X52" s="177">
        <f>VLOOKUP($C52,МНО!$B$16:$AB$104,8,0)</f>
        <v>8691</v>
      </c>
      <c r="Y52" s="177">
        <f>VLOOKUP($C52,МНО!$B$16:$AB$104,11,0)</f>
        <v>0</v>
      </c>
      <c r="Z52" s="217">
        <f>VLOOKUP($C52,МНО!$B$16:$AB$104,17,0)</f>
        <v>0</v>
      </c>
      <c r="AA52" s="213"/>
      <c r="AB52" s="214">
        <f>VLOOKUP($C52,МНО!$B$16:$AB$104,13,0)</f>
        <v>10.5223850391244</v>
      </c>
      <c r="AC52" s="215">
        <f>VLOOKUP($C52,МНО!$B$16:$AB$104,18,0)</f>
        <v>0.738465460107061</v>
      </c>
      <c r="AD52" s="176">
        <f>VLOOKUP($C52,Контейнеры!$B$16:$AB$104,16,0)</f>
        <v>14766</v>
      </c>
      <c r="AE52" s="177">
        <f>VLOOKUP($C52,Контейнеры!$B$16:$AB$104,8,0)</f>
        <v>14766</v>
      </c>
      <c r="AF52" s="177">
        <f>VLOOKUP($C52,Контейнеры!$B$16:$AB$104,11,0)</f>
        <v>0</v>
      </c>
      <c r="AG52" s="217">
        <f>VLOOKUP($C52,Контейнеры!$B$16:$AB$104,17,0)</f>
        <v>0</v>
      </c>
      <c r="AH52" s="213"/>
      <c r="AI52" s="214">
        <f>VLOOKUP($C52,Контейнеры!$B$16:$AB$104,13,0)</f>
        <v>19.2795058304641</v>
      </c>
      <c r="AJ52" s="215">
        <f>VLOOKUP($C52,Контейнеры!$B$16:$AB$104,18,0)</f>
        <v>0.875800711743772</v>
      </c>
      <c r="AK52" s="231"/>
      <c r="AL52" s="170"/>
      <c r="AM52" s="170"/>
      <c r="AN52" s="232"/>
      <c r="AO52" s="249">
        <f>VLOOKUP($C52,Обработка!$B$16:$L$104,6,0)</f>
        <v>0.085</v>
      </c>
      <c r="AP52" s="251">
        <f t="shared" si="4"/>
        <v>-0.458</v>
      </c>
      <c r="AQ52" s="250">
        <f>VLOOKUP($C52,Обработка!$B$16:$L$104,7,0)</f>
        <v>1</v>
      </c>
      <c r="AR52" s="255">
        <f t="shared" si="5"/>
        <v>0.193</v>
      </c>
      <c r="AS52" s="253">
        <f>VLOOKUP($C52,Утилизация!$B$16:$L$104,6,0)</f>
        <v>0.007</v>
      </c>
      <c r="AT52" s="251">
        <f t="shared" si="6"/>
        <v>-0.132</v>
      </c>
      <c r="AU52" s="250">
        <f>VLOOKUP($C52,Утилизация!$B$16:$L$104,7,0)</f>
        <v>0.5</v>
      </c>
      <c r="AV52" s="256">
        <f t="shared" si="7"/>
        <v>0.214</v>
      </c>
      <c r="AW52" s="283" t="str">
        <f>VLOOKUP(C52,Захоронение!$B$16:$Q$104,16,0)</f>
        <v>перегруз</v>
      </c>
      <c r="AX52" s="231"/>
      <c r="AY52" s="170"/>
      <c r="AZ52" s="170"/>
      <c r="BA52" s="171"/>
      <c r="BB52" s="280" t="str">
        <f>VLOOKUP(C52,'ДК ИП'!$B$16:$S$104,5,0)</f>
        <v>небольшое</v>
      </c>
      <c r="BC52" s="327">
        <f>VLOOKUP(C52,'Радар олд'!$B$3:$E$87,4,0)</f>
        <v>0.0208907011572143</v>
      </c>
      <c r="BD52" s="171"/>
      <c r="BI52" s="9">
        <f t="shared" si="8"/>
        <v>0</v>
      </c>
      <c r="BJ52" s="9">
        <f>VLOOKUP(C52,Штаб!$B$16:$C$104,2)</f>
        <v>1</v>
      </c>
      <c r="BK52" s="9">
        <f>VLOOKUP(C52,'РО - регионы'!$B$16:$C$104,2)</f>
        <v>0</v>
      </c>
      <c r="BL52" s="9">
        <f>VLOOKUP(C52,'РО - регионы'!$B$16:$L$104,11)</f>
        <v>0</v>
      </c>
      <c r="BM52" s="9">
        <f>VLOOKUP(C52,Спецтехника!$B$16:$C$104,2)</f>
        <v>1</v>
      </c>
      <c r="BN52" s="9">
        <f>VLOOKUP($C52,МНО!$B$16:$AB$104,6,0)</f>
        <v>2</v>
      </c>
      <c r="BO52" s="9">
        <f>VLOOKUP($C52,МНО!$B$16:$AB$104,4,0)</f>
        <v>0</v>
      </c>
      <c r="BP52" s="9">
        <f>VLOOKUP($C52,МНО!$B$16:$AB$104,5,0)</f>
        <v>1</v>
      </c>
      <c r="BQ52" s="9">
        <f>VLOOKUP($C52,Контейнеры!$B$16:$G$104,6,0)</f>
        <v>2</v>
      </c>
      <c r="BR52" s="9">
        <f>VLOOKUP($C52,Контейнеры!$B$16:$G$104,4,0)</f>
        <v>0</v>
      </c>
      <c r="BS52" s="9">
        <f>VLOOKUP($C52,Контейнеры!$B$16:$G$104,5,0)</f>
        <v>1</v>
      </c>
      <c r="BT52" s="9">
        <f>VLOOKUP($C52,'ДК МНО'!$B$16:$C$104,2,0)</f>
        <v>2</v>
      </c>
      <c r="BU52" s="9">
        <f>VLOOKUP($C52,Обработка!$B$16:$F$104,5,0)</f>
        <v>0</v>
      </c>
      <c r="BV52" s="9">
        <f>VLOOKUP($C52,Обработка!$B$16:$F$104,4,0)</f>
        <v>2</v>
      </c>
      <c r="BW52" s="9">
        <f>VLOOKUP($C52,Утилизация!$B$16:$F$104,5,0)</f>
        <v>0</v>
      </c>
      <c r="BX52" s="9">
        <f>VLOOKUP($C52,Утилизация!$B$16:$F$104,4,0)</f>
        <v>2</v>
      </c>
      <c r="BY52" s="9">
        <f>VLOOKUP($C52,Захоронение!$B$16:$C$104,2,0)</f>
        <v>1</v>
      </c>
      <c r="BZ52" s="9">
        <f>VLOOKUP($C52,'ДК ИП'!$B$16:$C$104,2,0)</f>
        <v>0</v>
      </c>
      <c r="CA52" s="9">
        <f t="shared" si="9"/>
        <v>0.7</v>
      </c>
    </row>
    <row r="53" ht="30" customHeight="1" spans="1:79">
      <c r="A53" s="6" t="s">
        <v>108</v>
      </c>
      <c r="B53" s="331">
        <f t="shared" si="3"/>
        <v>43</v>
      </c>
      <c r="C53" s="332" t="s">
        <v>116</v>
      </c>
      <c r="D53" s="333" t="str">
        <f>VLOOKUP($C53,Штаб!$B$16:$J$104,6,0)</f>
        <v/>
      </c>
      <c r="E53" s="334" t="str">
        <f>VLOOKUP($C53,Штаб!$B$16:$J$104,7,0)</f>
        <v>✔️</v>
      </c>
      <c r="F53" s="334" t="str">
        <f>VLOOKUP($C53,Штаб!$B$16:$J$104,8,0)</f>
        <v/>
      </c>
      <c r="G53" s="335" t="str">
        <f>VLOOKUP($C53,Штаб!$B$16:$J$104,9,0)</f>
        <v/>
      </c>
      <c r="H53" s="283" t="str">
        <f>VLOOKUP(C53,'РО - регионы'!$B$16:$I$104,8,0)</f>
        <v>0 / 0 / 7 из 7</v>
      </c>
      <c r="I53" s="169"/>
      <c r="J53" s="137"/>
      <c r="K53" s="170"/>
      <c r="L53" s="170"/>
      <c r="M53" s="171"/>
      <c r="N53" s="174">
        <f>VLOOKUP(C53,Спецтехника!$B$16:$J$104,4,0)</f>
        <v>202</v>
      </c>
      <c r="O53" s="175">
        <f>VLOOKUP(C53,Спецтехника!$B$16:$J$104,5,0)</f>
        <v>170</v>
      </c>
      <c r="P53" s="175">
        <f>VLOOKUP(C53,Спецтехника!$B$16:$J$104,6,0)</f>
        <v>32</v>
      </c>
      <c r="Q53" s="198">
        <f>VLOOKUP(C53,Спецтехника!$B$16:$J$104,7,0)</f>
        <v>0.158415841584158</v>
      </c>
      <c r="R53" s="197"/>
      <c r="S53" s="137"/>
      <c r="T53" s="170"/>
      <c r="U53" s="170"/>
      <c r="V53" s="171"/>
      <c r="W53" s="176">
        <f>VLOOKUP($C53,МНО!$B$16:$AB$104,16,0)</f>
        <v>20833</v>
      </c>
      <c r="X53" s="177">
        <f>VLOOKUP($C53,МНО!$B$16:$AB$104,8,0)</f>
        <v>13268</v>
      </c>
      <c r="Y53" s="177">
        <f>VLOOKUP($C53,МНО!$B$16:$AB$104,11,0)</f>
        <v>7565</v>
      </c>
      <c r="Z53" s="217">
        <f>VLOOKUP($C53,МНО!$B$16:$AB$104,17,0)</f>
        <v>0.36312581001296</v>
      </c>
      <c r="AA53" s="213"/>
      <c r="AB53" s="214">
        <f>VLOOKUP($C53,МНО!$B$16:$AB$104,13,0)</f>
        <v>11.8316824566196</v>
      </c>
      <c r="AC53" s="215">
        <f>VLOOKUP($C53,МНО!$B$16:$AB$104,18,0)</f>
        <v>0.933774368358083</v>
      </c>
      <c r="AD53" s="176">
        <f>VLOOKUP($C53,Контейнеры!$B$16:$AB$104,16,0)</f>
        <v>24705</v>
      </c>
      <c r="AE53" s="177">
        <f>VLOOKUP($C53,Контейнеры!$B$16:$AB$104,8,0)</f>
        <v>21478</v>
      </c>
      <c r="AF53" s="177">
        <f>VLOOKUP($C53,Контейнеры!$B$16:$AB$104,11,0)</f>
        <v>3227</v>
      </c>
      <c r="AG53" s="217">
        <f>VLOOKUP($C53,Контейнеры!$B$16:$AB$104,17,0)</f>
        <v>0.130621331714228</v>
      </c>
      <c r="AH53" s="213"/>
      <c r="AI53" s="214">
        <f>VLOOKUP($C53,Контейнеры!$B$16:$AB$104,13,0)</f>
        <v>20.5849231108364</v>
      </c>
      <c r="AJ53" s="215">
        <f>VLOOKUP($C53,Контейнеры!$B$16:$AB$104,18,0)</f>
        <v>1</v>
      </c>
      <c r="AK53" s="231"/>
      <c r="AL53" s="170"/>
      <c r="AM53" s="170"/>
      <c r="AN53" s="232"/>
      <c r="AO53" s="249">
        <f>VLOOKUP($C53,Обработка!$B$16:$L$104,6,0)</f>
        <v>0.086</v>
      </c>
      <c r="AP53" s="251">
        <f t="shared" si="4"/>
        <v>-0.457</v>
      </c>
      <c r="AQ53" s="259">
        <f>VLOOKUP($C53,Обработка!$B$16:$L$104,7,0)</f>
        <v>0.78</v>
      </c>
      <c r="AR53" s="262">
        <f t="shared" si="5"/>
        <v>-0.027</v>
      </c>
      <c r="AS53" s="253">
        <f>VLOOKUP($C53,Утилизация!$B$16:$L$104,6,0)</f>
        <v>0.005</v>
      </c>
      <c r="AT53" s="251">
        <f t="shared" si="6"/>
        <v>-0.134</v>
      </c>
      <c r="AU53" s="250">
        <f>VLOOKUP($C53,Утилизация!$B$16:$L$104,7,0)</f>
        <v>0.348</v>
      </c>
      <c r="AV53" s="256">
        <f t="shared" si="7"/>
        <v>0.062</v>
      </c>
      <c r="AW53" s="284" t="str">
        <f>VLOOKUP(C53,Захоронение!$B$16:$Q$104,16,0)</f>
        <v/>
      </c>
      <c r="AX53" s="231"/>
      <c r="AY53" s="170"/>
      <c r="AZ53" s="170"/>
      <c r="BA53" s="171"/>
      <c r="BB53" s="280" t="str">
        <f>VLOOKUP(C53,'ДК ИП'!$B$16:$S$104,5,0)</f>
        <v>нет</v>
      </c>
      <c r="BC53" s="327">
        <f>VLOOKUP(C53,'Радар олд'!$B$3:$E$87,4,0)</f>
        <v>0.0431288546413836</v>
      </c>
      <c r="BD53" s="171"/>
      <c r="BI53" s="9">
        <f t="shared" si="8"/>
        <v>0</v>
      </c>
      <c r="BJ53" s="9">
        <f>VLOOKUP(C53,Штаб!$B$16:$C$104,2)</f>
        <v>1</v>
      </c>
      <c r="BK53" s="9">
        <f>VLOOKUP(C53,'РО - регионы'!$B$16:$C$104,2)</f>
        <v>0</v>
      </c>
      <c r="BL53" s="9">
        <f>VLOOKUP(C53,'РО - регионы'!$B$16:$L$104,11)</f>
        <v>0</v>
      </c>
      <c r="BM53" s="9">
        <f>VLOOKUP(C53,Спецтехника!$B$16:$C$104,2)</f>
        <v>1</v>
      </c>
      <c r="BN53" s="9">
        <f>VLOOKUP($C53,МНО!$B$16:$AB$104,6,0)</f>
        <v>1</v>
      </c>
      <c r="BO53" s="9">
        <f>VLOOKUP($C53,МНО!$B$16:$AB$104,4,0)</f>
        <v>0</v>
      </c>
      <c r="BP53" s="9">
        <f>VLOOKUP($C53,МНО!$B$16:$AB$104,5,0)</f>
        <v>0</v>
      </c>
      <c r="BQ53" s="9">
        <f>VLOOKUP($C53,Контейнеры!$B$16:$G$104,6,0)</f>
        <v>0</v>
      </c>
      <c r="BR53" s="9">
        <f>VLOOKUP($C53,Контейнеры!$B$16:$G$104,4,0)</f>
        <v>0</v>
      </c>
      <c r="BS53" s="9">
        <f>VLOOKUP($C53,Контейнеры!$B$16:$G$104,5,0)</f>
        <v>0</v>
      </c>
      <c r="BT53" s="9">
        <f>VLOOKUP($C53,'ДК МНО'!$B$16:$C$104,2,0)</f>
        <v>2</v>
      </c>
      <c r="BU53" s="9">
        <f>VLOOKUP($C53,Обработка!$B$16:$F$104,5,0)</f>
        <v>1</v>
      </c>
      <c r="BV53" s="9">
        <f>VLOOKUP($C53,Обработка!$B$16:$F$104,4,0)</f>
        <v>2</v>
      </c>
      <c r="BW53" s="9">
        <f>VLOOKUP($C53,Утилизация!$B$16:$F$104,5,0)</f>
        <v>0</v>
      </c>
      <c r="BX53" s="9">
        <f>VLOOKUP($C53,Утилизация!$B$16:$F$104,4,0)</f>
        <v>2</v>
      </c>
      <c r="BY53" s="9">
        <f>VLOOKUP($C53,Захоронение!$B$16:$C$104,2,0)</f>
        <v>0</v>
      </c>
      <c r="BZ53" s="9">
        <f>VLOOKUP($C53,'ДК ИП'!$B$16:$C$104,2,0)</f>
        <v>0</v>
      </c>
      <c r="CA53" s="9">
        <f t="shared" si="9"/>
        <v>0.35</v>
      </c>
    </row>
    <row r="54" ht="30" customHeight="1" spans="1:79">
      <c r="A54" s="6" t="s">
        <v>104</v>
      </c>
      <c r="B54" s="331">
        <f t="shared" si="3"/>
        <v>44</v>
      </c>
      <c r="C54" s="332" t="s">
        <v>117</v>
      </c>
      <c r="D54" s="333" t="str">
        <f>VLOOKUP($C54,Штаб!$B$16:$J$104,6,0)</f>
        <v/>
      </c>
      <c r="E54" s="334" t="str">
        <f>VLOOKUP($C54,Штаб!$B$16:$J$104,7,0)</f>
        <v>✔️</v>
      </c>
      <c r="F54" s="334" t="str">
        <f>VLOOKUP($C54,Штаб!$B$16:$J$104,8,0)</f>
        <v/>
      </c>
      <c r="G54" s="335" t="str">
        <f>VLOOKUP($C54,Штаб!$B$16:$J$104,9,0)</f>
        <v/>
      </c>
      <c r="H54" s="284" t="str">
        <f>VLOOKUP(C54,'РО - регионы'!$B$16:$I$104,8,0)</f>
        <v>0 / 1 / 0 из 1</v>
      </c>
      <c r="I54" s="169"/>
      <c r="J54" s="137"/>
      <c r="K54" s="170"/>
      <c r="L54" s="170"/>
      <c r="M54" s="171"/>
      <c r="N54" s="172">
        <f>VLOOKUP(C54,Спецтехника!$B$16:$J$104,4,0)</f>
        <v>111</v>
      </c>
      <c r="O54" s="173">
        <f>VLOOKUP(C54,Спецтехника!$B$16:$J$104,5,0)</f>
        <v>111</v>
      </c>
      <c r="P54" s="173">
        <f>VLOOKUP(C54,Спецтехника!$B$16:$J$104,6,0)</f>
        <v>0</v>
      </c>
      <c r="Q54" s="196">
        <f>VLOOKUP(C54,Спецтехника!$B$16:$J$104,7,0)</f>
        <v>0</v>
      </c>
      <c r="R54" s="197"/>
      <c r="S54" s="137"/>
      <c r="T54" s="170"/>
      <c r="U54" s="170"/>
      <c r="V54" s="171"/>
      <c r="W54" s="176">
        <f>VLOOKUP($C54,МНО!$B$16:$AB$104,16,0)</f>
        <v>1498</v>
      </c>
      <c r="X54" s="177">
        <f>VLOOKUP($C54,МНО!$B$16:$AB$104,8,0)</f>
        <v>1498</v>
      </c>
      <c r="Y54" s="177">
        <f>VLOOKUP($C54,МНО!$B$16:$AB$104,11,0)</f>
        <v>0</v>
      </c>
      <c r="Z54" s="217">
        <f>VLOOKUP($C54,МНО!$B$16:$AB$104,17,0)</f>
        <v>0</v>
      </c>
      <c r="AA54" s="213"/>
      <c r="AB54" s="214">
        <f>VLOOKUP($C54,МНО!$B$16:$AB$104,13,0)</f>
        <v>0.957584234570143</v>
      </c>
      <c r="AC54" s="215">
        <f>VLOOKUP($C54,МНО!$B$16:$AB$104,18,0)</f>
        <v>0.863400576368876</v>
      </c>
      <c r="AD54" s="176">
        <f>VLOOKUP($C54,Контейнеры!$B$16:$AB$104,16,0)</f>
        <v>6007</v>
      </c>
      <c r="AE54" s="177">
        <f>VLOOKUP($C54,Контейнеры!$B$16:$AB$104,8,0)</f>
        <v>5807</v>
      </c>
      <c r="AF54" s="177">
        <f>VLOOKUP($C54,Контейнеры!$B$16:$AB$104,11,0)</f>
        <v>200</v>
      </c>
      <c r="AG54" s="217">
        <f>VLOOKUP($C54,Контейнеры!$B$16:$AB$104,17,0)</f>
        <v>0.0332944897619444</v>
      </c>
      <c r="AH54" s="213"/>
      <c r="AI54" s="214">
        <f>VLOOKUP($C54,Контейнеры!$B$16:$AB$104,13,0)</f>
        <v>3.73953708819692</v>
      </c>
      <c r="AJ54" s="215">
        <f>VLOOKUP($C54,Контейнеры!$B$16:$AB$104,18,0)</f>
        <v>0.735063291139241</v>
      </c>
      <c r="AK54" s="231"/>
      <c r="AL54" s="170"/>
      <c r="AM54" s="170"/>
      <c r="AN54" s="232"/>
      <c r="AO54" s="261">
        <f>VLOOKUP($C54,Обработка!$B$16:$L$104,6,0)</f>
        <v>0.514</v>
      </c>
      <c r="AP54" s="259">
        <f t="shared" si="4"/>
        <v>-0.029</v>
      </c>
      <c r="AQ54" s="259">
        <f>VLOOKUP($C54,Обработка!$B$16:$L$104,7,0)</f>
        <v>0.5</v>
      </c>
      <c r="AR54" s="262">
        <f t="shared" si="5"/>
        <v>-0.307</v>
      </c>
      <c r="AS54" s="253">
        <f>VLOOKUP($C54,Утилизация!$B$16:$L$104,6,0)</f>
        <v>0.04</v>
      </c>
      <c r="AT54" s="251">
        <f t="shared" si="6"/>
        <v>-0.099</v>
      </c>
      <c r="AU54" s="251">
        <f>VLOOKUP($C54,Утилизация!$B$16:$L$104,7,0)</f>
        <v>0.1</v>
      </c>
      <c r="AV54" s="254">
        <f t="shared" si="7"/>
        <v>-0.186</v>
      </c>
      <c r="AW54" s="284" t="str">
        <f>VLOOKUP(C54,Захоронение!$B$16:$Q$104,16,0)</f>
        <v/>
      </c>
      <c r="AX54" s="231"/>
      <c r="AY54" s="170"/>
      <c r="AZ54" s="170"/>
      <c r="BA54" s="171"/>
      <c r="BB54" s="280" t="str">
        <f>VLOOKUP(C54,'ДК ИП'!$B$16:$S$104,5,0)</f>
        <v>не подписана</v>
      </c>
      <c r="BC54" s="327">
        <f>VLOOKUP(C54,'Радар олд'!$B$3:$E$87,4,0)</f>
        <v>0.000643970567969162</v>
      </c>
      <c r="BD54" s="171"/>
      <c r="BI54" s="9">
        <f t="shared" si="8"/>
        <v>1</v>
      </c>
      <c r="BJ54" s="9">
        <f>VLOOKUP(C54,Штаб!$B$16:$C$104,2)</f>
        <v>1</v>
      </c>
      <c r="BK54" s="9">
        <f>VLOOKUP(C54,'РО - регионы'!$B$16:$C$104,2)</f>
        <v>1</v>
      </c>
      <c r="BL54" s="9">
        <f>VLOOKUP(C54,'РО - регионы'!$B$16:$L$104,11)</f>
        <v>2</v>
      </c>
      <c r="BM54" s="9">
        <f>VLOOKUP(C54,Спецтехника!$B$16:$C$104,2)</f>
        <v>0</v>
      </c>
      <c r="BN54" s="9">
        <f>VLOOKUP($C54,МНО!$B$16:$AB$104,6,0)</f>
        <v>2</v>
      </c>
      <c r="BO54" s="9">
        <f>VLOOKUP($C54,МНО!$B$16:$AB$104,4,0)</f>
        <v>2</v>
      </c>
      <c r="BP54" s="9">
        <f>VLOOKUP($C54,МНО!$B$16:$AB$104,5,0)</f>
        <v>0</v>
      </c>
      <c r="BQ54" s="9">
        <f>VLOOKUP($C54,Контейнеры!$B$16:$G$104,6,0)</f>
        <v>0</v>
      </c>
      <c r="BR54" s="9">
        <f>VLOOKUP($C54,Контейнеры!$B$16:$G$104,4,0)</f>
        <v>2</v>
      </c>
      <c r="BS54" s="9">
        <f>VLOOKUP($C54,Контейнеры!$B$16:$G$104,5,0)</f>
        <v>2</v>
      </c>
      <c r="BT54" s="9">
        <f>VLOOKUP($C54,'ДК МНО'!$B$16:$C$104,2,0)</f>
        <v>2</v>
      </c>
      <c r="BU54" s="9">
        <f>VLOOKUP($C54,Обработка!$B$16:$F$104,5,0)</f>
        <v>1</v>
      </c>
      <c r="BV54" s="9">
        <f>VLOOKUP($C54,Обработка!$B$16:$F$104,4,0)</f>
        <v>1</v>
      </c>
      <c r="BW54" s="9">
        <f>VLOOKUP($C54,Утилизация!$B$16:$F$104,5,0)</f>
        <v>2</v>
      </c>
      <c r="BX54" s="9">
        <f>VLOOKUP($C54,Утилизация!$B$16:$F$104,4,0)</f>
        <v>2</v>
      </c>
      <c r="BY54" s="9">
        <f>VLOOKUP($C54,Захоронение!$B$16:$C$104,2,0)</f>
        <v>0</v>
      </c>
      <c r="BZ54" s="9">
        <f>VLOOKUP($C54,'ДК ИП'!$B$16:$C$104,2,0)</f>
        <v>0</v>
      </c>
      <c r="CA54" s="9">
        <f t="shared" si="9"/>
        <v>0.8</v>
      </c>
    </row>
    <row r="55" ht="30" customHeight="1" spans="1:79">
      <c r="A55" s="6" t="s">
        <v>85</v>
      </c>
      <c r="B55" s="331">
        <f t="shared" si="3"/>
        <v>45</v>
      </c>
      <c r="C55" s="332" t="s">
        <v>118</v>
      </c>
      <c r="D55" s="333" t="str">
        <f>VLOOKUP($C55,Штаб!$B$16:$J$104,6,0)</f>
        <v/>
      </c>
      <c r="E55" s="334" t="str">
        <f>VLOOKUP($C55,Штаб!$B$16:$J$104,7,0)</f>
        <v/>
      </c>
      <c r="F55" s="334" t="str">
        <f>VLOOKUP($C55,Штаб!$B$16:$J$104,8,0)</f>
        <v/>
      </c>
      <c r="G55" s="335" t="str">
        <f>VLOOKUP($C55,Штаб!$B$16:$J$104,9,0)</f>
        <v>✔️</v>
      </c>
      <c r="H55" s="284" t="str">
        <f>VLOOKUP(C55,'РО - регионы'!$B$16:$I$104,8,0)</f>
        <v>0 / 0 / 1 из 1</v>
      </c>
      <c r="I55" s="169"/>
      <c r="J55" s="137"/>
      <c r="K55" s="170"/>
      <c r="L55" s="170"/>
      <c r="M55" s="171"/>
      <c r="N55" s="172">
        <f>VLOOKUP(C55,Спецтехника!$B$16:$J$104,4,0)</f>
        <v>74</v>
      </c>
      <c r="O55" s="173">
        <f>VLOOKUP(C55,Спецтехника!$B$16:$J$104,5,0)</f>
        <v>74</v>
      </c>
      <c r="P55" s="173">
        <f>VLOOKUP(C55,Спецтехника!$B$16:$J$104,6,0)</f>
        <v>0</v>
      </c>
      <c r="Q55" s="196">
        <f>VLOOKUP(C55,Спецтехника!$B$16:$J$104,7,0)</f>
        <v>0</v>
      </c>
      <c r="R55" s="197"/>
      <c r="S55" s="137"/>
      <c r="T55" s="170"/>
      <c r="U55" s="170"/>
      <c r="V55" s="171"/>
      <c r="W55" s="172">
        <f>VLOOKUP($C55,МНО!$B$16:$AB$104,16,0)</f>
        <v>0</v>
      </c>
      <c r="X55" s="173">
        <f>VLOOKUP($C55,МНО!$B$16:$AB$104,8,0)</f>
        <v>0</v>
      </c>
      <c r="Y55" s="173">
        <f>VLOOKUP($C55,МНО!$B$16:$AB$104,11,0)</f>
        <v>0</v>
      </c>
      <c r="Z55" s="216">
        <f>VLOOKUP($C55,МНО!$B$16:$AB$104,17,0)</f>
        <v>0</v>
      </c>
      <c r="AA55" s="213"/>
      <c r="AB55" s="214"/>
      <c r="AC55" s="215"/>
      <c r="AD55" s="172">
        <f>VLOOKUP($C55,Контейнеры!$B$16:$AB$104,16,0)</f>
        <v>6795</v>
      </c>
      <c r="AE55" s="173">
        <f>VLOOKUP($C55,Контейнеры!$B$16:$AB$104,8,0)</f>
        <v>0</v>
      </c>
      <c r="AF55" s="173">
        <f>VLOOKUP($C55,Контейнеры!$B$16:$AB$104,11,0)</f>
        <v>6795</v>
      </c>
      <c r="AG55" s="216">
        <f>VLOOKUP($C55,Контейнеры!$B$16:$AB$104,17,0)</f>
        <v>0</v>
      </c>
      <c r="AH55" s="213"/>
      <c r="AI55" s="214"/>
      <c r="AJ55" s="215"/>
      <c r="AK55" s="231"/>
      <c r="AL55" s="170"/>
      <c r="AM55" s="170"/>
      <c r="AN55" s="232"/>
      <c r="AO55" s="261">
        <f>VLOOKUP($C55,Обработка!$B$16:$L$104,6,0)</f>
        <v>0.497</v>
      </c>
      <c r="AP55" s="259">
        <f t="shared" si="4"/>
        <v>-0.046</v>
      </c>
      <c r="AQ55" s="259">
        <f>VLOOKUP($C55,Обработка!$B$16:$L$104,7,0)</f>
        <v>0.45</v>
      </c>
      <c r="AR55" s="262">
        <f t="shared" si="5"/>
        <v>-0.357</v>
      </c>
      <c r="AS55" s="253">
        <f>VLOOKUP($C55,Утилизация!$B$16:$L$104,6,0)</f>
        <v>0.015</v>
      </c>
      <c r="AT55" s="251">
        <f t="shared" si="6"/>
        <v>-0.124</v>
      </c>
      <c r="AU55" s="251">
        <f>VLOOKUP($C55,Утилизация!$B$16:$L$104,7,0)</f>
        <v>0.009</v>
      </c>
      <c r="AV55" s="254">
        <f t="shared" si="7"/>
        <v>-0.277</v>
      </c>
      <c r="AW55" s="283" t="str">
        <f>VLOOKUP(C55,Захоронение!$B$16:$Q$104,16,0)</f>
        <v>перегруз</v>
      </c>
      <c r="AX55" s="231"/>
      <c r="AY55" s="170"/>
      <c r="AZ55" s="170"/>
      <c r="BA55" s="171"/>
      <c r="BB55" s="280" t="str">
        <f>VLOOKUP(C55,'ДК ИП'!$B$16:$S$104,5,0)</f>
        <v>существенное</v>
      </c>
      <c r="BC55" s="327">
        <f>VLOOKUP(C55,'Радар олд'!$B$3:$E$87,4,0)</f>
        <v>0.035626872637493</v>
      </c>
      <c r="BD55" s="171"/>
      <c r="BI55" s="9">
        <f t="shared" si="8"/>
        <v>0</v>
      </c>
      <c r="BJ55" s="9">
        <f>VLOOKUP(C55,Штаб!$B$16:$C$104,2)</f>
        <v>2</v>
      </c>
      <c r="BK55" s="9">
        <f>VLOOKUP(C55,'РО - регионы'!$B$16:$C$104,2)</f>
        <v>0</v>
      </c>
      <c r="BL55" s="9">
        <f>VLOOKUP(C55,'РО - регионы'!$B$16:$L$104,11)</f>
        <v>0</v>
      </c>
      <c r="BM55" s="9">
        <f>VLOOKUP(C55,Спецтехника!$B$16:$C$104,2)</f>
        <v>0</v>
      </c>
      <c r="BN55" s="9">
        <f>VLOOKUP($C55,МНО!$B$16:$AB$104,6,0)</f>
        <v>0</v>
      </c>
      <c r="BO55" s="9">
        <f>VLOOKUP($C55,МНО!$B$16:$AB$104,4,0)</f>
        <v>0</v>
      </c>
      <c r="BP55" s="9">
        <f>VLOOKUP($C55,МНО!$B$16:$AB$104,5,0)</f>
        <v>0</v>
      </c>
      <c r="BQ55" s="9">
        <f>VLOOKUP($C55,Контейнеры!$B$16:$G$104,6,0)</f>
        <v>0</v>
      </c>
      <c r="BR55" s="9">
        <f>VLOOKUP($C55,Контейнеры!$B$16:$G$104,4,0)</f>
        <v>0</v>
      </c>
      <c r="BS55" s="9">
        <f>VLOOKUP($C55,Контейнеры!$B$16:$G$104,5,0)</f>
        <v>0</v>
      </c>
      <c r="BT55" s="9">
        <f>VLOOKUP($C55,'ДК МНО'!$B$16:$C$104,2,0)</f>
        <v>2</v>
      </c>
      <c r="BU55" s="9">
        <f>VLOOKUP($C55,Обработка!$B$16:$F$104,5,0)</f>
        <v>1</v>
      </c>
      <c r="BV55" s="9">
        <f>VLOOKUP($C55,Обработка!$B$16:$F$104,4,0)</f>
        <v>1</v>
      </c>
      <c r="BW55" s="9">
        <f>VLOOKUP($C55,Утилизация!$B$16:$F$104,5,0)</f>
        <v>2</v>
      </c>
      <c r="BX55" s="9">
        <f>VLOOKUP($C55,Утилизация!$B$16:$F$104,4,0)</f>
        <v>2</v>
      </c>
      <c r="BY55" s="9">
        <f>VLOOKUP($C55,Захоронение!$B$16:$C$104,2,0)</f>
        <v>1</v>
      </c>
      <c r="BZ55" s="9">
        <f>VLOOKUP($C55,'ДК ИП'!$B$16:$C$104,2,0)</f>
        <v>2</v>
      </c>
      <c r="CA55" s="9">
        <f t="shared" si="9"/>
        <v>0.75</v>
      </c>
    </row>
    <row r="56" ht="30" customHeight="1" spans="1:79">
      <c r="A56" s="6" t="s">
        <v>70</v>
      </c>
      <c r="B56" s="331">
        <f t="shared" si="3"/>
        <v>46</v>
      </c>
      <c r="C56" s="332" t="s">
        <v>119</v>
      </c>
      <c r="D56" s="333" t="str">
        <f>VLOOKUP($C56,Штаб!$B$16:$J$104,6,0)</f>
        <v/>
      </c>
      <c r="E56" s="334" t="str">
        <f>VLOOKUP($C56,Штаб!$B$16:$J$104,7,0)</f>
        <v/>
      </c>
      <c r="F56" s="334" t="str">
        <f>VLOOKUP($C56,Штаб!$B$16:$J$104,8,0)</f>
        <v>✔️</v>
      </c>
      <c r="G56" s="335" t="str">
        <f>VLOOKUP($C56,Штаб!$B$16:$J$104,9,0)</f>
        <v/>
      </c>
      <c r="H56" s="284" t="str">
        <f>VLOOKUP(C56,'РО - регионы'!$B$16:$I$104,8,0)</f>
        <v>0 / 0 / 1 из 1</v>
      </c>
      <c r="I56" s="169"/>
      <c r="J56" s="137"/>
      <c r="K56" s="170"/>
      <c r="L56" s="170"/>
      <c r="M56" s="171"/>
      <c r="N56" s="176">
        <f>VLOOKUP(C56,Спецтехника!$B$16:$J$104,4,0)</f>
        <v>259</v>
      </c>
      <c r="O56" s="177">
        <f>VLOOKUP(C56,Спецтехника!$B$16:$J$104,5,0)</f>
        <v>211</v>
      </c>
      <c r="P56" s="177">
        <f>VLOOKUP(C56,Спецтехника!$B$16:$J$104,6,0)</f>
        <v>48</v>
      </c>
      <c r="Q56" s="199">
        <f>VLOOKUP(C56,Спецтехника!$B$16:$J$104,7,0)</f>
        <v>0.185328185328185</v>
      </c>
      <c r="R56" s="197"/>
      <c r="S56" s="137"/>
      <c r="T56" s="170"/>
      <c r="U56" s="170"/>
      <c r="V56" s="171"/>
      <c r="W56" s="174">
        <f>VLOOKUP($C56,МНО!$B$16:$AB$104,16,0)</f>
        <v>14342</v>
      </c>
      <c r="X56" s="175">
        <f>VLOOKUP($C56,МНО!$B$16:$AB$104,8,0)</f>
        <v>11788</v>
      </c>
      <c r="Y56" s="175">
        <f>VLOOKUP($C56,МНО!$B$16:$AB$104,11,0)</f>
        <v>2554</v>
      </c>
      <c r="Z56" s="212">
        <f>VLOOKUP($C56,МНО!$B$16:$AB$104,17,0)</f>
        <v>0.178078371217403</v>
      </c>
      <c r="AA56" s="213"/>
      <c r="AB56" s="214">
        <f>VLOOKUP($C56,МНО!$B$16:$AB$104,13,0)</f>
        <v>10.5008733801844</v>
      </c>
      <c r="AC56" s="215">
        <f>VLOOKUP($C56,МНО!$B$16:$AB$104,18,0)</f>
        <v>0.878325013039267</v>
      </c>
      <c r="AD56" s="174">
        <f>VLOOKUP($C56,Контейнеры!$B$16:$AB$104,16,0)</f>
        <v>24826</v>
      </c>
      <c r="AE56" s="175">
        <f>VLOOKUP($C56,Контейнеры!$B$16:$AB$104,8,0)</f>
        <v>19874</v>
      </c>
      <c r="AF56" s="175">
        <f>VLOOKUP($C56,Контейнеры!$B$16:$AB$104,11,0)</f>
        <v>4952</v>
      </c>
      <c r="AG56" s="212">
        <f>VLOOKUP($C56,Контейнеры!$B$16:$AB$104,17,0)</f>
        <v>0.19946829936357</v>
      </c>
      <c r="AH56" s="213"/>
      <c r="AI56" s="214">
        <f>VLOOKUP($C56,Контейнеры!$B$16:$AB$104,13,0)</f>
        <v>19.2221016448177</v>
      </c>
      <c r="AJ56" s="215">
        <f>VLOOKUP($C56,Контейнеры!$B$16:$AB$104,18,0)</f>
        <v>1</v>
      </c>
      <c r="AK56" s="231"/>
      <c r="AL56" s="170"/>
      <c r="AM56" s="170"/>
      <c r="AN56" s="232"/>
      <c r="AO56" s="249">
        <f>VLOOKUP($C56,Обработка!$B$16:$L$104,6,0)</f>
        <v>0.133</v>
      </c>
      <c r="AP56" s="251">
        <f t="shared" si="4"/>
        <v>-0.41</v>
      </c>
      <c r="AQ56" s="250">
        <f>VLOOKUP($C56,Обработка!$B$16:$L$104,7,0)</f>
        <v>1</v>
      </c>
      <c r="AR56" s="255">
        <f t="shared" si="5"/>
        <v>0.193</v>
      </c>
      <c r="AS56" s="253">
        <f>VLOOKUP($C56,Утилизация!$B$16:$L$104,6,0)</f>
        <v>0.002</v>
      </c>
      <c r="AT56" s="251">
        <f t="shared" si="6"/>
        <v>-0.137</v>
      </c>
      <c r="AU56" s="250">
        <f>VLOOKUP($C56,Утилизация!$B$16:$L$104,7,0)</f>
        <v>0.4</v>
      </c>
      <c r="AV56" s="256">
        <f t="shared" si="7"/>
        <v>0.114</v>
      </c>
      <c r="AW56" s="283" t="str">
        <f>VLOOKUP(C56,Захоронение!$B$16:$Q$104,16,0)</f>
        <v>перегруз</v>
      </c>
      <c r="AX56" s="231"/>
      <c r="AY56" s="170"/>
      <c r="AZ56" s="170"/>
      <c r="BA56" s="171"/>
      <c r="BB56" s="280" t="str">
        <f>VLOOKUP(C56,'ДК ИП'!$B$16:$S$104,5,0)</f>
        <v>среднее</v>
      </c>
      <c r="BC56" s="327">
        <f>VLOOKUP(C56,'Радар олд'!$B$3:$E$87,4,0)</f>
        <v>0.0667366918331699</v>
      </c>
      <c r="BD56" s="171"/>
      <c r="BI56" s="9">
        <f t="shared" si="8"/>
        <v>0</v>
      </c>
      <c r="BJ56" s="9">
        <f>VLOOKUP(C56,Штаб!$B$16:$C$104,2)</f>
        <v>1</v>
      </c>
      <c r="BK56" s="9">
        <f>VLOOKUP(C56,'РО - регионы'!$B$16:$C$104,2)</f>
        <v>0</v>
      </c>
      <c r="BL56" s="9">
        <f>VLOOKUP(C56,'РО - регионы'!$B$16:$L$104,11)</f>
        <v>0</v>
      </c>
      <c r="BM56" s="9">
        <f>VLOOKUP(C56,Спецтехника!$B$16:$C$104,2)</f>
        <v>2</v>
      </c>
      <c r="BN56" s="9">
        <f>VLOOKUP($C56,МНО!$B$16:$AB$104,6,0)</f>
        <v>0</v>
      </c>
      <c r="BO56" s="9">
        <f>VLOOKUP($C56,МНО!$B$16:$AB$104,4,0)</f>
        <v>0</v>
      </c>
      <c r="BP56" s="9">
        <f>VLOOKUP($C56,МНО!$B$16:$AB$104,5,0)</f>
        <v>0</v>
      </c>
      <c r="BQ56" s="9">
        <f>VLOOKUP($C56,Контейнеры!$B$16:$G$104,6,0)</f>
        <v>1</v>
      </c>
      <c r="BR56" s="9">
        <f>VLOOKUP($C56,Контейнеры!$B$16:$G$104,4,0)</f>
        <v>0</v>
      </c>
      <c r="BS56" s="9">
        <f>VLOOKUP($C56,Контейнеры!$B$16:$G$104,5,0)</f>
        <v>0</v>
      </c>
      <c r="BT56" s="9">
        <f>VLOOKUP($C56,'ДК МНО'!$B$16:$C$104,2,0)</f>
        <v>2</v>
      </c>
      <c r="BU56" s="9">
        <f>VLOOKUP($C56,Обработка!$B$16:$F$104,5,0)</f>
        <v>0</v>
      </c>
      <c r="BV56" s="9">
        <f>VLOOKUP($C56,Обработка!$B$16:$F$104,4,0)</f>
        <v>2</v>
      </c>
      <c r="BW56" s="9">
        <f>VLOOKUP($C56,Утилизация!$B$16:$F$104,5,0)</f>
        <v>0</v>
      </c>
      <c r="BX56" s="9">
        <f>VLOOKUP($C56,Утилизация!$B$16:$F$104,4,0)</f>
        <v>2</v>
      </c>
      <c r="BY56" s="9">
        <f>VLOOKUP($C56,Захоронение!$B$16:$C$104,2,0)</f>
        <v>1</v>
      </c>
      <c r="BZ56" s="9">
        <f>VLOOKUP($C56,'ДК ИП'!$B$16:$C$104,2,0)</f>
        <v>1</v>
      </c>
      <c r="CA56" s="9">
        <f t="shared" si="9"/>
        <v>0.7</v>
      </c>
    </row>
    <row r="57" ht="30" customHeight="1" spans="1:79">
      <c r="A57" s="6" t="s">
        <v>85</v>
      </c>
      <c r="B57" s="331">
        <f t="shared" si="3"/>
        <v>47</v>
      </c>
      <c r="C57" s="332" t="s">
        <v>120</v>
      </c>
      <c r="D57" s="333" t="str">
        <f>VLOOKUP($C57,Штаб!$B$16:$J$104,6,0)</f>
        <v/>
      </c>
      <c r="E57" s="334" t="str">
        <f>VLOOKUP($C57,Штаб!$B$16:$J$104,7,0)</f>
        <v/>
      </c>
      <c r="F57" s="334" t="str">
        <f>VLOOKUP($C57,Штаб!$B$16:$J$104,8,0)</f>
        <v>✔️</v>
      </c>
      <c r="G57" s="335" t="str">
        <f>VLOOKUP($C57,Штаб!$B$16:$J$104,9,0)</f>
        <v/>
      </c>
      <c r="H57" s="283" t="str">
        <f>VLOOKUP(C57,'РО - регионы'!$B$16:$I$104,8,0)</f>
        <v>0 / 1 / 0 из 1</v>
      </c>
      <c r="I57" s="169"/>
      <c r="J57" s="137"/>
      <c r="K57" s="170"/>
      <c r="L57" s="170"/>
      <c r="M57" s="171"/>
      <c r="N57" s="172">
        <f>VLOOKUP(C57,Спецтехника!$B$16:$J$104,4,0)</f>
        <v>66</v>
      </c>
      <c r="O57" s="173">
        <f>VLOOKUP(C57,Спецтехника!$B$16:$J$104,5,0)</f>
        <v>66</v>
      </c>
      <c r="P57" s="173">
        <f>VLOOKUP(C57,Спецтехника!$B$16:$J$104,6,0)</f>
        <v>0</v>
      </c>
      <c r="Q57" s="196">
        <f>VLOOKUP(C57,Спецтехника!$B$16:$J$104,7,0)</f>
        <v>0</v>
      </c>
      <c r="R57" s="197"/>
      <c r="S57" s="137"/>
      <c r="T57" s="170"/>
      <c r="U57" s="170"/>
      <c r="V57" s="171"/>
      <c r="W57" s="174">
        <f>VLOOKUP($C57,МНО!$B$16:$AB$104,16,0)</f>
        <v>1333</v>
      </c>
      <c r="X57" s="175">
        <f>VLOOKUP($C57,МНО!$B$16:$AB$104,8,0)</f>
        <v>1047</v>
      </c>
      <c r="Y57" s="175">
        <f>VLOOKUP($C57,МНО!$B$16:$AB$104,11,0)</f>
        <v>286</v>
      </c>
      <c r="Z57" s="212">
        <f>VLOOKUP($C57,МНО!$B$16:$AB$104,17,0)</f>
        <v>0.214553638409602</v>
      </c>
      <c r="AA57" s="213"/>
      <c r="AB57" s="214">
        <f>VLOOKUP($C57,МНО!$B$16:$AB$104,13,0)</f>
        <v>3.90973497769614</v>
      </c>
      <c r="AC57" s="215">
        <f>VLOOKUP($C57,МНО!$B$16:$AB$104,18,0)</f>
        <v>1</v>
      </c>
      <c r="AD57" s="174">
        <f>VLOOKUP($C57,Контейнеры!$B$16:$AB$104,16,0)</f>
        <v>3194</v>
      </c>
      <c r="AE57" s="175">
        <f>VLOOKUP($C57,Контейнеры!$B$16:$AB$104,8,0)</f>
        <v>2375</v>
      </c>
      <c r="AF57" s="175">
        <f>VLOOKUP($C57,Контейнеры!$B$16:$AB$104,11,0)</f>
        <v>819</v>
      </c>
      <c r="AG57" s="212">
        <f>VLOOKUP($C57,Контейнеры!$B$16:$AB$104,17,0)</f>
        <v>0.256418284283031</v>
      </c>
      <c r="AH57" s="213"/>
      <c r="AI57" s="214">
        <f>VLOOKUP($C57,Контейнеры!$B$16:$AB$104,13,0)</f>
        <v>8.90280016493609</v>
      </c>
      <c r="AJ57" s="215">
        <f>VLOOKUP($C57,Контейнеры!$B$16:$AB$104,18,0)</f>
        <v>1</v>
      </c>
      <c r="AK57" s="231"/>
      <c r="AL57" s="170"/>
      <c r="AM57" s="170"/>
      <c r="AN57" s="232"/>
      <c r="AO57" s="249">
        <f>VLOOKUP($C57,Обработка!$B$16:$L$104,6,0)</f>
        <v>0.928</v>
      </c>
      <c r="AP57" s="251">
        <f t="shared" si="4"/>
        <v>0.385</v>
      </c>
      <c r="AQ57" s="250">
        <f>VLOOKUP($C57,Обработка!$B$16:$L$104,7,0)</f>
        <v>1</v>
      </c>
      <c r="AR57" s="255">
        <f t="shared" si="5"/>
        <v>0.193</v>
      </c>
      <c r="AS57" s="253">
        <f>VLOOKUP($C57,Утилизация!$B$16:$L$104,6,0)</f>
        <v>0</v>
      </c>
      <c r="AT57" s="251">
        <f t="shared" si="6"/>
        <v>-0.139</v>
      </c>
      <c r="AU57" s="259">
        <f>VLOOKUP($C57,Утилизация!$B$16:$L$104,7,0)</f>
        <v>0.25</v>
      </c>
      <c r="AV57" s="260">
        <f t="shared" si="7"/>
        <v>-0.036</v>
      </c>
      <c r="AW57" s="284" t="str">
        <f>VLOOKUP(C57,Захоронение!$B$16:$Q$104,16,0)</f>
        <v/>
      </c>
      <c r="AX57" s="231"/>
      <c r="AY57" s="170"/>
      <c r="AZ57" s="170"/>
      <c r="BA57" s="171"/>
      <c r="BB57" s="280" t="str">
        <f>VLOOKUP(C57,'ДК ИП'!$B$16:$S$104,5,0)</f>
        <v>среднее</v>
      </c>
      <c r="BC57" s="327">
        <f>VLOOKUP(C57,'Радар олд'!$B$3:$E$87,4,0)</f>
        <v>0.0974622333845635</v>
      </c>
      <c r="BD57" s="171"/>
      <c r="BI57" s="9">
        <f t="shared" si="8"/>
        <v>1</v>
      </c>
      <c r="BJ57" s="9">
        <f>VLOOKUP(C57,Штаб!$B$16:$C$104,2)</f>
        <v>1</v>
      </c>
      <c r="BK57" s="9">
        <f>VLOOKUP(C57,'РО - регионы'!$B$16:$C$104,2)</f>
        <v>1</v>
      </c>
      <c r="BL57" s="9">
        <f>VLOOKUP(C57,'РО - регионы'!$B$16:$L$104,11)</f>
        <v>2</v>
      </c>
      <c r="BM57" s="9">
        <f>VLOOKUP(C57,Спецтехника!$B$16:$C$104,2)</f>
        <v>0</v>
      </c>
      <c r="BN57" s="9">
        <f>VLOOKUP($C57,МНО!$B$16:$AB$104,6,0)</f>
        <v>1</v>
      </c>
      <c r="BO57" s="9">
        <f>VLOOKUP($C57,МНО!$B$16:$AB$104,4,0)</f>
        <v>1</v>
      </c>
      <c r="BP57" s="9">
        <f>VLOOKUP($C57,МНО!$B$16:$AB$104,5,0)</f>
        <v>0</v>
      </c>
      <c r="BQ57" s="9">
        <f>VLOOKUP($C57,Контейнеры!$B$16:$G$104,6,0)</f>
        <v>1</v>
      </c>
      <c r="BR57" s="9">
        <f>VLOOKUP($C57,Контейнеры!$B$16:$G$104,4,0)</f>
        <v>2</v>
      </c>
      <c r="BS57" s="9">
        <f>VLOOKUP($C57,Контейнеры!$B$16:$G$104,5,0)</f>
        <v>0</v>
      </c>
      <c r="BT57" s="9">
        <f>VLOOKUP($C57,'ДК МНО'!$B$16:$C$104,2,0)</f>
        <v>2</v>
      </c>
      <c r="BU57" s="9">
        <f>VLOOKUP($C57,Обработка!$B$16:$F$104,5,0)</f>
        <v>0</v>
      </c>
      <c r="BV57" s="9">
        <f>VLOOKUP($C57,Обработка!$B$16:$F$104,4,0)</f>
        <v>2</v>
      </c>
      <c r="BW57" s="9">
        <f>VLOOKUP($C57,Утилизация!$B$16:$F$104,5,0)</f>
        <v>1</v>
      </c>
      <c r="BX57" s="9">
        <f>VLOOKUP($C57,Утилизация!$B$16:$F$104,4,0)</f>
        <v>2</v>
      </c>
      <c r="BY57" s="9">
        <f>VLOOKUP($C57,Захоронение!$B$16:$C$104,2,0)</f>
        <v>0</v>
      </c>
      <c r="BZ57" s="9">
        <f>VLOOKUP($C57,'ДК ИП'!$B$16:$C$104,2,0)</f>
        <v>1</v>
      </c>
      <c r="CA57" s="9">
        <f t="shared" si="9"/>
        <v>0.8</v>
      </c>
    </row>
    <row r="58" ht="30" customHeight="1" spans="1:79">
      <c r="A58" s="6" t="s">
        <v>85</v>
      </c>
      <c r="B58" s="331">
        <f t="shared" si="3"/>
        <v>48</v>
      </c>
      <c r="C58" s="332" t="s">
        <v>121</v>
      </c>
      <c r="D58" s="333" t="str">
        <f>VLOOKUP($C58,Штаб!$B$16:$J$104,6,0)</f>
        <v/>
      </c>
      <c r="E58" s="334" t="str">
        <f>VLOOKUP($C58,Штаб!$B$16:$J$104,7,0)</f>
        <v/>
      </c>
      <c r="F58" s="334" t="str">
        <f>VLOOKUP($C58,Штаб!$B$16:$J$104,8,0)</f>
        <v>✔️</v>
      </c>
      <c r="G58" s="335" t="str">
        <f>VLOOKUP($C58,Штаб!$B$16:$J$104,9,0)</f>
        <v/>
      </c>
      <c r="H58" s="284" t="str">
        <f>VLOOKUP(C58,'РО - регионы'!$B$16:$I$104,8,0)</f>
        <v>0 / 0 / 2 из 2</v>
      </c>
      <c r="I58" s="169"/>
      <c r="J58" s="137"/>
      <c r="K58" s="170"/>
      <c r="L58" s="170"/>
      <c r="M58" s="171"/>
      <c r="N58" s="172">
        <f>VLOOKUP(C58,Спецтехника!$B$16:$J$104,4,0)</f>
        <v>127</v>
      </c>
      <c r="O58" s="173">
        <f>VLOOKUP(C58,Спецтехника!$B$16:$J$104,5,0)</f>
        <v>127</v>
      </c>
      <c r="P58" s="173">
        <f>VLOOKUP(C58,Спецтехника!$B$16:$J$104,6,0)</f>
        <v>0</v>
      </c>
      <c r="Q58" s="196">
        <f>VLOOKUP(C58,Спецтехника!$B$16:$J$104,7,0)</f>
        <v>0</v>
      </c>
      <c r="R58" s="197"/>
      <c r="S58" s="137"/>
      <c r="T58" s="170"/>
      <c r="U58" s="170"/>
      <c r="V58" s="171"/>
      <c r="W58" s="176">
        <f>VLOOKUP($C58,МНО!$B$16:$AB$104,16,0)</f>
        <v>4217</v>
      </c>
      <c r="X58" s="177">
        <f>VLOOKUP($C58,МНО!$B$16:$AB$104,8,0)</f>
        <v>4098</v>
      </c>
      <c r="Y58" s="177">
        <f>VLOOKUP($C58,МНО!$B$16:$AB$104,11,0)</f>
        <v>119</v>
      </c>
      <c r="Z58" s="217">
        <f>VLOOKUP($C58,МНО!$B$16:$AB$104,17,0)</f>
        <v>0.0282191131135879</v>
      </c>
      <c r="AA58" s="213"/>
      <c r="AB58" s="214">
        <f>VLOOKUP($C58,МНО!$B$16:$AB$104,13,0)</f>
        <v>4.28241315513367</v>
      </c>
      <c r="AC58" s="215">
        <f>VLOOKUP($C58,МНО!$B$16:$AB$104,18,0)</f>
        <v>0.314553269880258</v>
      </c>
      <c r="AD58" s="176">
        <f>VLOOKUP($C58,Контейнеры!$B$16:$AB$104,16,0)</f>
        <v>8364</v>
      </c>
      <c r="AE58" s="177">
        <f>VLOOKUP($C58,Контейнеры!$B$16:$AB$104,8,0)</f>
        <v>6951</v>
      </c>
      <c r="AF58" s="177">
        <f>VLOOKUP($C58,Контейнеры!$B$16:$AB$104,11,0)</f>
        <v>1413</v>
      </c>
      <c r="AG58" s="217">
        <f>VLOOKUP($C58,Контейнеры!$B$16:$AB$104,17,0)</f>
        <v>0.168938307030129</v>
      </c>
      <c r="AH58" s="213"/>
      <c r="AI58" s="214">
        <f>VLOOKUP($C58,Контейнеры!$B$16:$AB$104,13,0)</f>
        <v>7.34444950440022</v>
      </c>
      <c r="AJ58" s="215">
        <f>VLOOKUP($C58,Контейнеры!$B$16:$AB$104,18,0)</f>
        <v>0.297127468581688</v>
      </c>
      <c r="AK58" s="231"/>
      <c r="AL58" s="170"/>
      <c r="AM58" s="170"/>
      <c r="AN58" s="232"/>
      <c r="AO58" s="257">
        <f>VLOOKUP($C58,Обработка!$B$16:$L$104,6,0)</f>
        <v>0.721</v>
      </c>
      <c r="AP58" s="250">
        <f t="shared" si="4"/>
        <v>0.178</v>
      </c>
      <c r="AQ58" s="250">
        <f>VLOOKUP($C58,Обработка!$B$16:$L$104,7,0)</f>
        <v>0.9</v>
      </c>
      <c r="AR58" s="255">
        <f t="shared" si="5"/>
        <v>0.093</v>
      </c>
      <c r="AS58" s="258">
        <f>VLOOKUP($C58,Утилизация!$B$16:$L$104,6,0)</f>
        <v>0.13</v>
      </c>
      <c r="AT58" s="259">
        <f t="shared" si="6"/>
        <v>-0.00900000000000001</v>
      </c>
      <c r="AU58" s="259">
        <f>VLOOKUP($C58,Утилизация!$B$16:$L$104,7,0)</f>
        <v>0.251</v>
      </c>
      <c r="AV58" s="260">
        <f t="shared" si="7"/>
        <v>-0.035</v>
      </c>
      <c r="AW58" s="283" t="str">
        <f>VLOOKUP(C58,Захоронение!$B$16:$Q$104,16,0)</f>
        <v>перегруз</v>
      </c>
      <c r="AX58" s="231"/>
      <c r="AY58" s="170"/>
      <c r="AZ58" s="170"/>
      <c r="BA58" s="171"/>
      <c r="BB58" s="280" t="str">
        <f>VLOOKUP(C58,'ДК ИП'!$B$16:$S$104,5,0)</f>
        <v>существенное</v>
      </c>
      <c r="BC58" s="327">
        <f>VLOOKUP(C58,'Радар олд'!$B$3:$E$87,4,0)</f>
        <v>0.148981064612348</v>
      </c>
      <c r="BD58" s="171"/>
      <c r="BI58" s="9">
        <f t="shared" si="8"/>
        <v>0</v>
      </c>
      <c r="BJ58" s="9">
        <f>VLOOKUP(C58,Штаб!$B$16:$C$104,2)</f>
        <v>1</v>
      </c>
      <c r="BK58" s="9">
        <f>VLOOKUP(C58,'РО - регионы'!$B$16:$C$104,2)</f>
        <v>0</v>
      </c>
      <c r="BL58" s="9">
        <f>VLOOKUP(C58,'РО - регионы'!$B$16:$L$104,11)</f>
        <v>0</v>
      </c>
      <c r="BM58" s="9">
        <f>VLOOKUP(C58,Спецтехника!$B$16:$C$104,2)</f>
        <v>0</v>
      </c>
      <c r="BN58" s="9">
        <f>VLOOKUP($C58,МНО!$B$16:$AB$104,6,0)</f>
        <v>0</v>
      </c>
      <c r="BO58" s="9">
        <f>VLOOKUP($C58,МНО!$B$16:$AB$104,4,0)</f>
        <v>1</v>
      </c>
      <c r="BP58" s="9">
        <f>VLOOKUP($C58,МНО!$B$16:$AB$104,5,0)</f>
        <v>2</v>
      </c>
      <c r="BQ58" s="9">
        <f>VLOOKUP($C58,Контейнеры!$B$16:$G$104,6,0)</f>
        <v>1</v>
      </c>
      <c r="BR58" s="9">
        <f>VLOOKUP($C58,Контейнеры!$B$16:$G$104,4,0)</f>
        <v>0</v>
      </c>
      <c r="BS58" s="9">
        <f>VLOOKUP($C58,Контейнеры!$B$16:$G$104,5,0)</f>
        <v>2</v>
      </c>
      <c r="BT58" s="9">
        <f>VLOOKUP($C58,'ДК МНО'!$B$16:$C$104,2,0)</f>
        <v>2</v>
      </c>
      <c r="BU58" s="9">
        <f>VLOOKUP($C58,Обработка!$B$16:$F$104,5,0)</f>
        <v>0</v>
      </c>
      <c r="BV58" s="9">
        <f>VLOOKUP($C58,Обработка!$B$16:$F$104,4,0)</f>
        <v>0</v>
      </c>
      <c r="BW58" s="9">
        <f>VLOOKUP($C58,Утилизация!$B$16:$F$104,5,0)</f>
        <v>1</v>
      </c>
      <c r="BX58" s="9">
        <f>VLOOKUP($C58,Утилизация!$B$16:$F$104,4,0)</f>
        <v>1</v>
      </c>
      <c r="BY58" s="9">
        <f>VLOOKUP($C58,Захоронение!$B$16:$C$104,2,0)</f>
        <v>1</v>
      </c>
      <c r="BZ58" s="9">
        <f>VLOOKUP($C58,'ДК ИП'!$B$16:$C$104,2,0)</f>
        <v>2</v>
      </c>
      <c r="CA58" s="9">
        <f t="shared" si="9"/>
        <v>0.65</v>
      </c>
    </row>
    <row r="59" ht="30" customHeight="1" spans="1:79">
      <c r="A59" s="6" t="s">
        <v>78</v>
      </c>
      <c r="B59" s="331">
        <f t="shared" si="3"/>
        <v>49</v>
      </c>
      <c r="C59" s="332" t="s">
        <v>122</v>
      </c>
      <c r="D59" s="333" t="str">
        <f>VLOOKUP($C59,Штаб!$B$16:$J$104,6,0)</f>
        <v/>
      </c>
      <c r="E59" s="334" t="str">
        <f>VLOOKUP($C59,Штаб!$B$16:$J$104,7,0)</f>
        <v>✔️</v>
      </c>
      <c r="F59" s="334" t="str">
        <f>VLOOKUP($C59,Штаб!$B$16:$J$104,8,0)</f>
        <v/>
      </c>
      <c r="G59" s="335" t="str">
        <f>VLOOKUP($C59,Штаб!$B$16:$J$104,9,0)</f>
        <v/>
      </c>
      <c r="H59" s="284" t="str">
        <f>VLOOKUP(C59,'РО - регионы'!$B$16:$I$104,8,0)</f>
        <v>0 / 1 / 2 из 3</v>
      </c>
      <c r="I59" s="169"/>
      <c r="J59" s="137"/>
      <c r="K59" s="170"/>
      <c r="L59" s="170"/>
      <c r="M59" s="171"/>
      <c r="N59" s="172">
        <f>VLOOKUP(C59,Спецтехника!$B$16:$J$104,4,0)</f>
        <v>682</v>
      </c>
      <c r="O59" s="173">
        <f>VLOOKUP(C59,Спецтехника!$B$16:$J$104,5,0)</f>
        <v>664</v>
      </c>
      <c r="P59" s="173">
        <f>VLOOKUP(C59,Спецтехника!$B$16:$J$104,6,0)</f>
        <v>18</v>
      </c>
      <c r="Q59" s="196">
        <f>VLOOKUP(C59,Спецтехника!$B$16:$J$104,7,0)</f>
        <v>0.0263929618768328</v>
      </c>
      <c r="R59" s="197"/>
      <c r="S59" s="137"/>
      <c r="T59" s="170"/>
      <c r="U59" s="170"/>
      <c r="V59" s="171"/>
      <c r="W59" s="172">
        <f>VLOOKUP($C59,МНО!$B$16:$AB$104,16,0)</f>
        <v>41954</v>
      </c>
      <c r="X59" s="173">
        <f>VLOOKUP($C59,МНО!$B$16:$AB$104,8,0)</f>
        <v>37469</v>
      </c>
      <c r="Y59" s="173">
        <f>VLOOKUP($C59,МНО!$B$16:$AB$104,11,0)</f>
        <v>4485</v>
      </c>
      <c r="Z59" s="216">
        <f>VLOOKUP($C59,МНО!$B$16:$AB$104,17,0)</f>
        <v>0.106902798302903</v>
      </c>
      <c r="AA59" s="213"/>
      <c r="AB59" s="214">
        <f>VLOOKUP($C59,МНО!$B$16:$AB$104,13,0)</f>
        <v>8.40008572724291</v>
      </c>
      <c r="AC59" s="215">
        <f>VLOOKUP($C59,МНО!$B$16:$AB$104,18,0)</f>
        <v>0.986311827107847</v>
      </c>
      <c r="AD59" s="174">
        <f>VLOOKUP($C59,Контейнеры!$B$16:$AB$104,16,0)</f>
        <v>98886</v>
      </c>
      <c r="AE59" s="175">
        <f>VLOOKUP($C59,Контейнеры!$B$16:$AB$104,8,0)</f>
        <v>90015</v>
      </c>
      <c r="AF59" s="175">
        <f>VLOOKUP($C59,Контейнеры!$B$16:$AB$104,11,0)</f>
        <v>8871</v>
      </c>
      <c r="AG59" s="212">
        <f>VLOOKUP($C59,Контейнеры!$B$16:$AB$104,17,0)</f>
        <v>0.0897093622959772</v>
      </c>
      <c r="AH59" s="213"/>
      <c r="AI59" s="214">
        <f>VLOOKUP($C59,Контейнеры!$B$16:$AB$104,13,0)</f>
        <v>21.3169551672569</v>
      </c>
      <c r="AJ59" s="215">
        <f>VLOOKUP($C59,Контейнеры!$B$16:$AB$104,18,0)</f>
        <v>0.76473136915078</v>
      </c>
      <c r="AK59" s="231"/>
      <c r="AL59" s="170"/>
      <c r="AM59" s="170"/>
      <c r="AN59" s="232"/>
      <c r="AO59" s="249">
        <f>VLOOKUP($C59,Обработка!$B$16:$L$104,6,0)</f>
        <v>0.174</v>
      </c>
      <c r="AP59" s="251">
        <f t="shared" si="4"/>
        <v>-0.369</v>
      </c>
      <c r="AQ59" s="259">
        <f>VLOOKUP($C59,Обработка!$B$16:$L$104,7,0)</f>
        <v>0.41</v>
      </c>
      <c r="AR59" s="262">
        <f t="shared" si="5"/>
        <v>-0.397</v>
      </c>
      <c r="AS59" s="253">
        <f>VLOOKUP($C59,Утилизация!$B$16:$L$104,6,0)</f>
        <v>0.011</v>
      </c>
      <c r="AT59" s="251">
        <f t="shared" si="6"/>
        <v>-0.128</v>
      </c>
      <c r="AU59" s="259">
        <f>VLOOKUP($C59,Утилизация!$B$16:$L$104,7,0)</f>
        <v>0.2</v>
      </c>
      <c r="AV59" s="260">
        <f t="shared" si="7"/>
        <v>-0.086</v>
      </c>
      <c r="AW59" s="283" t="str">
        <f>VLOOKUP(C59,Захоронение!$B$16:$Q$104,16,0)</f>
        <v>765 приказ</v>
      </c>
      <c r="AX59" s="231"/>
      <c r="AY59" s="170"/>
      <c r="AZ59" s="170"/>
      <c r="BA59" s="171"/>
      <c r="BB59" s="280" t="str">
        <f>VLOOKUP(C59,'ДК ИП'!$B$16:$S$104,5,0)</f>
        <v>существенное</v>
      </c>
      <c r="BC59" s="327">
        <f>VLOOKUP(C59,'Радар олд'!$B$3:$E$87,4,0)</f>
        <v>0.128117233188757</v>
      </c>
      <c r="BD59" s="171"/>
      <c r="BI59" s="9">
        <f t="shared" si="8"/>
        <v>1</v>
      </c>
      <c r="BJ59" s="9">
        <f>VLOOKUP(C59,Штаб!$B$16:$C$104,2)</f>
        <v>1</v>
      </c>
      <c r="BK59" s="9">
        <f>VLOOKUP(C59,'РО - регионы'!$B$16:$C$104,2)</f>
        <v>1</v>
      </c>
      <c r="BL59" s="9">
        <f>VLOOKUP(C59,'РО - регионы'!$B$16:$L$104,11)</f>
        <v>2</v>
      </c>
      <c r="BM59" s="9">
        <f>VLOOKUP(C59,Спецтехника!$B$16:$C$104,2)</f>
        <v>0</v>
      </c>
      <c r="BN59" s="9">
        <f>VLOOKUP($C59,МНО!$B$16:$AB$104,6,0)</f>
        <v>0</v>
      </c>
      <c r="BO59" s="9">
        <f>VLOOKUP($C59,МНО!$B$16:$AB$104,4,0)</f>
        <v>0</v>
      </c>
      <c r="BP59" s="9">
        <f>VLOOKUP($C59,МНО!$B$16:$AB$104,5,0)</f>
        <v>0</v>
      </c>
      <c r="BQ59" s="9">
        <f>VLOOKUP($C59,Контейнеры!$B$16:$G$104,6,0)</f>
        <v>0</v>
      </c>
      <c r="BR59" s="9">
        <f>VLOOKUP($C59,Контейнеры!$B$16:$G$104,4,0)</f>
        <v>0</v>
      </c>
      <c r="BS59" s="9">
        <f>VLOOKUP($C59,Контейнеры!$B$16:$G$104,5,0)</f>
        <v>2</v>
      </c>
      <c r="BT59" s="9">
        <f>VLOOKUP($C59,'ДК МНО'!$B$16:$C$104,2,0)</f>
        <v>2</v>
      </c>
      <c r="BU59" s="9">
        <f>VLOOKUP($C59,Обработка!$B$16:$F$104,5,0)</f>
        <v>1</v>
      </c>
      <c r="BV59" s="9">
        <f>VLOOKUP($C59,Обработка!$B$16:$F$104,4,0)</f>
        <v>2</v>
      </c>
      <c r="BW59" s="9">
        <f>VLOOKUP($C59,Утилизация!$B$16:$F$104,5,0)</f>
        <v>1</v>
      </c>
      <c r="BX59" s="9">
        <f>VLOOKUP($C59,Утилизация!$B$16:$F$104,4,0)</f>
        <v>2</v>
      </c>
      <c r="BY59" s="9">
        <f>VLOOKUP($C59,Захоронение!$B$16:$C$104,2,0)</f>
        <v>1</v>
      </c>
      <c r="BZ59" s="9">
        <f>VLOOKUP($C59,'ДК ИП'!$B$16:$C$104,2,0)</f>
        <v>2</v>
      </c>
      <c r="CA59" s="9">
        <f t="shared" si="9"/>
        <v>0.95</v>
      </c>
    </row>
    <row r="60" ht="30" customHeight="1" spans="1:79">
      <c r="A60" s="6" t="s">
        <v>108</v>
      </c>
      <c r="B60" s="331">
        <f t="shared" si="3"/>
        <v>50</v>
      </c>
      <c r="C60" s="332" t="s">
        <v>123</v>
      </c>
      <c r="D60" s="333" t="str">
        <f>VLOOKUP($C60,Штаб!$B$16:$J$104,6,0)</f>
        <v/>
      </c>
      <c r="E60" s="334" t="str">
        <f>VLOOKUP($C60,Штаб!$B$16:$J$104,7,0)</f>
        <v/>
      </c>
      <c r="F60" s="334" t="str">
        <f>VLOOKUP($C60,Штаб!$B$16:$J$104,8,0)</f>
        <v/>
      </c>
      <c r="G60" s="335" t="str">
        <f>VLOOKUP($C60,Штаб!$B$16:$J$104,9,0)</f>
        <v>✔️</v>
      </c>
      <c r="H60" s="284" t="str">
        <f>VLOOKUP(C60,'РО - регионы'!$B$16:$I$104,8,0)</f>
        <v>0 / 0 / 1 из 1</v>
      </c>
      <c r="I60" s="169"/>
      <c r="J60" s="137"/>
      <c r="K60" s="170"/>
      <c r="L60" s="170"/>
      <c r="M60" s="171"/>
      <c r="N60" s="172">
        <f>VLOOKUP(C60,Спецтехника!$B$16:$J$104,4,0)</f>
        <v>631</v>
      </c>
      <c r="O60" s="173">
        <f>VLOOKUP(C60,Спецтехника!$B$16:$J$104,5,0)</f>
        <v>597</v>
      </c>
      <c r="P60" s="173">
        <f>VLOOKUP(C60,Спецтехника!$B$16:$J$104,6,0)</f>
        <v>34</v>
      </c>
      <c r="Q60" s="196">
        <f>VLOOKUP(C60,Спецтехника!$B$16:$J$104,7,0)</f>
        <v>0.0538827258320127</v>
      </c>
      <c r="R60" s="197"/>
      <c r="S60" s="137"/>
      <c r="T60" s="170"/>
      <c r="U60" s="170"/>
      <c r="V60" s="171"/>
      <c r="W60" s="172">
        <f>VLOOKUP($C60,МНО!$B$16:$AB$104,16,0)</f>
        <v>18031</v>
      </c>
      <c r="X60" s="173">
        <f>VLOOKUP($C60,МНО!$B$16:$AB$104,8,0)</f>
        <v>16196</v>
      </c>
      <c r="Y60" s="173">
        <f>VLOOKUP($C60,МНО!$B$16:$AB$104,11,0)</f>
        <v>1835</v>
      </c>
      <c r="Z60" s="216">
        <f>VLOOKUP($C60,МНО!$B$16:$AB$104,17,0)</f>
        <v>0.10176917530919</v>
      </c>
      <c r="AA60" s="213"/>
      <c r="AB60" s="214">
        <f>VLOOKUP($C60,МНО!$B$16:$AB$104,13,0)</f>
        <v>3.61315087978915</v>
      </c>
      <c r="AC60" s="215">
        <f>VLOOKUP($C60,МНО!$B$16:$AB$104,18,0)</f>
        <v>1</v>
      </c>
      <c r="AD60" s="174">
        <f>VLOOKUP($C60,Контейнеры!$B$16:$AB$104,16,0)</f>
        <v>42807</v>
      </c>
      <c r="AE60" s="175">
        <f>VLOOKUP($C60,Контейнеры!$B$16:$AB$104,8,0)</f>
        <v>38649</v>
      </c>
      <c r="AF60" s="175">
        <f>VLOOKUP($C60,Контейнеры!$B$16:$AB$104,11,0)</f>
        <v>4158</v>
      </c>
      <c r="AG60" s="212">
        <f>VLOOKUP($C60,Контейнеры!$B$16:$AB$104,17,0)</f>
        <v>0.0971336463662485</v>
      </c>
      <c r="AH60" s="213"/>
      <c r="AI60" s="214">
        <f>VLOOKUP($C60,Контейнеры!$B$16:$AB$104,13,0)</f>
        <v>13.8550122386121</v>
      </c>
      <c r="AJ60" s="215">
        <f>VLOOKUP($C60,Контейнеры!$B$16:$AB$104,18,0)</f>
        <v>1</v>
      </c>
      <c r="AK60" s="231"/>
      <c r="AL60" s="170"/>
      <c r="AM60" s="170"/>
      <c r="AN60" s="232"/>
      <c r="AO60" s="249">
        <f>VLOOKUP($C60,Обработка!$B$16:$L$104,6,0)</f>
        <v>0.096</v>
      </c>
      <c r="AP60" s="251">
        <f t="shared" si="4"/>
        <v>-0.447</v>
      </c>
      <c r="AQ60" s="259">
        <f>VLOOKUP($C60,Обработка!$B$16:$L$104,7,0)</f>
        <v>0.8</v>
      </c>
      <c r="AR60" s="262">
        <f t="shared" si="5"/>
        <v>-0.00700000000000001</v>
      </c>
      <c r="AS60" s="253">
        <f>VLOOKUP($C60,Утилизация!$B$16:$L$104,6,0)</f>
        <v>0.024</v>
      </c>
      <c r="AT60" s="251">
        <f t="shared" si="6"/>
        <v>-0.115</v>
      </c>
      <c r="AU60" s="250">
        <f>VLOOKUP($C60,Утилизация!$B$16:$L$104,7,0)</f>
        <v>0.432</v>
      </c>
      <c r="AV60" s="256">
        <f t="shared" si="7"/>
        <v>0.146</v>
      </c>
      <c r="AW60" s="279" t="str">
        <f>VLOOKUP(C60,Захоронение!$B$16:$Q$104,16,0)</f>
        <v>765 приказ</v>
      </c>
      <c r="AX60" s="231"/>
      <c r="AY60" s="170"/>
      <c r="AZ60" s="170"/>
      <c r="BA60" s="171"/>
      <c r="BB60" s="280" t="str">
        <f>VLOOKUP(C60,'ДК ИП'!$B$16:$S$104,5,0)</f>
        <v>небольшое</v>
      </c>
      <c r="BC60" s="327">
        <f>VLOOKUP(C60,'Радар олд'!$B$3:$E$87,4,0)</f>
        <v>0.0412255532469246</v>
      </c>
      <c r="BD60" s="171"/>
      <c r="BI60" s="9">
        <f t="shared" si="8"/>
        <v>1</v>
      </c>
      <c r="BJ60" s="9">
        <f>VLOOKUP(C60,Штаб!$B$16:$C$104,2)</f>
        <v>2</v>
      </c>
      <c r="BK60" s="9">
        <f>VLOOKUP(C60,'РО - регионы'!$B$16:$C$104,2)</f>
        <v>0</v>
      </c>
      <c r="BL60" s="9">
        <f>VLOOKUP(C60,'РО - регионы'!$B$16:$L$104,11)</f>
        <v>0</v>
      </c>
      <c r="BM60" s="9">
        <f>VLOOKUP(C60,Спецтехника!$B$16:$C$104,2)</f>
        <v>0</v>
      </c>
      <c r="BN60" s="9">
        <f>VLOOKUP($C60,МНО!$B$16:$AB$104,6,0)</f>
        <v>0</v>
      </c>
      <c r="BO60" s="9">
        <f>VLOOKUP($C60,МНО!$B$16:$AB$104,4,0)</f>
        <v>1</v>
      </c>
      <c r="BP60" s="9">
        <f>VLOOKUP($C60,МНО!$B$16:$AB$104,5,0)</f>
        <v>0</v>
      </c>
      <c r="BQ60" s="9">
        <f>VLOOKUP($C60,Контейнеры!$B$16:$G$104,6,0)</f>
        <v>0</v>
      </c>
      <c r="BR60" s="9">
        <f>VLOOKUP($C60,Контейнеры!$B$16:$G$104,4,0)</f>
        <v>0</v>
      </c>
      <c r="BS60" s="9">
        <f>VLOOKUP($C60,Контейнеры!$B$16:$G$104,5,0)</f>
        <v>0</v>
      </c>
      <c r="BT60" s="9">
        <f>VLOOKUP($C60,'ДК МНО'!$B$16:$C$104,2,0)</f>
        <v>2</v>
      </c>
      <c r="BU60" s="9">
        <f>VLOOKUP($C60,Обработка!$B$16:$F$104,5,0)</f>
        <v>1</v>
      </c>
      <c r="BV60" s="9">
        <f>VLOOKUP($C60,Обработка!$B$16:$F$104,4,0)</f>
        <v>2</v>
      </c>
      <c r="BW60" s="9">
        <f>VLOOKUP($C60,Утилизация!$B$16:$F$104,5,0)</f>
        <v>0</v>
      </c>
      <c r="BX60" s="9">
        <f>VLOOKUP($C60,Утилизация!$B$16:$F$104,4,0)</f>
        <v>2</v>
      </c>
      <c r="BY60" s="9">
        <f>VLOOKUP($C60,Захоронение!$B$16:$C$104,2,0)</f>
        <v>2</v>
      </c>
      <c r="BZ60" s="9">
        <f>VLOOKUP($C60,'ДК ИП'!$B$16:$C$104,2,0)</f>
        <v>0</v>
      </c>
      <c r="CA60" s="9">
        <f t="shared" si="9"/>
        <v>0.8</v>
      </c>
    </row>
    <row r="61" ht="30" customHeight="1" spans="1:79">
      <c r="A61" s="6" t="s">
        <v>74</v>
      </c>
      <c r="B61" s="331">
        <f t="shared" si="3"/>
        <v>51</v>
      </c>
      <c r="C61" s="332" t="s">
        <v>124</v>
      </c>
      <c r="D61" s="333" t="str">
        <f>VLOOKUP($C61,Штаб!$B$16:$J$104,6,0)</f>
        <v>✔️</v>
      </c>
      <c r="E61" s="334" t="str">
        <f>VLOOKUP($C61,Штаб!$B$16:$J$104,7,0)</f>
        <v/>
      </c>
      <c r="F61" s="334" t="str">
        <f>VLOOKUP($C61,Штаб!$B$16:$J$104,8,0)</f>
        <v/>
      </c>
      <c r="G61" s="335" t="str">
        <f>VLOOKUP($C61,Штаб!$B$16:$J$104,9,0)</f>
        <v/>
      </c>
      <c r="H61" s="284" t="str">
        <f>VLOOKUP(C61,'РО - регионы'!$B$16:$I$104,8,0)</f>
        <v>0 / 0 / 4 из 4</v>
      </c>
      <c r="I61" s="169"/>
      <c r="J61" s="137"/>
      <c r="K61" s="170"/>
      <c r="L61" s="170"/>
      <c r="M61" s="171"/>
      <c r="N61" s="172">
        <f>VLOOKUP(C61,Спецтехника!$B$16:$J$104,4,0)</f>
        <v>260</v>
      </c>
      <c r="O61" s="173">
        <f>VLOOKUP(C61,Спецтехника!$B$16:$J$104,5,0)</f>
        <v>239</v>
      </c>
      <c r="P61" s="173">
        <f>VLOOKUP(C61,Спецтехника!$B$16:$J$104,6,0)</f>
        <v>21</v>
      </c>
      <c r="Q61" s="196">
        <f>VLOOKUP(C61,Спецтехника!$B$16:$J$104,7,0)</f>
        <v>0.0807692307692308</v>
      </c>
      <c r="R61" s="197"/>
      <c r="S61" s="137"/>
      <c r="T61" s="170"/>
      <c r="U61" s="170"/>
      <c r="V61" s="171"/>
      <c r="W61" s="172">
        <f>VLOOKUP($C61,МНО!$B$16:$AB$104,16,0)</f>
        <v>11847</v>
      </c>
      <c r="X61" s="173">
        <f>VLOOKUP($C61,МНО!$B$16:$AB$104,8,0)</f>
        <v>11623</v>
      </c>
      <c r="Y61" s="173">
        <f>VLOOKUP($C61,МНО!$B$16:$AB$104,11,0)</f>
        <v>224</v>
      </c>
      <c r="Z61" s="216">
        <f>VLOOKUP($C61,МНО!$B$16:$AB$104,17,0)</f>
        <v>0.0189077403562083</v>
      </c>
      <c r="AA61" s="213"/>
      <c r="AB61" s="214">
        <f>VLOOKUP($C61,МНО!$B$16:$AB$104,13,0)</f>
        <v>7.20807887304801</v>
      </c>
      <c r="AC61" s="215">
        <f>VLOOKUP($C61,МНО!$B$16:$AB$104,18,0)</f>
        <v>1</v>
      </c>
      <c r="AD61" s="174">
        <f>VLOOKUP($C61,Контейнеры!$B$16:$AB$104,16,0)</f>
        <v>19932</v>
      </c>
      <c r="AE61" s="175">
        <f>VLOOKUP($C61,Контейнеры!$B$16:$AB$104,8,0)</f>
        <v>16381</v>
      </c>
      <c r="AF61" s="175">
        <f>VLOOKUP($C61,Контейнеры!$B$16:$AB$104,11,0)</f>
        <v>3551</v>
      </c>
      <c r="AG61" s="212">
        <f>VLOOKUP($C61,Контейнеры!$B$16:$AB$104,17,0)</f>
        <v>0.178155729480233</v>
      </c>
      <c r="AH61" s="213"/>
      <c r="AI61" s="214">
        <f>VLOOKUP($C61,Контейнеры!$B$16:$AB$104,13,0)</f>
        <v>13.2520246935353</v>
      </c>
      <c r="AJ61" s="215">
        <f>VLOOKUP($C61,Контейнеры!$B$16:$AB$104,18,0)</f>
        <v>0.857599078582273</v>
      </c>
      <c r="AK61" s="231"/>
      <c r="AL61" s="170"/>
      <c r="AM61" s="170"/>
      <c r="AN61" s="232"/>
      <c r="AO61" s="249">
        <f>VLOOKUP($C61,Обработка!$B$16:$L$104,6,0)</f>
        <v>0.184</v>
      </c>
      <c r="AP61" s="251">
        <f t="shared" si="4"/>
        <v>-0.359</v>
      </c>
      <c r="AQ61" s="251">
        <f>VLOOKUP($C61,Обработка!$B$16:$L$104,7,0)</f>
        <v>0.182</v>
      </c>
      <c r="AR61" s="252">
        <f t="shared" si="5"/>
        <v>-0.625</v>
      </c>
      <c r="AS61" s="253">
        <f>VLOOKUP($C61,Утилизация!$B$16:$L$104,6,0)</f>
        <v>0.016</v>
      </c>
      <c r="AT61" s="251">
        <f t="shared" si="6"/>
        <v>-0.123</v>
      </c>
      <c r="AU61" s="251">
        <f>VLOOKUP($C61,Утилизация!$B$16:$L$104,7,0)</f>
        <v>0.015</v>
      </c>
      <c r="AV61" s="254">
        <f t="shared" si="7"/>
        <v>-0.271</v>
      </c>
      <c r="AW61" s="283" t="str">
        <f>VLOOKUP(C61,Захоронение!$B$16:$Q$104,16,0)</f>
        <v>перегруз</v>
      </c>
      <c r="AX61" s="231"/>
      <c r="AY61" s="170"/>
      <c r="AZ61" s="170"/>
      <c r="BA61" s="171"/>
      <c r="BB61" s="280" t="str">
        <f>VLOOKUP(C61,'ДК ИП'!$B$16:$S$104,5,0)</f>
        <v>среднее</v>
      </c>
      <c r="BC61" s="327">
        <f>VLOOKUP(C61,'Радар олд'!$B$3:$E$87,4,0)</f>
        <v>0.0606740645879462</v>
      </c>
      <c r="BD61" s="171"/>
      <c r="BI61" s="9">
        <f t="shared" si="8"/>
        <v>1</v>
      </c>
      <c r="BJ61" s="9">
        <f>VLOOKUP(C61,Штаб!$B$16:$C$104,2)</f>
        <v>0</v>
      </c>
      <c r="BK61" s="9">
        <f>VLOOKUP(C61,'РО - регионы'!$B$16:$C$104,2)</f>
        <v>0</v>
      </c>
      <c r="BL61" s="9">
        <f>VLOOKUP(C61,'РО - регионы'!$B$16:$L$104,11)</f>
        <v>0</v>
      </c>
      <c r="BM61" s="9">
        <f>VLOOKUP(C61,Спецтехника!$B$16:$C$104,2)</f>
        <v>0</v>
      </c>
      <c r="BN61" s="9">
        <f>VLOOKUP($C61,МНО!$B$16:$AB$104,6,0)</f>
        <v>0</v>
      </c>
      <c r="BO61" s="9">
        <f>VLOOKUP($C61,МНО!$B$16:$AB$104,4,0)</f>
        <v>0</v>
      </c>
      <c r="BP61" s="9">
        <f>VLOOKUP($C61,МНО!$B$16:$AB$104,5,0)</f>
        <v>0</v>
      </c>
      <c r="BQ61" s="9">
        <f>VLOOKUP($C61,Контейнеры!$B$16:$G$104,6,0)</f>
        <v>1</v>
      </c>
      <c r="BR61" s="9">
        <f>VLOOKUP($C61,Контейнеры!$B$16:$G$104,4,0)</f>
        <v>0</v>
      </c>
      <c r="BS61" s="9">
        <f>VLOOKUP($C61,Контейнеры!$B$16:$G$104,5,0)</f>
        <v>1</v>
      </c>
      <c r="BT61" s="9">
        <f>VLOOKUP($C61,'ДК МНО'!$B$16:$C$104,2,0)</f>
        <v>2</v>
      </c>
      <c r="BU61" s="9">
        <f>VLOOKUP($C61,Обработка!$B$16:$F$104,5,0)</f>
        <v>2</v>
      </c>
      <c r="BV61" s="9">
        <f>VLOOKUP($C61,Обработка!$B$16:$F$104,4,0)</f>
        <v>2</v>
      </c>
      <c r="BW61" s="9">
        <f>VLOOKUP($C61,Утилизация!$B$16:$F$104,5,0)</f>
        <v>2</v>
      </c>
      <c r="BX61" s="9">
        <f>VLOOKUP($C61,Утилизация!$B$16:$F$104,4,0)</f>
        <v>2</v>
      </c>
      <c r="BY61" s="9">
        <f>VLOOKUP($C61,Захоронение!$B$16:$C$104,2,0)</f>
        <v>1</v>
      </c>
      <c r="BZ61" s="9">
        <f>VLOOKUP($C61,'ДК ИП'!$B$16:$C$104,2,0)</f>
        <v>1</v>
      </c>
      <c r="CA61" s="9">
        <f t="shared" si="9"/>
        <v>0.8</v>
      </c>
    </row>
    <row r="62" ht="30" customHeight="1" spans="1:79">
      <c r="A62" s="6" t="s">
        <v>67</v>
      </c>
      <c r="B62" s="331">
        <f t="shared" si="3"/>
        <v>52</v>
      </c>
      <c r="C62" s="332" t="s">
        <v>125</v>
      </c>
      <c r="D62" s="333" t="str">
        <f>VLOOKUP($C62,Штаб!$B$16:$J$104,6,0)</f>
        <v>✔️</v>
      </c>
      <c r="E62" s="334" t="str">
        <f>VLOOKUP($C62,Штаб!$B$16:$J$104,7,0)</f>
        <v/>
      </c>
      <c r="F62" s="334" t="str">
        <f>VLOOKUP($C62,Штаб!$B$16:$J$104,8,0)</f>
        <v/>
      </c>
      <c r="G62" s="335" t="str">
        <f>VLOOKUP($C62,Штаб!$B$16:$J$104,9,0)</f>
        <v/>
      </c>
      <c r="H62" s="284" t="str">
        <f>VLOOKUP(C62,'РО - регионы'!$B$16:$I$104,8,0)</f>
        <v>0 / 0 / 1 из 1</v>
      </c>
      <c r="I62" s="169"/>
      <c r="J62" s="137"/>
      <c r="K62" s="170"/>
      <c r="L62" s="170"/>
      <c r="M62" s="171"/>
      <c r="N62" s="172">
        <f>VLOOKUP(C62,Спецтехника!$B$16:$J$104,4,0)</f>
        <v>227</v>
      </c>
      <c r="O62" s="173">
        <f>VLOOKUP(C62,Спецтехника!$B$16:$J$104,5,0)</f>
        <v>215</v>
      </c>
      <c r="P62" s="173">
        <f>VLOOKUP(C62,Спецтехника!$B$16:$J$104,6,0)</f>
        <v>12</v>
      </c>
      <c r="Q62" s="196">
        <f>VLOOKUP(C62,Спецтехника!$B$16:$J$104,7,0)</f>
        <v>0.052863436123348</v>
      </c>
      <c r="R62" s="197"/>
      <c r="S62" s="137"/>
      <c r="T62" s="170"/>
      <c r="U62" s="170"/>
      <c r="V62" s="171"/>
      <c r="W62" s="176">
        <f>VLOOKUP($C62,МНО!$B$16:$AB$104,16,0)</f>
        <v>17308</v>
      </c>
      <c r="X62" s="177">
        <f>VLOOKUP($C62,МНО!$B$16:$AB$104,8,0)</f>
        <v>9197</v>
      </c>
      <c r="Y62" s="177">
        <f>VLOOKUP($C62,МНО!$B$16:$AB$104,11,0)</f>
        <v>8111</v>
      </c>
      <c r="Z62" s="217">
        <f>VLOOKUP($C62,МНО!$B$16:$AB$104,17,0)</f>
        <v>0.468627224404899</v>
      </c>
      <c r="AA62" s="213"/>
      <c r="AB62" s="214">
        <f>VLOOKUP($C62,МНО!$B$16:$AB$104,13,0)</f>
        <v>5.84549489068193</v>
      </c>
      <c r="AC62" s="215">
        <f>VLOOKUP($C62,МНО!$B$16:$AB$104,18,0)</f>
        <v>1</v>
      </c>
      <c r="AD62" s="176">
        <f>VLOOKUP($C62,Контейнеры!$B$16:$AB$104,16,0)</f>
        <v>24942</v>
      </c>
      <c r="AE62" s="177">
        <f>VLOOKUP($C62,Контейнеры!$B$16:$AB$104,8,0)</f>
        <v>10692</v>
      </c>
      <c r="AF62" s="177">
        <f>VLOOKUP($C62,Контейнеры!$B$16:$AB$104,11,0)</f>
        <v>14250</v>
      </c>
      <c r="AG62" s="217">
        <f>VLOOKUP($C62,Контейнеры!$B$16:$AB$104,17,0)</f>
        <v>0.571325475102237</v>
      </c>
      <c r="AH62" s="213"/>
      <c r="AI62" s="214">
        <f>VLOOKUP($C62,Контейнеры!$B$16:$AB$104,13,0)</f>
        <v>11.1806853973473</v>
      </c>
      <c r="AJ62" s="215">
        <f>VLOOKUP($C62,Контейнеры!$B$16:$AB$104,18,0)</f>
        <v>0.760725720384205</v>
      </c>
      <c r="AK62" s="231"/>
      <c r="AL62" s="170"/>
      <c r="AM62" s="170"/>
      <c r="AN62" s="232"/>
      <c r="AO62" s="257">
        <f>VLOOKUP($C62,Обработка!$B$16:$L$104,6,0)</f>
        <v>0.809</v>
      </c>
      <c r="AP62" s="250">
        <f t="shared" si="4"/>
        <v>0.266</v>
      </c>
      <c r="AQ62" s="250">
        <f>VLOOKUP($C62,Обработка!$B$16:$L$104,7,0)</f>
        <v>1</v>
      </c>
      <c r="AR62" s="255">
        <f t="shared" si="5"/>
        <v>0.193</v>
      </c>
      <c r="AS62" s="253">
        <f>VLOOKUP($C62,Утилизация!$B$16:$L$104,6,0)</f>
        <v>0.023</v>
      </c>
      <c r="AT62" s="251">
        <f t="shared" si="6"/>
        <v>-0.116</v>
      </c>
      <c r="AU62" s="250">
        <f>VLOOKUP($C62,Утилизация!$B$16:$L$104,7,0)</f>
        <v>0.5</v>
      </c>
      <c r="AV62" s="256">
        <f t="shared" si="7"/>
        <v>0.214</v>
      </c>
      <c r="AW62" s="279">
        <f>VLOOKUP(C62,Захоронение!$B$16:$Q$104,16,0)</f>
        <v>0</v>
      </c>
      <c r="AX62" s="231"/>
      <c r="AY62" s="170"/>
      <c r="AZ62" s="170"/>
      <c r="BA62" s="171"/>
      <c r="BB62" s="280" t="str">
        <f>VLOOKUP(C62,'ДК ИП'!$B$16:$S$104,5,0)</f>
        <v>небольшое</v>
      </c>
      <c r="BC62" s="327">
        <f>VLOOKUP(C62,'Радар олд'!$B$3:$E$87,4,0)</f>
        <v>0.113981921839773</v>
      </c>
      <c r="BD62" s="171"/>
      <c r="BI62" s="9">
        <f t="shared" si="8"/>
        <v>1</v>
      </c>
      <c r="BJ62" s="9">
        <f>VLOOKUP(C62,Штаб!$B$16:$C$104,2)</f>
        <v>0</v>
      </c>
      <c r="BK62" s="9">
        <f>VLOOKUP(C62,'РО - регионы'!$B$16:$C$104,2)</f>
        <v>0</v>
      </c>
      <c r="BL62" s="9">
        <f>VLOOKUP(C62,'РО - регионы'!$B$16:$L$104,11)</f>
        <v>0</v>
      </c>
      <c r="BM62" s="9">
        <f>VLOOKUP(C62,Спецтехника!$B$16:$C$104,2)</f>
        <v>0</v>
      </c>
      <c r="BN62" s="9">
        <f>VLOOKUP($C62,МНО!$B$16:$AB$104,6,0)</f>
        <v>2</v>
      </c>
      <c r="BO62" s="9">
        <f>VLOOKUP($C62,МНО!$B$16:$AB$104,4,0)</f>
        <v>1</v>
      </c>
      <c r="BP62" s="9">
        <f>VLOOKUP($C62,МНО!$B$16:$AB$104,5,0)</f>
        <v>0</v>
      </c>
      <c r="BQ62" s="9">
        <f>VLOOKUP($C62,Контейнеры!$B$16:$G$104,6,0)</f>
        <v>2</v>
      </c>
      <c r="BR62" s="9">
        <f>VLOOKUP($C62,Контейнеры!$B$16:$G$104,4,0)</f>
        <v>0</v>
      </c>
      <c r="BS62" s="9">
        <f>VLOOKUP($C62,Контейнеры!$B$16:$G$104,5,0)</f>
        <v>2</v>
      </c>
      <c r="BT62" s="9">
        <f>VLOOKUP($C62,'ДК МНО'!$B$16:$C$104,2,0)</f>
        <v>2</v>
      </c>
      <c r="BU62" s="9">
        <f>VLOOKUP($C62,Обработка!$B$16:$F$104,5,0)</f>
        <v>0</v>
      </c>
      <c r="BV62" s="9">
        <f>VLOOKUP($C62,Обработка!$B$16:$F$104,4,0)</f>
        <v>0</v>
      </c>
      <c r="BW62" s="9">
        <f>VLOOKUP($C62,Утилизация!$B$16:$F$104,5,0)</f>
        <v>0</v>
      </c>
      <c r="BX62" s="9">
        <f>VLOOKUP($C62,Утилизация!$B$16:$F$104,4,0)</f>
        <v>2</v>
      </c>
      <c r="BY62" s="9">
        <f>VLOOKUP($C62,Захоронение!$B$16:$C$104,2,0)</f>
        <v>2</v>
      </c>
      <c r="BZ62" s="9">
        <f>VLOOKUP($C62,'ДК ИП'!$B$16:$C$104,2,0)</f>
        <v>0</v>
      </c>
      <c r="CA62" s="9">
        <f t="shared" si="9"/>
        <v>0.85</v>
      </c>
    </row>
    <row r="63" ht="30" customHeight="1" spans="1:79">
      <c r="A63" s="6" t="s">
        <v>104</v>
      </c>
      <c r="B63" s="331">
        <f t="shared" si="3"/>
        <v>53</v>
      </c>
      <c r="C63" s="332" t="s">
        <v>126</v>
      </c>
      <c r="D63" s="333" t="str">
        <f>VLOOKUP($C63,Штаб!$B$16:$J$104,6,0)</f>
        <v/>
      </c>
      <c r="E63" s="334" t="str">
        <f>VLOOKUP($C63,Штаб!$B$16:$J$104,7,0)</f>
        <v/>
      </c>
      <c r="F63" s="334" t="str">
        <f>VLOOKUP($C63,Штаб!$B$16:$J$104,8,0)</f>
        <v>✔️</v>
      </c>
      <c r="G63" s="335" t="str">
        <f>VLOOKUP($C63,Штаб!$B$16:$J$104,9,0)</f>
        <v/>
      </c>
      <c r="H63" s="283" t="str">
        <f>VLOOKUP(C63,'РО - регионы'!$B$16:$I$104,8,0)</f>
        <v>0 / 3 / 0 из 3</v>
      </c>
      <c r="I63" s="169"/>
      <c r="J63" s="137"/>
      <c r="K63" s="170"/>
      <c r="L63" s="170"/>
      <c r="M63" s="171"/>
      <c r="N63" s="174">
        <f>VLOOKUP(C63,Спецтехника!$B$16:$J$104,4,0)</f>
        <v>65</v>
      </c>
      <c r="O63" s="175">
        <f>VLOOKUP(C63,Спецтехника!$B$16:$J$104,5,0)</f>
        <v>56</v>
      </c>
      <c r="P63" s="175">
        <f>VLOOKUP(C63,Спецтехника!$B$16:$J$104,6,0)</f>
        <v>9</v>
      </c>
      <c r="Q63" s="198">
        <f>VLOOKUP(C63,Спецтехника!$B$16:$J$104,7,0)</f>
        <v>0.138461538461538</v>
      </c>
      <c r="R63" s="197"/>
      <c r="S63" s="137"/>
      <c r="T63" s="170"/>
      <c r="U63" s="170"/>
      <c r="V63" s="171"/>
      <c r="W63" s="176">
        <f>VLOOKUP($C63,МНО!$B$16:$AB$104,16,0)</f>
        <v>2337</v>
      </c>
      <c r="X63" s="177">
        <f>VLOOKUP($C63,МНО!$B$16:$AB$104,8,0)</f>
        <v>2337</v>
      </c>
      <c r="Y63" s="177">
        <f>VLOOKUP($C63,МНО!$B$16:$AB$104,11,0)</f>
        <v>0</v>
      </c>
      <c r="Z63" s="217">
        <f>VLOOKUP($C63,МНО!$B$16:$AB$104,17,0)</f>
        <v>0</v>
      </c>
      <c r="AA63" s="213"/>
      <c r="AB63" s="214">
        <f>VLOOKUP($C63,МНО!$B$16:$AB$104,13,0)</f>
        <v>2.00781036021311</v>
      </c>
      <c r="AC63" s="215">
        <f>VLOOKUP($C63,МНО!$B$16:$AB$104,18,0)</f>
        <v>0.571114369501466</v>
      </c>
      <c r="AD63" s="176">
        <f>VLOOKUP($C63,Контейнеры!$B$16:$AB$104,16,0)</f>
        <v>3147</v>
      </c>
      <c r="AE63" s="177">
        <f>VLOOKUP($C63,Контейнеры!$B$16:$AB$104,8,0)</f>
        <v>3147</v>
      </c>
      <c r="AF63" s="177">
        <f>VLOOKUP($C63,Контейнеры!$B$16:$AB$104,11,0)</f>
        <v>0</v>
      </c>
      <c r="AG63" s="217">
        <f>VLOOKUP($C63,Контейнеры!$B$16:$AB$104,17,0)</f>
        <v>0</v>
      </c>
      <c r="AH63" s="213"/>
      <c r="AI63" s="214">
        <f>VLOOKUP($C63,Контейнеры!$B$16:$AB$104,13,0)</f>
        <v>3.47556611858671</v>
      </c>
      <c r="AJ63" s="215">
        <f>VLOOKUP($C63,Контейнеры!$B$16:$AB$104,18,0)</f>
        <v>0.405384516295247</v>
      </c>
      <c r="AK63" s="231"/>
      <c r="AL63" s="170"/>
      <c r="AM63" s="170"/>
      <c r="AN63" s="232"/>
      <c r="AO63" s="261">
        <f>VLOOKUP($C63,Обработка!$B$16:$L$104,6,0)</f>
        <v>0.408</v>
      </c>
      <c r="AP63" s="259">
        <f t="shared" si="4"/>
        <v>-0.135</v>
      </c>
      <c r="AQ63" s="251">
        <f>VLOOKUP($C63,Обработка!$B$16:$L$104,7,0)</f>
        <v>0.39</v>
      </c>
      <c r="AR63" s="252">
        <f t="shared" si="5"/>
        <v>-0.417</v>
      </c>
      <c r="AS63" s="253">
        <f>VLOOKUP($C63,Утилизация!$B$16:$L$104,6,0)</f>
        <v>0.052</v>
      </c>
      <c r="AT63" s="251">
        <f t="shared" si="6"/>
        <v>-0.087</v>
      </c>
      <c r="AU63" s="251">
        <f>VLOOKUP($C63,Утилизация!$B$16:$L$104,7,0)</f>
        <v>0.05</v>
      </c>
      <c r="AV63" s="254">
        <f t="shared" si="7"/>
        <v>-0.236</v>
      </c>
      <c r="AW63" s="284" t="str">
        <f>VLOOKUP(C63,Захоронение!$B$16:$Q$104,16,0)</f>
        <v/>
      </c>
      <c r="AX63" s="231"/>
      <c r="AY63" s="170"/>
      <c r="AZ63" s="170"/>
      <c r="BA63" s="171"/>
      <c r="BB63" s="280" t="str">
        <f>VLOOKUP(C63,'ДК ИП'!$B$16:$S$104,5,0)</f>
        <v>небольшое</v>
      </c>
      <c r="BC63" s="327">
        <f>VLOOKUP(C63,'Радар олд'!$B$3:$E$87,4,0)</f>
        <v>0.0209837166358905</v>
      </c>
      <c r="BD63" s="171"/>
      <c r="BI63" s="9">
        <f t="shared" si="8"/>
        <v>1</v>
      </c>
      <c r="BJ63" s="9">
        <f>VLOOKUP(C63,Штаб!$B$16:$C$104,2)</f>
        <v>1</v>
      </c>
      <c r="BK63" s="9">
        <f>VLOOKUP(C63,'РО - регионы'!$B$16:$C$104,2)</f>
        <v>1</v>
      </c>
      <c r="BL63" s="9">
        <f>VLOOKUP(C63,'РО - регионы'!$B$16:$L$104,11)</f>
        <v>2</v>
      </c>
      <c r="BM63" s="9">
        <f>VLOOKUP(C63,Спецтехника!$B$16:$C$104,2)</f>
        <v>1</v>
      </c>
      <c r="BN63" s="9">
        <f>VLOOKUP($C63,МНО!$B$16:$AB$104,6,0)</f>
        <v>2</v>
      </c>
      <c r="BO63" s="9">
        <f>VLOOKUP($C63,МНО!$B$16:$AB$104,4,0)</f>
        <v>2</v>
      </c>
      <c r="BP63" s="9">
        <f>VLOOKUP($C63,МНО!$B$16:$AB$104,5,0)</f>
        <v>2</v>
      </c>
      <c r="BQ63" s="9">
        <f>VLOOKUP($C63,Контейнеры!$B$16:$G$104,6,0)</f>
        <v>2</v>
      </c>
      <c r="BR63" s="9">
        <f>VLOOKUP($C63,Контейнеры!$B$16:$G$104,4,0)</f>
        <v>0</v>
      </c>
      <c r="BS63" s="9">
        <f>VLOOKUP($C63,Контейнеры!$B$16:$G$104,5,0)</f>
        <v>2</v>
      </c>
      <c r="BT63" s="9">
        <f>VLOOKUP($C63,'ДК МНО'!$B$16:$C$104,2,0)</f>
        <v>2</v>
      </c>
      <c r="BU63" s="9">
        <f>VLOOKUP($C63,Обработка!$B$16:$F$104,5,0)</f>
        <v>2</v>
      </c>
      <c r="BV63" s="9">
        <f>VLOOKUP($C63,Обработка!$B$16:$F$104,4,0)</f>
        <v>1</v>
      </c>
      <c r="BW63" s="9">
        <f>VLOOKUP($C63,Утилизация!$B$16:$F$104,5,0)</f>
        <v>2</v>
      </c>
      <c r="BX63" s="9">
        <f>VLOOKUP($C63,Утилизация!$B$16:$F$104,4,0)</f>
        <v>2</v>
      </c>
      <c r="BY63" s="9">
        <f>VLOOKUP($C63,Захоронение!$B$16:$C$104,2,0)</f>
        <v>0</v>
      </c>
      <c r="BZ63" s="9">
        <f>VLOOKUP($C63,'ДК ИП'!$B$16:$C$104,2,0)</f>
        <v>0</v>
      </c>
      <c r="CA63" s="9">
        <f t="shared" si="9"/>
        <v>0.9</v>
      </c>
    </row>
    <row r="64" ht="30" customHeight="1" spans="1:79">
      <c r="A64" s="6" t="s">
        <v>70</v>
      </c>
      <c r="B64" s="331">
        <f t="shared" si="3"/>
        <v>54</v>
      </c>
      <c r="C64" s="332" t="s">
        <v>127</v>
      </c>
      <c r="D64" s="333" t="str">
        <f>VLOOKUP($C64,Штаб!$B$16:$J$104,6,0)</f>
        <v/>
      </c>
      <c r="E64" s="334" t="str">
        <f>VLOOKUP($C64,Штаб!$B$16:$J$104,7,0)</f>
        <v/>
      </c>
      <c r="F64" s="334" t="str">
        <f>VLOOKUP($C64,Штаб!$B$16:$J$104,8,0)</f>
        <v/>
      </c>
      <c r="G64" s="335" t="str">
        <f>VLOOKUP($C64,Штаб!$B$16:$J$104,9,0)</f>
        <v>✔️</v>
      </c>
      <c r="H64" s="284" t="str">
        <f>VLOOKUP(C64,'РО - регионы'!$B$16:$I$104,8,0)</f>
        <v>0 / 0 / 2 из 2</v>
      </c>
      <c r="I64" s="169"/>
      <c r="J64" s="137"/>
      <c r="K64" s="170"/>
      <c r="L64" s="170"/>
      <c r="M64" s="171"/>
      <c r="N64" s="174">
        <f>VLOOKUP(C64,Спецтехника!$B$16:$J$104,4,0)</f>
        <v>41</v>
      </c>
      <c r="O64" s="175">
        <f>VLOOKUP(C64,Спецтехника!$B$16:$J$104,5,0)</f>
        <v>37</v>
      </c>
      <c r="P64" s="175">
        <f>VLOOKUP(C64,Спецтехника!$B$16:$J$104,6,0)</f>
        <v>4</v>
      </c>
      <c r="Q64" s="198">
        <f>VLOOKUP(C64,Спецтехника!$B$16:$J$104,7,0)</f>
        <v>0.0975609756097561</v>
      </c>
      <c r="R64" s="197"/>
      <c r="S64" s="137"/>
      <c r="T64" s="170"/>
      <c r="U64" s="170"/>
      <c r="V64" s="171"/>
      <c r="W64" s="172">
        <f>VLOOKUP($C64,МНО!$B$16:$AB$104,16,0)</f>
        <v>904</v>
      </c>
      <c r="X64" s="173">
        <f>VLOOKUP($C64,МНО!$B$16:$AB$104,8,0)</f>
        <v>826</v>
      </c>
      <c r="Y64" s="173">
        <f>VLOOKUP($C64,МНО!$B$16:$AB$104,11,0)</f>
        <v>78</v>
      </c>
      <c r="Z64" s="216">
        <f>VLOOKUP($C64,МНО!$B$16:$AB$104,17,0)</f>
        <v>0.086283185840708</v>
      </c>
      <c r="AA64" s="213"/>
      <c r="AB64" s="214">
        <f>VLOOKUP($C64,МНО!$B$16:$AB$104,13,0)</f>
        <v>18.662372110648</v>
      </c>
      <c r="AC64" s="215">
        <f>VLOOKUP($C64,МНО!$B$16:$AB$104,18,0)</f>
        <v>1</v>
      </c>
      <c r="AD64" s="172">
        <f>VLOOKUP($C64,Контейнеры!$B$16:$AB$104,16,0)</f>
        <v>1592</v>
      </c>
      <c r="AE64" s="173">
        <f>VLOOKUP($C64,Контейнеры!$B$16:$AB$104,8,0)</f>
        <v>1580</v>
      </c>
      <c r="AF64" s="173">
        <f>VLOOKUP($C64,Контейнеры!$B$16:$AB$104,11,0)</f>
        <v>12</v>
      </c>
      <c r="AG64" s="216">
        <f>VLOOKUP($C64,Контейнеры!$B$16:$AB$104,17,0)</f>
        <v>0.00753768844221105</v>
      </c>
      <c r="AH64" s="213"/>
      <c r="AI64" s="214">
        <f>VLOOKUP($C64,Контейнеры!$B$16:$AB$104,13,0)</f>
        <v>37.4194770746495</v>
      </c>
      <c r="AJ64" s="215">
        <f>VLOOKUP($C64,Контейнеры!$B$16:$AB$104,18,0)</f>
        <v>1</v>
      </c>
      <c r="AK64" s="231"/>
      <c r="AL64" s="170"/>
      <c r="AM64" s="170"/>
      <c r="AN64" s="232"/>
      <c r="AO64" s="249">
        <f>VLOOKUP($C64,Обработка!$B$16:$L$104,6,0)</f>
        <v>0.128</v>
      </c>
      <c r="AP64" s="251">
        <f t="shared" si="4"/>
        <v>-0.415</v>
      </c>
      <c r="AQ64" s="251">
        <f>VLOOKUP($C64,Обработка!$B$16:$L$104,7,0)</f>
        <v>0.1</v>
      </c>
      <c r="AR64" s="252">
        <f t="shared" si="5"/>
        <v>-0.707</v>
      </c>
      <c r="AS64" s="258">
        <f>VLOOKUP($C64,Утилизация!$B$16:$L$104,6,0)</f>
        <v>0.091</v>
      </c>
      <c r="AT64" s="259">
        <f t="shared" si="6"/>
        <v>-0.048</v>
      </c>
      <c r="AU64" s="251">
        <f>VLOOKUP($C64,Утилизация!$B$16:$L$104,7,0)</f>
        <v>0.07</v>
      </c>
      <c r="AV64" s="254">
        <f t="shared" si="7"/>
        <v>-0.216</v>
      </c>
      <c r="AW64" s="279" t="str">
        <f>VLOOKUP(C64,Захоронение!$B$16:$Q$104,16,0)</f>
        <v>белые пятна</v>
      </c>
      <c r="AX64" s="231"/>
      <c r="AY64" s="170"/>
      <c r="AZ64" s="170"/>
      <c r="BA64" s="171"/>
      <c r="BB64" s="280" t="str">
        <f>VLOOKUP(C64,'ДК ИП'!$B$16:$S$104,5,0)</f>
        <v>нет</v>
      </c>
      <c r="BC64" s="327" t="e">
        <f>VLOOKUP(C64,'Радар олд'!$B$3:$E$87,4,0)</f>
        <v>#N/A</v>
      </c>
      <c r="BD64" s="171"/>
      <c r="BI64" s="9">
        <f t="shared" si="8"/>
        <v>1</v>
      </c>
      <c r="BJ64" s="9">
        <f>VLOOKUP(C64,Штаб!$B$16:$C$104,2)</f>
        <v>2</v>
      </c>
      <c r="BK64" s="9">
        <f>VLOOKUP(C64,'РО - регионы'!$B$16:$C$104,2)</f>
        <v>0</v>
      </c>
      <c r="BL64" s="9">
        <f>VLOOKUP(C64,'РО - регионы'!$B$16:$L$104,11)</f>
        <v>0</v>
      </c>
      <c r="BM64" s="9">
        <f>VLOOKUP(C64,Спецтехника!$B$16:$C$104,2)</f>
        <v>1</v>
      </c>
      <c r="BN64" s="9">
        <f>VLOOKUP($C64,МНО!$B$16:$AB$104,6,0)</f>
        <v>0</v>
      </c>
      <c r="BO64" s="9">
        <f>VLOOKUP($C64,МНО!$B$16:$AB$104,4,0)</f>
        <v>0</v>
      </c>
      <c r="BP64" s="9">
        <f>VLOOKUP($C64,МНО!$B$16:$AB$104,5,0)</f>
        <v>0</v>
      </c>
      <c r="BQ64" s="9">
        <f>VLOOKUP($C64,Контейнеры!$B$16:$G$104,6,0)</f>
        <v>0</v>
      </c>
      <c r="BR64" s="9">
        <f>VLOOKUP($C64,Контейнеры!$B$16:$G$104,4,0)</f>
        <v>0</v>
      </c>
      <c r="BS64" s="9">
        <f>VLOOKUP($C64,Контейнеры!$B$16:$G$104,5,0)</f>
        <v>0</v>
      </c>
      <c r="BT64" s="9">
        <f>VLOOKUP($C64,'ДК МНО'!$B$16:$C$104,2,0)</f>
        <v>2</v>
      </c>
      <c r="BU64" s="9">
        <f>VLOOKUP($C64,Обработка!$B$16:$F$104,5,0)</f>
        <v>2</v>
      </c>
      <c r="BV64" s="9">
        <f>VLOOKUP($C64,Обработка!$B$16:$F$104,4,0)</f>
        <v>2</v>
      </c>
      <c r="BW64" s="9">
        <f>VLOOKUP($C64,Утилизация!$B$16:$F$104,5,0)</f>
        <v>2</v>
      </c>
      <c r="BX64" s="9">
        <f>VLOOKUP($C64,Утилизация!$B$16:$F$104,4,0)</f>
        <v>1</v>
      </c>
      <c r="BY64" s="9">
        <f>VLOOKUP($C64,Захоронение!$B$16:$C$104,2,0)</f>
        <v>2</v>
      </c>
      <c r="BZ64" s="9">
        <f>VLOOKUP($C64,'ДК ИП'!$B$16:$C$104,2,0)</f>
        <v>0</v>
      </c>
      <c r="CA64" s="9">
        <f t="shared" si="9"/>
        <v>0.9</v>
      </c>
    </row>
    <row r="65" ht="30" customHeight="1" spans="1:79">
      <c r="A65" s="6" t="s">
        <v>74</v>
      </c>
      <c r="B65" s="331">
        <f t="shared" si="3"/>
        <v>55</v>
      </c>
      <c r="C65" s="332" t="s">
        <v>128</v>
      </c>
      <c r="D65" s="333" t="str">
        <f>VLOOKUP($C65,Штаб!$B$16:$J$104,6,0)</f>
        <v>✔️</v>
      </c>
      <c r="E65" s="334" t="str">
        <f>VLOOKUP($C65,Штаб!$B$16:$J$104,7,0)</f>
        <v/>
      </c>
      <c r="F65" s="334" t="str">
        <f>VLOOKUP($C65,Штаб!$B$16:$J$104,8,0)</f>
        <v/>
      </c>
      <c r="G65" s="335" t="str">
        <f>VLOOKUP($C65,Штаб!$B$16:$J$104,9,0)</f>
        <v/>
      </c>
      <c r="H65" s="283" t="str">
        <f>VLOOKUP(C65,'РО - регионы'!$B$16:$I$104,8,0)</f>
        <v>0 / 1 / 4 из 5</v>
      </c>
      <c r="I65" s="169"/>
      <c r="J65" s="137"/>
      <c r="K65" s="170"/>
      <c r="L65" s="170"/>
      <c r="M65" s="171"/>
      <c r="N65" s="172">
        <f>VLOOKUP(C65,Спецтехника!$B$16:$J$104,4,0)</f>
        <v>151</v>
      </c>
      <c r="O65" s="173">
        <f>VLOOKUP(C65,Спецтехника!$B$16:$J$104,5,0)</f>
        <v>140</v>
      </c>
      <c r="P65" s="173">
        <f>VLOOKUP(C65,Спецтехника!$B$16:$J$104,6,0)</f>
        <v>11</v>
      </c>
      <c r="Q65" s="196">
        <f>VLOOKUP(C65,Спецтехника!$B$16:$J$104,7,0)</f>
        <v>0.0728476821192053</v>
      </c>
      <c r="R65" s="197"/>
      <c r="S65" s="137"/>
      <c r="T65" s="170"/>
      <c r="U65" s="170"/>
      <c r="V65" s="171"/>
      <c r="W65" s="172">
        <f>VLOOKUP($C65,МНО!$B$16:$AB$104,16,0)</f>
        <v>10527</v>
      </c>
      <c r="X65" s="173">
        <f>VLOOKUP($C65,МНО!$B$16:$AB$104,8,0)</f>
        <v>10477</v>
      </c>
      <c r="Y65" s="173">
        <f>VLOOKUP($C65,МНО!$B$16:$AB$104,11,0)</f>
        <v>50</v>
      </c>
      <c r="Z65" s="216">
        <f>VLOOKUP($C65,МНО!$B$16:$AB$104,17,0)</f>
        <v>0.00474969127006745</v>
      </c>
      <c r="AA65" s="213"/>
      <c r="AB65" s="214">
        <f>VLOOKUP($C65,МНО!$B$16:$AB$104,13,0)</f>
        <v>7.91195635676537</v>
      </c>
      <c r="AC65" s="215">
        <f>VLOOKUP($C65,МНО!$B$16:$AB$104,18,0)</f>
        <v>0.832763691280502</v>
      </c>
      <c r="AD65" s="172">
        <f>VLOOKUP($C65,Контейнеры!$B$16:$AB$104,16,0)</f>
        <v>15247</v>
      </c>
      <c r="AE65" s="173">
        <f>VLOOKUP($C65,Контейнеры!$B$16:$AB$104,8,0)</f>
        <v>15166</v>
      </c>
      <c r="AF65" s="173">
        <f>VLOOKUP($C65,Контейнеры!$B$16:$AB$104,11,0)</f>
        <v>81</v>
      </c>
      <c r="AG65" s="216">
        <f>VLOOKUP($C65,Контейнеры!$B$16:$AB$104,17,0)</f>
        <v>0.00531252049583525</v>
      </c>
      <c r="AH65" s="213"/>
      <c r="AI65" s="214">
        <f>VLOOKUP($C65,Контейнеры!$B$16:$AB$104,13,0)</f>
        <v>12.9316445852682</v>
      </c>
      <c r="AJ65" s="215">
        <f>VLOOKUP($C65,Контейнеры!$B$16:$AB$104,18,0)</f>
        <v>0.785111559766009</v>
      </c>
      <c r="AK65" s="231"/>
      <c r="AL65" s="170"/>
      <c r="AM65" s="170"/>
      <c r="AN65" s="232"/>
      <c r="AO65" s="257">
        <f>VLOOKUP($C65,Обработка!$B$16:$L$104,6,0)</f>
        <v>0.863</v>
      </c>
      <c r="AP65" s="250">
        <f t="shared" si="4"/>
        <v>0.32</v>
      </c>
      <c r="AQ65" s="259">
        <f>VLOOKUP($C65,Обработка!$B$16:$L$104,7,0)</f>
        <v>0.6</v>
      </c>
      <c r="AR65" s="262">
        <f t="shared" si="5"/>
        <v>-0.207</v>
      </c>
      <c r="AS65" s="253">
        <f>VLOOKUP($C65,Утилизация!$B$16:$L$104,6,0)</f>
        <v>0.342</v>
      </c>
      <c r="AT65" s="251">
        <f t="shared" si="6"/>
        <v>0.203</v>
      </c>
      <c r="AU65" s="251">
        <f>VLOOKUP($C65,Утилизация!$B$16:$L$104,7,0)</f>
        <v>0.1</v>
      </c>
      <c r="AV65" s="254">
        <f t="shared" si="7"/>
        <v>-0.186</v>
      </c>
      <c r="AW65" s="283" t="str">
        <f>VLOOKUP(C65,Захоронение!$B$16:$Q$104,16,0)</f>
        <v>перегруз</v>
      </c>
      <c r="AX65" s="231"/>
      <c r="AY65" s="170"/>
      <c r="AZ65" s="170"/>
      <c r="BA65" s="171"/>
      <c r="BB65" s="280" t="str">
        <f>VLOOKUP(C65,'ДК ИП'!$B$16:$S$104,5,0)</f>
        <v>существенное</v>
      </c>
      <c r="BC65" s="327">
        <f>VLOOKUP(C65,'Радар олд'!$B$3:$E$87,4,0)</f>
        <v>0.0537184233728007</v>
      </c>
      <c r="BD65" s="171"/>
      <c r="BI65" s="9">
        <f t="shared" si="8"/>
        <v>1</v>
      </c>
      <c r="BJ65" s="9">
        <f>VLOOKUP(C65,Штаб!$B$16:$C$104,2)</f>
        <v>0</v>
      </c>
      <c r="BK65" s="9">
        <f>VLOOKUP(C65,'РО - регионы'!$B$16:$C$104,2)</f>
        <v>1</v>
      </c>
      <c r="BL65" s="9">
        <f>VLOOKUP(C65,'РО - регионы'!$B$16:$L$104,11)</f>
        <v>2</v>
      </c>
      <c r="BM65" s="9">
        <f>VLOOKUP(C65,Спецтехника!$B$16:$C$104,2)</f>
        <v>0</v>
      </c>
      <c r="BN65" s="9">
        <f>VLOOKUP($C65,МНО!$B$16:$AB$104,6,0)</f>
        <v>0</v>
      </c>
      <c r="BO65" s="9">
        <f>VLOOKUP($C65,МНО!$B$16:$AB$104,4,0)</f>
        <v>0</v>
      </c>
      <c r="BP65" s="9">
        <f>VLOOKUP($C65,МНО!$B$16:$AB$104,5,0)</f>
        <v>1</v>
      </c>
      <c r="BQ65" s="9">
        <f>VLOOKUP($C65,Контейнеры!$B$16:$G$104,6,0)</f>
        <v>0</v>
      </c>
      <c r="BR65" s="9">
        <f>VLOOKUP($C65,Контейнеры!$B$16:$G$104,4,0)</f>
        <v>0</v>
      </c>
      <c r="BS65" s="9">
        <f>VLOOKUP($C65,Контейнеры!$B$16:$G$104,5,0)</f>
        <v>2</v>
      </c>
      <c r="BT65" s="9">
        <f>VLOOKUP($C65,'ДК МНО'!$B$16:$C$104,2,0)</f>
        <v>2</v>
      </c>
      <c r="BU65" s="9">
        <f>VLOOKUP($C65,Обработка!$B$16:$F$104,5,0)</f>
        <v>1</v>
      </c>
      <c r="BV65" s="9">
        <f>VLOOKUP($C65,Обработка!$B$16:$F$104,4,0)</f>
        <v>0</v>
      </c>
      <c r="BW65" s="9">
        <f>VLOOKUP($C65,Утилизация!$B$16:$F$104,5,0)</f>
        <v>2</v>
      </c>
      <c r="BX65" s="9">
        <f>VLOOKUP($C65,Утилизация!$B$16:$F$104,4,0)</f>
        <v>2</v>
      </c>
      <c r="BY65" s="9">
        <f>VLOOKUP($C65,Захоронение!$B$16:$C$104,2,0)</f>
        <v>1</v>
      </c>
      <c r="BZ65" s="9">
        <f>VLOOKUP($C65,'ДК ИП'!$B$16:$C$104,2,0)</f>
        <v>2</v>
      </c>
      <c r="CA65" s="9">
        <f t="shared" si="9"/>
        <v>0.9</v>
      </c>
    </row>
    <row r="66" ht="30" customHeight="1" spans="1:79">
      <c r="A66" s="6" t="s">
        <v>129</v>
      </c>
      <c r="B66" s="331">
        <f t="shared" si="3"/>
        <v>56</v>
      </c>
      <c r="C66" s="332" t="s">
        <v>130</v>
      </c>
      <c r="D66" s="333" t="str">
        <f>VLOOKUP($C66,Штаб!$B$16:$J$104,6,0)</f>
        <v>✔️</v>
      </c>
      <c r="E66" s="334" t="str">
        <f>VLOOKUP($C66,Штаб!$B$16:$J$104,7,0)</f>
        <v/>
      </c>
      <c r="F66" s="334" t="str">
        <f>VLOOKUP($C66,Штаб!$B$16:$J$104,8,0)</f>
        <v/>
      </c>
      <c r="G66" s="335" t="str">
        <f>VLOOKUP($C66,Штаб!$B$16:$J$104,9,0)</f>
        <v/>
      </c>
      <c r="H66" s="284" t="str">
        <f>VLOOKUP(C66,'РО - регионы'!$B$16:$I$104,8,0)</f>
        <v>0 / 0 / 1 из 1</v>
      </c>
      <c r="I66" s="169"/>
      <c r="J66" s="137"/>
      <c r="K66" s="170"/>
      <c r="L66" s="170"/>
      <c r="M66" s="171"/>
      <c r="N66" s="172">
        <f>VLOOKUP(C66,Спецтехника!$B$16:$J$104,4,0)</f>
        <v>164</v>
      </c>
      <c r="O66" s="173">
        <f>VLOOKUP(C66,Спецтехника!$B$16:$J$104,5,0)</f>
        <v>155</v>
      </c>
      <c r="P66" s="173">
        <f>VLOOKUP(C66,Спецтехника!$B$16:$J$104,6,0)</f>
        <v>9</v>
      </c>
      <c r="Q66" s="196">
        <f>VLOOKUP(C66,Спецтехника!$B$16:$J$104,7,0)</f>
        <v>0.0548780487804878</v>
      </c>
      <c r="R66" s="197"/>
      <c r="S66" s="137"/>
      <c r="T66" s="170"/>
      <c r="U66" s="170"/>
      <c r="V66" s="171"/>
      <c r="W66" s="172">
        <f>VLOOKUP($C66,МНО!$B$16:$AB$104,16,0)</f>
        <v>4012</v>
      </c>
      <c r="X66" s="173">
        <f>VLOOKUP($C66,МНО!$B$16:$AB$104,8,0)</f>
        <v>3805</v>
      </c>
      <c r="Y66" s="173">
        <f>VLOOKUP($C66,МНО!$B$16:$AB$104,11,0)</f>
        <v>207</v>
      </c>
      <c r="Z66" s="216">
        <f>VLOOKUP($C66,МНО!$B$16:$AB$104,17,0)</f>
        <v>0.0515952143569292</v>
      </c>
      <c r="AA66" s="213"/>
      <c r="AB66" s="214">
        <f>VLOOKUP($C66,МНО!$B$16:$AB$104,13,0)</f>
        <v>8.01153871369567</v>
      </c>
      <c r="AC66" s="215">
        <f>VLOOKUP($C66,МНО!$B$16:$AB$104,18,0)</f>
        <v>1</v>
      </c>
      <c r="AD66" s="172">
        <f>VLOOKUP($C66,Контейнеры!$B$16:$AB$104,16,0)</f>
        <v>10545</v>
      </c>
      <c r="AE66" s="173">
        <f>VLOOKUP($C66,Контейнеры!$B$16:$AB$104,8,0)</f>
        <v>9937</v>
      </c>
      <c r="AF66" s="173">
        <f>VLOOKUP($C66,Контейнеры!$B$16:$AB$104,11,0)</f>
        <v>608</v>
      </c>
      <c r="AG66" s="216">
        <f>VLOOKUP($C66,Контейнеры!$B$16:$AB$104,17,0)</f>
        <v>0.0576576576576577</v>
      </c>
      <c r="AH66" s="213"/>
      <c r="AI66" s="214">
        <f>VLOOKUP($C66,Контейнеры!$B$16:$AB$104,13,0)</f>
        <v>21.7159465897419</v>
      </c>
      <c r="AJ66" s="215">
        <f>VLOOKUP($C66,Контейнеры!$B$16:$AB$104,18,0)</f>
        <v>0.968896255850234</v>
      </c>
      <c r="AK66" s="231"/>
      <c r="AL66" s="170"/>
      <c r="AM66" s="170"/>
      <c r="AN66" s="232"/>
      <c r="AO66" s="261">
        <f>VLOOKUP($C66,Обработка!$B$16:$L$104,6,0)</f>
        <v>0.416</v>
      </c>
      <c r="AP66" s="259">
        <f t="shared" si="4"/>
        <v>-0.127</v>
      </c>
      <c r="AQ66" s="259">
        <f>VLOOKUP($C66,Обработка!$B$16:$L$104,7,0)</f>
        <v>0.476</v>
      </c>
      <c r="AR66" s="262">
        <f t="shared" si="5"/>
        <v>-0.331</v>
      </c>
      <c r="AS66" s="253">
        <f>VLOOKUP($C66,Утилизация!$B$16:$L$104,6,0)</f>
        <v>0.019</v>
      </c>
      <c r="AT66" s="251">
        <f t="shared" si="6"/>
        <v>-0.12</v>
      </c>
      <c r="AU66" s="251">
        <f>VLOOKUP($C66,Утилизация!$B$16:$L$104,7,0)</f>
        <v>0.13</v>
      </c>
      <c r="AV66" s="254">
        <f t="shared" si="7"/>
        <v>-0.156</v>
      </c>
      <c r="AW66" s="279" t="str">
        <f>VLOOKUP(C66,Захоронение!$B$16:$Q$104,16,0)</f>
        <v>белые пятна</v>
      </c>
      <c r="AX66" s="231"/>
      <c r="AY66" s="170"/>
      <c r="AZ66" s="170"/>
      <c r="BA66" s="171"/>
      <c r="BB66" s="280" t="str">
        <f>VLOOKUP(C66,'ДК ИП'!$B$16:$S$104,5,0)</f>
        <v>среднее</v>
      </c>
      <c r="BC66" s="327">
        <f>VLOOKUP(C66,'Радар олд'!$B$3:$E$87,4,0)</f>
        <v>0.0174828995388885</v>
      </c>
      <c r="BD66" s="171"/>
      <c r="BI66" s="9">
        <f t="shared" si="8"/>
        <v>1</v>
      </c>
      <c r="BJ66" s="9">
        <f>VLOOKUP(C66,Штаб!$B$16:$C$104,2)</f>
        <v>0</v>
      </c>
      <c r="BK66" s="9">
        <f>VLOOKUP(C66,'РО - регионы'!$B$16:$C$104,2)</f>
        <v>0</v>
      </c>
      <c r="BL66" s="9">
        <f>VLOOKUP(C66,'РО - регионы'!$B$16:$L$104,11)</f>
        <v>0</v>
      </c>
      <c r="BM66" s="9">
        <f>VLOOKUP(C66,Спецтехника!$B$16:$C$104,2)</f>
        <v>0</v>
      </c>
      <c r="BN66" s="9">
        <f>VLOOKUP($C66,МНО!$B$16:$AB$104,6,0)</f>
        <v>0</v>
      </c>
      <c r="BO66" s="9">
        <f>VLOOKUP($C66,МНО!$B$16:$AB$104,4,0)</f>
        <v>0</v>
      </c>
      <c r="BP66" s="9">
        <f>VLOOKUP($C66,МНО!$B$16:$AB$104,5,0)</f>
        <v>0</v>
      </c>
      <c r="BQ66" s="9">
        <f>VLOOKUP($C66,Контейнеры!$B$16:$G$104,6,0)</f>
        <v>0</v>
      </c>
      <c r="BR66" s="9">
        <f>VLOOKUP($C66,Контейнеры!$B$16:$G$104,4,0)</f>
        <v>0</v>
      </c>
      <c r="BS66" s="9">
        <f>VLOOKUP($C66,Контейнеры!$B$16:$G$104,5,0)</f>
        <v>0</v>
      </c>
      <c r="BT66" s="9">
        <f>VLOOKUP($C66,'ДК МНО'!$B$16:$C$104,2,0)</f>
        <v>2</v>
      </c>
      <c r="BU66" s="9">
        <f>VLOOKUP($C66,Обработка!$B$16:$F$104,5,0)</f>
        <v>1</v>
      </c>
      <c r="BV66" s="9">
        <f>VLOOKUP($C66,Обработка!$B$16:$F$104,4,0)</f>
        <v>1</v>
      </c>
      <c r="BW66" s="9">
        <f>VLOOKUP($C66,Утилизация!$B$16:$F$104,5,0)</f>
        <v>2</v>
      </c>
      <c r="BX66" s="9">
        <f>VLOOKUP($C66,Утилизация!$B$16:$F$104,4,0)</f>
        <v>2</v>
      </c>
      <c r="BY66" s="9">
        <f>VLOOKUP($C66,Захоронение!$B$16:$C$104,2,0)</f>
        <v>2</v>
      </c>
      <c r="BZ66" s="9">
        <f>VLOOKUP($C66,'ДК ИП'!$B$16:$C$104,2,0)</f>
        <v>1</v>
      </c>
      <c r="CA66" s="9">
        <f t="shared" si="9"/>
        <v>0.9</v>
      </c>
    </row>
    <row r="67" ht="30" customHeight="1" spans="1:79">
      <c r="A67" s="6" t="s">
        <v>129</v>
      </c>
      <c r="B67" s="331">
        <f t="shared" si="3"/>
        <v>57</v>
      </c>
      <c r="C67" s="332" t="s">
        <v>131</v>
      </c>
      <c r="D67" s="333" t="str">
        <f>VLOOKUP($C67,Штаб!$B$16:$J$104,6,0)</f>
        <v>✔️</v>
      </c>
      <c r="E67" s="334" t="str">
        <f>VLOOKUP($C67,Штаб!$B$16:$J$104,7,0)</f>
        <v/>
      </c>
      <c r="F67" s="334" t="str">
        <f>VLOOKUP($C67,Штаб!$B$16:$J$104,8,0)</f>
        <v/>
      </c>
      <c r="G67" s="335" t="str">
        <f>VLOOKUP($C67,Штаб!$B$16:$J$104,9,0)</f>
        <v/>
      </c>
      <c r="H67" s="283" t="str">
        <f>VLOOKUP(C67,'РО - регионы'!$B$16:$I$104,8,0)</f>
        <v>0 / 1 / 0 из 1</v>
      </c>
      <c r="I67" s="169"/>
      <c r="J67" s="137"/>
      <c r="K67" s="170"/>
      <c r="L67" s="170"/>
      <c r="M67" s="171"/>
      <c r="N67" s="176">
        <f>VLOOKUP(C67,Спецтехника!$B$16:$J$104,4,0)</f>
        <v>48</v>
      </c>
      <c r="O67" s="177">
        <f>VLOOKUP(C67,Спецтехника!$B$16:$J$104,5,0)</f>
        <v>33</v>
      </c>
      <c r="P67" s="177">
        <f>VLOOKUP(C67,Спецтехника!$B$16:$J$104,6,0)</f>
        <v>15</v>
      </c>
      <c r="Q67" s="199">
        <f>VLOOKUP(C67,Спецтехника!$B$16:$J$104,7,0)</f>
        <v>0.3125</v>
      </c>
      <c r="R67" s="197"/>
      <c r="S67" s="137"/>
      <c r="T67" s="170"/>
      <c r="U67" s="170"/>
      <c r="V67" s="171"/>
      <c r="W67" s="174">
        <f>VLOOKUP($C67,МНО!$B$16:$AB$104,16,0)</f>
        <v>1042</v>
      </c>
      <c r="X67" s="175">
        <f>VLOOKUP($C67,МНО!$B$16:$AB$104,8,0)</f>
        <v>742</v>
      </c>
      <c r="Y67" s="175">
        <f>VLOOKUP($C67,МНО!$B$16:$AB$104,11,0)</f>
        <v>300</v>
      </c>
      <c r="Z67" s="212">
        <f>VLOOKUP($C67,МНО!$B$16:$AB$104,17,0)</f>
        <v>0.287907869481766</v>
      </c>
      <c r="AA67" s="213"/>
      <c r="AB67" s="214">
        <f>VLOOKUP($C67,МНО!$B$16:$AB$104,13,0)</f>
        <v>4.93134524903636</v>
      </c>
      <c r="AC67" s="215">
        <f>VLOOKUP($C67,МНО!$B$16:$AB$104,18,0)</f>
        <v>0.866822429906542</v>
      </c>
      <c r="AD67" s="174">
        <f>VLOOKUP($C67,Контейнеры!$B$16:$AB$104,16,0)</f>
        <v>2897</v>
      </c>
      <c r="AE67" s="175">
        <f>VLOOKUP($C67,Контейнеры!$B$16:$AB$104,8,0)</f>
        <v>1997</v>
      </c>
      <c r="AF67" s="175">
        <f>VLOOKUP($C67,Контейнеры!$B$16:$AB$104,11,0)</f>
        <v>900</v>
      </c>
      <c r="AG67" s="212">
        <f>VLOOKUP($C67,Контейнеры!$B$16:$AB$104,17,0)</f>
        <v>0.310666206420435</v>
      </c>
      <c r="AH67" s="213"/>
      <c r="AI67" s="214">
        <f>VLOOKUP($C67,Контейнеры!$B$16:$AB$104,13,0)</f>
        <v>13.6966571103277</v>
      </c>
      <c r="AJ67" s="215">
        <f>VLOOKUP($C67,Контейнеры!$B$16:$AB$104,18,0)</f>
        <v>1</v>
      </c>
      <c r="AK67" s="231"/>
      <c r="AL67" s="170"/>
      <c r="AM67" s="170"/>
      <c r="AN67" s="232"/>
      <c r="AO67" s="249">
        <f>VLOOKUP($C67,Обработка!$B$16:$L$104,6,0)</f>
        <v>0.038</v>
      </c>
      <c r="AP67" s="251">
        <f t="shared" si="4"/>
        <v>-0.505</v>
      </c>
      <c r="AQ67" s="250">
        <f>VLOOKUP($C67,Обработка!$B$16:$L$104,7,0)</f>
        <v>0.837</v>
      </c>
      <c r="AR67" s="255">
        <f t="shared" si="5"/>
        <v>0.03</v>
      </c>
      <c r="AS67" s="253">
        <f>VLOOKUP($C67,Утилизация!$B$16:$L$104,6,0)</f>
        <v>0</v>
      </c>
      <c r="AT67" s="251">
        <f t="shared" si="6"/>
        <v>-0.139</v>
      </c>
      <c r="AU67" s="250">
        <f>VLOOKUP($C67,Утилизация!$B$16:$L$104,7,0)</f>
        <v>0.5</v>
      </c>
      <c r="AV67" s="256">
        <f t="shared" si="7"/>
        <v>0.214</v>
      </c>
      <c r="AW67" s="284" t="str">
        <f>VLOOKUP(C67,Захоронение!$B$16:$Q$104,16,0)</f>
        <v/>
      </c>
      <c r="AX67" s="231"/>
      <c r="AY67" s="170"/>
      <c r="AZ67" s="170"/>
      <c r="BA67" s="171"/>
      <c r="BB67" s="280" t="str">
        <f>VLOOKUP(C67,'ДК ИП'!$B$16:$S$104,5,0)</f>
        <v>существенное</v>
      </c>
      <c r="BC67" s="327">
        <f>VLOOKUP(C67,'Радар олд'!$B$3:$E$87,4,0)</f>
        <v>0.020575849439651</v>
      </c>
      <c r="BD67" s="171"/>
      <c r="BI67" s="9">
        <f t="shared" si="8"/>
        <v>1</v>
      </c>
      <c r="BJ67" s="9">
        <f>VLOOKUP(C67,Штаб!$B$16:$C$104,2)</f>
        <v>0</v>
      </c>
      <c r="BK67" s="9">
        <f>VLOOKUP(C67,'РО - регионы'!$B$16:$C$104,2)</f>
        <v>1</v>
      </c>
      <c r="BL67" s="9">
        <f>VLOOKUP(C67,'РО - регионы'!$B$16:$L$104,11)</f>
        <v>2</v>
      </c>
      <c r="BM67" s="9">
        <f>VLOOKUP(C67,Спецтехника!$B$16:$C$104,2)</f>
        <v>2</v>
      </c>
      <c r="BN67" s="9">
        <f>VLOOKUP($C67,МНО!$B$16:$AB$104,6,0)</f>
        <v>1</v>
      </c>
      <c r="BO67" s="9">
        <f>VLOOKUP($C67,МНО!$B$16:$AB$104,4,0)</f>
        <v>1</v>
      </c>
      <c r="BP67" s="9">
        <f>VLOOKUP($C67,МНО!$B$16:$AB$104,5,0)</f>
        <v>0</v>
      </c>
      <c r="BQ67" s="9">
        <f>VLOOKUP($C67,Контейнеры!$B$16:$G$104,6,0)</f>
        <v>2</v>
      </c>
      <c r="BR67" s="9">
        <f>VLOOKUP($C67,Контейнеры!$B$16:$G$104,4,0)</f>
        <v>2</v>
      </c>
      <c r="BS67" s="9">
        <f>VLOOKUP($C67,Контейнеры!$B$16:$G$104,5,0)</f>
        <v>0</v>
      </c>
      <c r="BT67" s="9">
        <f>VLOOKUP($C67,'ДК МНО'!$B$16:$C$104,2,0)</f>
        <v>2</v>
      </c>
      <c r="BU67" s="9">
        <f>VLOOKUP($C67,Обработка!$B$16:$F$104,5,0)</f>
        <v>0</v>
      </c>
      <c r="BV67" s="9">
        <f>VLOOKUP($C67,Обработка!$B$16:$F$104,4,0)</f>
        <v>2</v>
      </c>
      <c r="BW67" s="9">
        <f>VLOOKUP($C67,Утилизация!$B$16:$F$104,5,0)</f>
        <v>0</v>
      </c>
      <c r="BX67" s="9">
        <f>VLOOKUP($C67,Утилизация!$B$16:$F$104,4,0)</f>
        <v>2</v>
      </c>
      <c r="BY67" s="9">
        <f>VLOOKUP($C67,Захоронение!$B$16:$C$104,2,0)</f>
        <v>0</v>
      </c>
      <c r="BZ67" s="9">
        <f>VLOOKUP($C67,'ДК ИП'!$B$16:$C$104,2,0)</f>
        <v>2</v>
      </c>
      <c r="CA67" s="9">
        <f t="shared" si="9"/>
        <v>1</v>
      </c>
    </row>
    <row r="68" ht="30" customHeight="1" spans="1:79">
      <c r="A68" s="6" t="s">
        <v>78</v>
      </c>
      <c r="B68" s="331">
        <f t="shared" si="3"/>
        <v>58</v>
      </c>
      <c r="C68" s="332" t="s">
        <v>132</v>
      </c>
      <c r="D68" s="333" t="str">
        <f>VLOOKUP($C68,Штаб!$B$16:$J$104,6,0)</f>
        <v/>
      </c>
      <c r="E68" s="334" t="str">
        <f>VLOOKUP($C68,Штаб!$B$16:$J$104,7,0)</f>
        <v/>
      </c>
      <c r="F68" s="334" t="str">
        <f>VLOOKUP($C68,Штаб!$B$16:$J$104,8,0)</f>
        <v>✔️</v>
      </c>
      <c r="G68" s="335" t="str">
        <f>VLOOKUP($C68,Штаб!$B$16:$J$104,9,0)</f>
        <v/>
      </c>
      <c r="H68" s="279" t="str">
        <f>VLOOKUP(C68,'РО - регионы'!$B$16:$I$104,8,0)</f>
        <v>1 / 0 / 0 из 1</v>
      </c>
      <c r="I68" s="169"/>
      <c r="J68" s="137"/>
      <c r="K68" s="170"/>
      <c r="L68" s="170"/>
      <c r="M68" s="171"/>
      <c r="N68" s="172">
        <f>VLOOKUP(C68,Спецтехника!$B$16:$J$104,4,0)</f>
        <v>80</v>
      </c>
      <c r="O68" s="173">
        <f>VLOOKUP(C68,Спецтехника!$B$16:$J$104,5,0)</f>
        <v>80</v>
      </c>
      <c r="P68" s="173">
        <f>VLOOKUP(C68,Спецтехника!$B$16:$J$104,6,0)</f>
        <v>0</v>
      </c>
      <c r="Q68" s="196">
        <f>VLOOKUP(C68,Спецтехника!$B$16:$J$104,7,0)</f>
        <v>0</v>
      </c>
      <c r="R68" s="197"/>
      <c r="S68" s="137"/>
      <c r="T68" s="170"/>
      <c r="U68" s="170"/>
      <c r="V68" s="171"/>
      <c r="W68" s="176">
        <f>VLOOKUP($C68,МНО!$B$16:$AB$104,16,0)</f>
        <v>8593</v>
      </c>
      <c r="X68" s="177">
        <f>VLOOKUP($C68,МНО!$B$16:$AB$104,8,0)</f>
        <v>8593</v>
      </c>
      <c r="Y68" s="177">
        <f>VLOOKUP($C68,МНО!$B$16:$AB$104,11,0)</f>
        <v>0</v>
      </c>
      <c r="Z68" s="217">
        <f>VLOOKUP($C68,МНО!$B$16:$AB$104,17,0)</f>
        <v>0</v>
      </c>
      <c r="AA68" s="213"/>
      <c r="AB68" s="214">
        <f>VLOOKUP($C68,МНО!$B$16:$AB$104,13,0)</f>
        <v>11.405016188536</v>
      </c>
      <c r="AC68" s="215">
        <f>VLOOKUP($C68,МНО!$B$16:$AB$104,18,0)</f>
        <v>0.659933952845404</v>
      </c>
      <c r="AD68" s="176">
        <f>VLOOKUP($C68,Контейнеры!$B$16:$AB$104,16,0)</f>
        <v>10977</v>
      </c>
      <c r="AE68" s="177">
        <f>VLOOKUP($C68,Контейнеры!$B$16:$AB$104,8,0)</f>
        <v>10977</v>
      </c>
      <c r="AF68" s="177">
        <f>VLOOKUP($C68,Контейнеры!$B$16:$AB$104,11,0)</f>
        <v>0</v>
      </c>
      <c r="AG68" s="217">
        <f>VLOOKUP($C68,Контейнеры!$B$16:$AB$104,17,0)</f>
        <v>0</v>
      </c>
      <c r="AH68" s="213"/>
      <c r="AI68" s="214">
        <f>VLOOKUP($C68,Контейнеры!$B$16:$AB$104,13,0)</f>
        <v>14.5776505241686</v>
      </c>
      <c r="AJ68" s="215">
        <f>VLOOKUP($C68,Контейнеры!$B$16:$AB$104,18,0)</f>
        <v>0.622490643075876</v>
      </c>
      <c r="AK68" s="231"/>
      <c r="AL68" s="170"/>
      <c r="AM68" s="170"/>
      <c r="AN68" s="232"/>
      <c r="AO68" s="249">
        <f>VLOOKUP($C68,Обработка!$B$16:$L$104,6,0)</f>
        <v>0.188</v>
      </c>
      <c r="AP68" s="251">
        <f t="shared" si="4"/>
        <v>-0.355</v>
      </c>
      <c r="AQ68" s="250">
        <f>VLOOKUP($C68,Обработка!$B$16:$L$104,7,0)</f>
        <v>1</v>
      </c>
      <c r="AR68" s="255">
        <f t="shared" si="5"/>
        <v>0.193</v>
      </c>
      <c r="AS68" s="253">
        <f>VLOOKUP($C68,Утилизация!$B$16:$L$104,6,0)</f>
        <v>0.01</v>
      </c>
      <c r="AT68" s="251">
        <f t="shared" si="6"/>
        <v>-0.129</v>
      </c>
      <c r="AU68" s="259">
        <f>VLOOKUP($C68,Утилизация!$B$16:$L$104,7,0)</f>
        <v>0.25</v>
      </c>
      <c r="AV68" s="260">
        <f t="shared" si="7"/>
        <v>-0.036</v>
      </c>
      <c r="AW68" s="284" t="str">
        <f>VLOOKUP(C68,Захоронение!$B$16:$Q$104,16,0)</f>
        <v/>
      </c>
      <c r="AX68" s="231"/>
      <c r="AY68" s="170"/>
      <c r="AZ68" s="170"/>
      <c r="BA68" s="171"/>
      <c r="BB68" s="280" t="str">
        <f>VLOOKUP(C68,'ДК ИП'!$B$16:$S$104,5,0)</f>
        <v>среднее</v>
      </c>
      <c r="BC68" s="327">
        <f>VLOOKUP(C68,'Радар олд'!$B$3:$E$87,4,0)</f>
        <v>0.045152602516328</v>
      </c>
      <c r="BD68" s="171"/>
      <c r="BI68" s="9">
        <f t="shared" si="8"/>
        <v>1</v>
      </c>
      <c r="BJ68" s="9">
        <f>VLOOKUP(C68,Штаб!$B$16:$C$104,2)</f>
        <v>1</v>
      </c>
      <c r="BK68" s="9">
        <f>VLOOKUP(C68,'РО - регионы'!$B$16:$C$104,2)</f>
        <v>2</v>
      </c>
      <c r="BL68" s="9">
        <f>VLOOKUP(C68,'РО - регионы'!$B$16:$L$104,11)</f>
        <v>0</v>
      </c>
      <c r="BM68" s="9">
        <f>VLOOKUP(C68,Спецтехника!$B$16:$C$104,2)</f>
        <v>0</v>
      </c>
      <c r="BN68" s="9">
        <f>VLOOKUP($C68,МНО!$B$16:$AB$104,6,0)</f>
        <v>2</v>
      </c>
      <c r="BO68" s="9">
        <f>VLOOKUP($C68,МНО!$B$16:$AB$104,4,0)</f>
        <v>0</v>
      </c>
      <c r="BP68" s="9">
        <f>VLOOKUP($C68,МНО!$B$16:$AB$104,5,0)</f>
        <v>2</v>
      </c>
      <c r="BQ68" s="9">
        <f>VLOOKUP($C68,Контейнеры!$B$16:$G$104,6,0)</f>
        <v>2</v>
      </c>
      <c r="BR68" s="9">
        <f>VLOOKUP($C68,Контейнеры!$B$16:$G$104,4,0)</f>
        <v>0</v>
      </c>
      <c r="BS68" s="9">
        <f>VLOOKUP($C68,Контейнеры!$B$16:$G$104,5,0)</f>
        <v>2</v>
      </c>
      <c r="BT68" s="9">
        <f>VLOOKUP($C68,'ДК МНО'!$B$16:$C$104,2,0)</f>
        <v>2</v>
      </c>
      <c r="BU68" s="9">
        <f>VLOOKUP($C68,Обработка!$B$16:$F$104,5,0)</f>
        <v>0</v>
      </c>
      <c r="BV68" s="9">
        <f>VLOOKUP($C68,Обработка!$B$16:$F$104,4,0)</f>
        <v>2</v>
      </c>
      <c r="BW68" s="9">
        <f>VLOOKUP($C68,Утилизация!$B$16:$F$104,5,0)</f>
        <v>1</v>
      </c>
      <c r="BX68" s="9">
        <f>VLOOKUP($C68,Утилизация!$B$16:$F$104,4,0)</f>
        <v>2</v>
      </c>
      <c r="BY68" s="9">
        <f>VLOOKUP($C68,Захоронение!$B$16:$C$104,2,0)</f>
        <v>0</v>
      </c>
      <c r="BZ68" s="9">
        <f>VLOOKUP($C68,'ДК ИП'!$B$16:$C$104,2,0)</f>
        <v>1</v>
      </c>
      <c r="CA68" s="9">
        <f t="shared" si="9"/>
        <v>0.95</v>
      </c>
    </row>
    <row r="69" ht="30" customHeight="1" spans="1:79">
      <c r="A69" s="6" t="s">
        <v>70</v>
      </c>
      <c r="B69" s="331">
        <f t="shared" si="3"/>
        <v>59</v>
      </c>
      <c r="C69" s="332" t="s">
        <v>133</v>
      </c>
      <c r="D69" s="333" t="str">
        <f>VLOOKUP($C69,Штаб!$B$16:$J$104,6,0)</f>
        <v>✔️</v>
      </c>
      <c r="E69" s="334" t="str">
        <f>VLOOKUP($C69,Штаб!$B$16:$J$104,7,0)</f>
        <v/>
      </c>
      <c r="F69" s="334" t="str">
        <f>VLOOKUP($C69,Штаб!$B$16:$J$104,8,0)</f>
        <v/>
      </c>
      <c r="G69" s="335" t="str">
        <f>VLOOKUP($C69,Штаб!$B$16:$J$104,9,0)</f>
        <v/>
      </c>
      <c r="H69" s="283" t="str">
        <f>VLOOKUP(C69,'РО - регионы'!$B$16:$I$104,8,0)</f>
        <v>0 / 1 / 0 из 1</v>
      </c>
      <c r="I69" s="169"/>
      <c r="J69" s="137"/>
      <c r="K69" s="170"/>
      <c r="L69" s="170"/>
      <c r="M69" s="171"/>
      <c r="N69" s="174">
        <f>VLOOKUP(C69,Спецтехника!$B$16:$J$104,4,0)</f>
        <v>256</v>
      </c>
      <c r="O69" s="175">
        <f>VLOOKUP(C69,Спецтехника!$B$16:$J$104,5,0)</f>
        <v>224</v>
      </c>
      <c r="P69" s="175">
        <f>VLOOKUP(C69,Спецтехника!$B$16:$J$104,6,0)</f>
        <v>32</v>
      </c>
      <c r="Q69" s="198">
        <f>VLOOKUP(C69,Спецтехника!$B$16:$J$104,7,0)</f>
        <v>0.125</v>
      </c>
      <c r="R69" s="197"/>
      <c r="S69" s="137"/>
      <c r="T69" s="170"/>
      <c r="U69" s="170"/>
      <c r="V69" s="171"/>
      <c r="W69" s="172">
        <f>VLOOKUP($C69,МНО!$B$16:$AB$104,16,0)</f>
        <v>12496</v>
      </c>
      <c r="X69" s="173">
        <f>VLOOKUP($C69,МНО!$B$16:$AB$104,8,0)</f>
        <v>11033</v>
      </c>
      <c r="Y69" s="173">
        <f>VLOOKUP($C69,МНО!$B$16:$AB$104,11,0)</f>
        <v>1463</v>
      </c>
      <c r="Z69" s="216">
        <f>VLOOKUP($C69,МНО!$B$16:$AB$104,17,0)</f>
        <v>0.117077464788732</v>
      </c>
      <c r="AA69" s="213"/>
      <c r="AB69" s="214">
        <f>VLOOKUP($C69,МНО!$B$16:$AB$104,13,0)</f>
        <v>10.5560716766683</v>
      </c>
      <c r="AC69" s="215">
        <f>VLOOKUP($C69,МНО!$B$16:$AB$104,18,0)</f>
        <v>1</v>
      </c>
      <c r="AD69" s="174">
        <f>VLOOKUP($C69,Контейнеры!$B$16:$AB$104,16,0)</f>
        <v>28980</v>
      </c>
      <c r="AE69" s="175">
        <f>VLOOKUP($C69,Контейнеры!$B$16:$AB$104,8,0)</f>
        <v>25191</v>
      </c>
      <c r="AF69" s="175">
        <f>VLOOKUP($C69,Контейнеры!$B$16:$AB$104,11,0)</f>
        <v>3789</v>
      </c>
      <c r="AG69" s="212">
        <f>VLOOKUP($C69,Контейнеры!$B$16:$AB$104,17,0)</f>
        <v>0.130745341614907</v>
      </c>
      <c r="AH69" s="213"/>
      <c r="AI69" s="214">
        <f>VLOOKUP($C69,Контейнеры!$B$16:$AB$104,13,0)</f>
        <v>26.354608682552</v>
      </c>
      <c r="AJ69" s="215">
        <f>VLOOKUP($C69,Контейнеры!$B$16:$AB$104,18,0)</f>
        <v>1</v>
      </c>
      <c r="AK69" s="231"/>
      <c r="AL69" s="170"/>
      <c r="AM69" s="170"/>
      <c r="AN69" s="232"/>
      <c r="AO69" s="249">
        <f>VLOOKUP($C69,Обработка!$B$16:$L$104,6,0)</f>
        <v>0.099</v>
      </c>
      <c r="AP69" s="251">
        <f t="shared" si="4"/>
        <v>-0.444</v>
      </c>
      <c r="AQ69" s="250">
        <f>VLOOKUP($C69,Обработка!$B$16:$L$104,7,0)</f>
        <v>1</v>
      </c>
      <c r="AR69" s="255">
        <f t="shared" si="5"/>
        <v>0.193</v>
      </c>
      <c r="AS69" s="253">
        <f>VLOOKUP($C69,Утилизация!$B$16:$L$104,6,0)</f>
        <v>0.003</v>
      </c>
      <c r="AT69" s="251">
        <f t="shared" si="6"/>
        <v>-0.136</v>
      </c>
      <c r="AU69" s="250">
        <f>VLOOKUP($C69,Утилизация!$B$16:$L$104,7,0)</f>
        <v>0.55</v>
      </c>
      <c r="AV69" s="256">
        <f t="shared" si="7"/>
        <v>0.264</v>
      </c>
      <c r="AW69" s="279" t="str">
        <f>VLOOKUP(C69,Захоронение!$B$16:$Q$104,16,0)</f>
        <v>765 приказ</v>
      </c>
      <c r="AX69" s="231"/>
      <c r="AY69" s="170"/>
      <c r="AZ69" s="170"/>
      <c r="BA69" s="171"/>
      <c r="BB69" s="280" t="str">
        <f>VLOOKUP(C69,'ДК ИП'!$B$16:$S$104,5,0)</f>
        <v>небольшое</v>
      </c>
      <c r="BC69" s="327">
        <f>VLOOKUP(C69,'Радар олд'!$B$3:$E$87,4,0)</f>
        <v>0.0177852545593023</v>
      </c>
      <c r="BD69" s="171"/>
      <c r="BI69" s="9">
        <f t="shared" si="8"/>
        <v>1</v>
      </c>
      <c r="BJ69" s="9">
        <f>VLOOKUP(C69,Штаб!$B$16:$C$104,2)</f>
        <v>0</v>
      </c>
      <c r="BK69" s="9">
        <f>VLOOKUP(C69,'РО - регионы'!$B$16:$C$104,2)</f>
        <v>1</v>
      </c>
      <c r="BL69" s="9">
        <f>VLOOKUP(C69,'РО - регионы'!$B$16:$L$104,11)</f>
        <v>2</v>
      </c>
      <c r="BM69" s="9">
        <f>VLOOKUP(C69,Спецтехника!$B$16:$C$104,2)</f>
        <v>1</v>
      </c>
      <c r="BN69" s="9">
        <f>VLOOKUP($C69,МНО!$B$16:$AB$104,6,0)</f>
        <v>0</v>
      </c>
      <c r="BO69" s="9">
        <f>VLOOKUP($C69,МНО!$B$16:$AB$104,4,0)</f>
        <v>0</v>
      </c>
      <c r="BP69" s="9">
        <f>VLOOKUP($C69,МНО!$B$16:$AB$104,5,0)</f>
        <v>0</v>
      </c>
      <c r="BQ69" s="9">
        <f>VLOOKUP($C69,Контейнеры!$B$16:$G$104,6,0)</f>
        <v>0</v>
      </c>
      <c r="BR69" s="9">
        <f>VLOOKUP($C69,Контейнеры!$B$16:$G$104,4,0)</f>
        <v>0</v>
      </c>
      <c r="BS69" s="9">
        <f>VLOOKUP($C69,Контейнеры!$B$16:$G$104,5,0)</f>
        <v>0</v>
      </c>
      <c r="BT69" s="9">
        <f>VLOOKUP($C69,'ДК МНО'!$B$16:$C$104,2,0)</f>
        <v>2</v>
      </c>
      <c r="BU69" s="9">
        <f>VLOOKUP($C69,Обработка!$B$16:$F$104,5,0)</f>
        <v>0</v>
      </c>
      <c r="BV69" s="9">
        <f>VLOOKUP($C69,Обработка!$B$16:$F$104,4,0)</f>
        <v>2</v>
      </c>
      <c r="BW69" s="9">
        <f>VLOOKUP($C69,Утилизация!$B$16:$F$104,5,0)</f>
        <v>0</v>
      </c>
      <c r="BX69" s="9">
        <f>VLOOKUP($C69,Утилизация!$B$16:$F$104,4,0)</f>
        <v>2</v>
      </c>
      <c r="BY69" s="9">
        <f>VLOOKUP($C69,Захоронение!$B$16:$C$104,2,0)</f>
        <v>2</v>
      </c>
      <c r="BZ69" s="9">
        <f>VLOOKUP($C69,'ДК ИП'!$B$16:$C$104,2,0)</f>
        <v>0</v>
      </c>
      <c r="CA69" s="9">
        <f t="shared" si="9"/>
        <v>0.95</v>
      </c>
    </row>
    <row r="70" ht="30" customHeight="1" spans="1:79">
      <c r="A70" s="6" t="s">
        <v>129</v>
      </c>
      <c r="B70" s="331">
        <f t="shared" si="3"/>
        <v>60</v>
      </c>
      <c r="C70" s="332" t="s">
        <v>134</v>
      </c>
      <c r="D70" s="333" t="str">
        <f>VLOOKUP($C70,Штаб!$B$16:$J$104,6,0)</f>
        <v>✔️</v>
      </c>
      <c r="E70" s="334" t="str">
        <f>VLOOKUP($C70,Штаб!$B$16:$J$104,7,0)</f>
        <v/>
      </c>
      <c r="F70" s="334" t="str">
        <f>VLOOKUP($C70,Штаб!$B$16:$J$104,8,0)</f>
        <v/>
      </c>
      <c r="G70" s="335" t="str">
        <f>VLOOKUP($C70,Штаб!$B$16:$J$104,9,0)</f>
        <v/>
      </c>
      <c r="H70" s="284" t="str">
        <f>VLOOKUP(C70,'РО - регионы'!$B$16:$I$104,8,0)</f>
        <v>0 / 0 / 1 из 1</v>
      </c>
      <c r="I70" s="169"/>
      <c r="J70" s="137"/>
      <c r="K70" s="170"/>
      <c r="L70" s="170"/>
      <c r="M70" s="171"/>
      <c r="N70" s="176">
        <f>VLOOKUP(C70,Спецтехника!$B$16:$J$104,4,0)</f>
        <v>171</v>
      </c>
      <c r="O70" s="177">
        <f>VLOOKUP(C70,Спецтехника!$B$16:$J$104,5,0)</f>
        <v>124</v>
      </c>
      <c r="P70" s="177">
        <f>VLOOKUP(C70,Спецтехника!$B$16:$J$104,6,0)</f>
        <v>47</v>
      </c>
      <c r="Q70" s="199">
        <f>VLOOKUP(C70,Спецтехника!$B$16:$J$104,7,0)</f>
        <v>0.274853801169591</v>
      </c>
      <c r="R70" s="197"/>
      <c r="S70" s="137"/>
      <c r="T70" s="170"/>
      <c r="U70" s="170"/>
      <c r="V70" s="171"/>
      <c r="W70" s="172">
        <f>VLOOKUP($C70,МНО!$B$16:$AB$104,16,0)</f>
        <v>1821</v>
      </c>
      <c r="X70" s="173">
        <f>VLOOKUP($C70,МНО!$B$16:$AB$104,8,0)</f>
        <v>1619</v>
      </c>
      <c r="Y70" s="173">
        <f>VLOOKUP($C70,МНО!$B$16:$AB$104,11,0)</f>
        <v>202</v>
      </c>
      <c r="Z70" s="216">
        <f>VLOOKUP($C70,МНО!$B$16:$AB$104,17,0)</f>
        <v>0.110928061504668</v>
      </c>
      <c r="AA70" s="213"/>
      <c r="AB70" s="214">
        <f>VLOOKUP($C70,МНО!$B$16:$AB$104,13,0)</f>
        <v>5.21548934579698</v>
      </c>
      <c r="AC70" s="215">
        <f>VLOOKUP($C70,МНО!$B$16:$AB$104,18,0)</f>
        <v>0.633411580594679</v>
      </c>
      <c r="AD70" s="174">
        <f>VLOOKUP($C70,Контейнеры!$B$16:$AB$104,16,0)</f>
        <v>5100</v>
      </c>
      <c r="AE70" s="175">
        <f>VLOOKUP($C70,Контейнеры!$B$16:$AB$104,8,0)</f>
        <v>4400</v>
      </c>
      <c r="AF70" s="175">
        <f>VLOOKUP($C70,Контейнеры!$B$16:$AB$104,11,0)</f>
        <v>700</v>
      </c>
      <c r="AG70" s="212">
        <f>VLOOKUP($C70,Контейнеры!$B$16:$AB$104,17,0)</f>
        <v>0.137254901960784</v>
      </c>
      <c r="AH70" s="213"/>
      <c r="AI70" s="214">
        <f>VLOOKUP($C70,Контейнеры!$B$16:$AB$104,13,0)</f>
        <v>15.2277061191153</v>
      </c>
      <c r="AJ70" s="215">
        <f>VLOOKUP($C70,Контейнеры!$B$16:$AB$104,18,0)</f>
        <v>1</v>
      </c>
      <c r="AK70" s="231"/>
      <c r="AL70" s="170"/>
      <c r="AM70" s="170"/>
      <c r="AN70" s="232"/>
      <c r="AO70" s="249">
        <f>VLOOKUP($C70,Обработка!$B$16:$L$104,6,0)</f>
        <v>0.918</v>
      </c>
      <c r="AP70" s="251">
        <f t="shared" si="4"/>
        <v>0.375</v>
      </c>
      <c r="AQ70" s="250">
        <f>VLOOKUP($C70,Обработка!$B$16:$L$104,7,0)</f>
        <v>1</v>
      </c>
      <c r="AR70" s="255">
        <f t="shared" si="5"/>
        <v>0.193</v>
      </c>
      <c r="AS70" s="253">
        <f>VLOOKUP($C70,Утилизация!$B$16:$L$104,6,0)</f>
        <v>0.345</v>
      </c>
      <c r="AT70" s="251">
        <f t="shared" si="6"/>
        <v>0.206</v>
      </c>
      <c r="AU70" s="250">
        <f>VLOOKUP($C70,Утилизация!$B$16:$L$104,7,0)</f>
        <v>0.4</v>
      </c>
      <c r="AV70" s="256">
        <f t="shared" si="7"/>
        <v>0.114</v>
      </c>
      <c r="AW70" s="279" t="str">
        <f>VLOOKUP(C70,Захоронение!$B$16:$Q$104,16,0)</f>
        <v>белые пятна</v>
      </c>
      <c r="AX70" s="231"/>
      <c r="AY70" s="170"/>
      <c r="AZ70" s="170"/>
      <c r="BA70" s="171"/>
      <c r="BB70" s="280" t="str">
        <f>VLOOKUP(C70,'ДК ИП'!$B$16:$S$104,5,0)</f>
        <v>среднее</v>
      </c>
      <c r="BC70" s="327">
        <f>VLOOKUP(C70,'Радар олд'!$B$3:$E$87,4,0)</f>
        <v>0.0761385305955763</v>
      </c>
      <c r="BD70" s="171"/>
      <c r="BI70" s="9">
        <f t="shared" si="8"/>
        <v>1</v>
      </c>
      <c r="BJ70" s="9">
        <f>VLOOKUP(C70,Штаб!$B$16:$C$104,2)</f>
        <v>0</v>
      </c>
      <c r="BK70" s="9">
        <f>VLOOKUP(C70,'РО - регионы'!$B$16:$C$104,2)</f>
        <v>0</v>
      </c>
      <c r="BL70" s="9">
        <f>VLOOKUP(C70,'РО - регионы'!$B$16:$L$104,11)</f>
        <v>0</v>
      </c>
      <c r="BM70" s="9">
        <f>VLOOKUP(C70,Спецтехника!$B$16:$C$104,2)</f>
        <v>2</v>
      </c>
      <c r="BN70" s="9">
        <f>VLOOKUP($C70,МНО!$B$16:$AB$104,6,0)</f>
        <v>0</v>
      </c>
      <c r="BO70" s="9">
        <f>VLOOKUP($C70,МНО!$B$16:$AB$104,4,0)</f>
        <v>1</v>
      </c>
      <c r="BP70" s="9">
        <f>VLOOKUP($C70,МНО!$B$16:$AB$104,5,0)</f>
        <v>2</v>
      </c>
      <c r="BQ70" s="9">
        <f>VLOOKUP($C70,Контейнеры!$B$16:$G$104,6,0)</f>
        <v>0</v>
      </c>
      <c r="BR70" s="9">
        <f>VLOOKUP($C70,Контейнеры!$B$16:$G$104,4,0)</f>
        <v>0</v>
      </c>
      <c r="BS70" s="9">
        <f>VLOOKUP($C70,Контейнеры!$B$16:$G$104,5,0)</f>
        <v>0</v>
      </c>
      <c r="BT70" s="9">
        <f>VLOOKUP($C70,'ДК МНО'!$B$16:$C$104,2,0)</f>
        <v>2</v>
      </c>
      <c r="BU70" s="9">
        <f>VLOOKUP($C70,Обработка!$B$16:$F$104,5,0)</f>
        <v>0</v>
      </c>
      <c r="BV70" s="9">
        <f>VLOOKUP($C70,Обработка!$B$16:$F$104,4,0)</f>
        <v>2</v>
      </c>
      <c r="BW70" s="9">
        <f>VLOOKUP($C70,Утилизация!$B$16:$F$104,5,0)</f>
        <v>0</v>
      </c>
      <c r="BX70" s="9">
        <f>VLOOKUP($C70,Утилизация!$B$16:$F$104,4,0)</f>
        <v>2</v>
      </c>
      <c r="BY70" s="9">
        <f>VLOOKUP($C70,Захоронение!$B$16:$C$104,2,0)</f>
        <v>2</v>
      </c>
      <c r="BZ70" s="9">
        <f>VLOOKUP($C70,'ДК ИП'!$B$16:$C$104,2,0)</f>
        <v>1</v>
      </c>
      <c r="CA70" s="9">
        <f t="shared" si="9"/>
        <v>0.95</v>
      </c>
    </row>
    <row r="71" ht="30" customHeight="1" spans="1:79">
      <c r="A71" s="6" t="s">
        <v>67</v>
      </c>
      <c r="B71" s="331">
        <f t="shared" si="3"/>
        <v>61</v>
      </c>
      <c r="C71" s="332" t="s">
        <v>135</v>
      </c>
      <c r="D71" s="333" t="str">
        <f>VLOOKUP($C71,Штаб!$B$16:$J$104,6,0)</f>
        <v/>
      </c>
      <c r="E71" s="334" t="str">
        <f>VLOOKUP($C71,Штаб!$B$16:$J$104,7,0)</f>
        <v/>
      </c>
      <c r="F71" s="334" t="str">
        <f>VLOOKUP($C71,Штаб!$B$16:$J$104,8,0)</f>
        <v/>
      </c>
      <c r="G71" s="335" t="str">
        <f>VLOOKUP($C71,Штаб!$B$16:$J$104,9,0)</f>
        <v>✔️</v>
      </c>
      <c r="H71" s="283" t="str">
        <f>VLOOKUP(C71,'РО - регионы'!$B$16:$I$104,8,0)</f>
        <v>0 / 1 / 0 из 1</v>
      </c>
      <c r="I71" s="169"/>
      <c r="J71" s="137"/>
      <c r="K71" s="170"/>
      <c r="L71" s="170"/>
      <c r="M71" s="171"/>
      <c r="N71" s="174">
        <f>VLOOKUP(C71,Спецтехника!$B$16:$J$104,4,0)</f>
        <v>222</v>
      </c>
      <c r="O71" s="175">
        <f>VLOOKUP(C71,Спецтехника!$B$16:$J$104,5,0)</f>
        <v>186</v>
      </c>
      <c r="P71" s="175">
        <f>VLOOKUP(C71,Спецтехника!$B$16:$J$104,6,0)</f>
        <v>36</v>
      </c>
      <c r="Q71" s="198">
        <f>VLOOKUP(C71,Спецтехника!$B$16:$J$104,7,0)</f>
        <v>0.162162162162162</v>
      </c>
      <c r="R71" s="197"/>
      <c r="S71" s="137"/>
      <c r="T71" s="170"/>
      <c r="U71" s="170"/>
      <c r="V71" s="171"/>
      <c r="W71" s="172">
        <f>VLOOKUP($C71,МНО!$B$16:$AB$104,16,0)</f>
        <v>15887</v>
      </c>
      <c r="X71" s="173">
        <f>VLOOKUP($C71,МНО!$B$16:$AB$104,8,0)</f>
        <v>13511</v>
      </c>
      <c r="Y71" s="173">
        <f>VLOOKUP($C71,МНО!$B$16:$AB$104,11,0)</f>
        <v>2376</v>
      </c>
      <c r="Z71" s="216">
        <f>VLOOKUP($C71,МНО!$B$16:$AB$104,17,0)</f>
        <v>0.149556240951722</v>
      </c>
      <c r="AA71" s="213"/>
      <c r="AB71" s="214">
        <f>VLOOKUP($C71,МНО!$B$16:$AB$104,13,0)</f>
        <v>12.0538036703809</v>
      </c>
      <c r="AC71" s="215">
        <f>VLOOKUP($C71,МНО!$B$16:$AB$104,18,0)</f>
        <v>1</v>
      </c>
      <c r="AD71" s="174">
        <f>VLOOKUP($C71,Контейнеры!$B$16:$AB$104,16,0)</f>
        <v>32730</v>
      </c>
      <c r="AE71" s="175">
        <f>VLOOKUP($C71,Контейнеры!$B$16:$AB$104,8,0)</f>
        <v>25841</v>
      </c>
      <c r="AF71" s="175">
        <f>VLOOKUP($C71,Контейнеры!$B$16:$AB$104,11,0)</f>
        <v>6889</v>
      </c>
      <c r="AG71" s="212">
        <f>VLOOKUP($C71,Контейнеры!$B$16:$AB$104,17,0)</f>
        <v>0.210479682248702</v>
      </c>
      <c r="AH71" s="213"/>
      <c r="AI71" s="214">
        <f>VLOOKUP($C71,Контейнеры!$B$16:$AB$104,13,0)</f>
        <v>23.8775270713923</v>
      </c>
      <c r="AJ71" s="215">
        <f>VLOOKUP($C71,Контейнеры!$B$16:$AB$104,18,0)</f>
        <v>1</v>
      </c>
      <c r="AK71" s="231"/>
      <c r="AL71" s="170"/>
      <c r="AM71" s="170"/>
      <c r="AN71" s="232"/>
      <c r="AO71" s="257">
        <f>VLOOKUP($C71,Обработка!$B$16:$L$104,6,0)</f>
        <v>0.823</v>
      </c>
      <c r="AP71" s="250">
        <f t="shared" si="4"/>
        <v>0.28</v>
      </c>
      <c r="AQ71" s="250">
        <f>VLOOKUP($C71,Обработка!$B$16:$L$104,7,0)</f>
        <v>1</v>
      </c>
      <c r="AR71" s="255">
        <f t="shared" si="5"/>
        <v>0.193</v>
      </c>
      <c r="AS71" s="253">
        <f>VLOOKUP($C71,Утилизация!$B$16:$L$104,6,0)</f>
        <v>0.062</v>
      </c>
      <c r="AT71" s="251">
        <f t="shared" si="6"/>
        <v>-0.077</v>
      </c>
      <c r="AU71" s="251">
        <f>VLOOKUP($C71,Утилизация!$B$16:$L$104,7,0)</f>
        <v>0.103</v>
      </c>
      <c r="AV71" s="254">
        <f t="shared" si="7"/>
        <v>-0.183</v>
      </c>
      <c r="AW71" s="279" t="str">
        <f>VLOOKUP(C71,Захоронение!$B$16:$Q$104,16,0)</f>
        <v>свалки</v>
      </c>
      <c r="AX71" s="231"/>
      <c r="AY71" s="170"/>
      <c r="AZ71" s="170"/>
      <c r="BA71" s="171"/>
      <c r="BB71" s="280" t="str">
        <f>VLOOKUP(C71,'ДК ИП'!$B$16:$S$104,5,0)</f>
        <v>небольшое</v>
      </c>
      <c r="BC71" s="327">
        <f>VLOOKUP(C71,'Радар олд'!$B$3:$E$87,4,0)</f>
        <v>0.0988698346286514</v>
      </c>
      <c r="BD71" s="171"/>
      <c r="BI71" s="9">
        <f t="shared" si="8"/>
        <v>1</v>
      </c>
      <c r="BJ71" s="9">
        <f>VLOOKUP(C71,Штаб!$B$16:$C$104,2)</f>
        <v>2</v>
      </c>
      <c r="BK71" s="9">
        <f>VLOOKUP(C71,'РО - регионы'!$B$16:$C$104,2)</f>
        <v>1</v>
      </c>
      <c r="BL71" s="9">
        <f>VLOOKUP(C71,'РО - регионы'!$B$16:$L$104,11)</f>
        <v>2</v>
      </c>
      <c r="BM71" s="9">
        <f>VLOOKUP(C71,Спецтехника!$B$16:$C$104,2)</f>
        <v>1</v>
      </c>
      <c r="BN71" s="9">
        <f>VLOOKUP($C71,МНО!$B$16:$AB$104,6,0)</f>
        <v>0</v>
      </c>
      <c r="BO71" s="9">
        <f>VLOOKUP($C71,МНО!$B$16:$AB$104,4,0)</f>
        <v>0</v>
      </c>
      <c r="BP71" s="9">
        <f>VLOOKUP($C71,МНО!$B$16:$AB$104,5,0)</f>
        <v>0</v>
      </c>
      <c r="BQ71" s="9">
        <f>VLOOKUP($C71,Контейнеры!$B$16:$G$104,6,0)</f>
        <v>1</v>
      </c>
      <c r="BR71" s="9">
        <f>VLOOKUP($C71,Контейнеры!$B$16:$G$104,4,0)</f>
        <v>0</v>
      </c>
      <c r="BS71" s="9">
        <f>VLOOKUP($C71,Контейнеры!$B$16:$G$104,5,0)</f>
        <v>0</v>
      </c>
      <c r="BT71" s="9">
        <f>VLOOKUP($C71,'ДК МНО'!$B$16:$C$104,2,0)</f>
        <v>2</v>
      </c>
      <c r="BU71" s="9">
        <f>VLOOKUP($C71,Обработка!$B$16:$F$104,5,0)</f>
        <v>0</v>
      </c>
      <c r="BV71" s="9">
        <f>VLOOKUP($C71,Обработка!$B$16:$F$104,4,0)</f>
        <v>0</v>
      </c>
      <c r="BW71" s="9">
        <f>VLOOKUP($C71,Утилизация!$B$16:$F$104,5,0)</f>
        <v>2</v>
      </c>
      <c r="BX71" s="9">
        <f>VLOOKUP($C71,Утилизация!$B$16:$F$104,4,0)</f>
        <v>2</v>
      </c>
      <c r="BY71" s="9">
        <f>VLOOKUP($C71,Захоронение!$B$16:$C$104,2,0)</f>
        <v>2</v>
      </c>
      <c r="BZ71" s="9">
        <f>VLOOKUP($C71,'ДК ИП'!$B$16:$C$104,2,0)</f>
        <v>0</v>
      </c>
      <c r="CA71" s="9">
        <f t="shared" si="9"/>
        <v>1</v>
      </c>
    </row>
    <row r="72" ht="30" customHeight="1" spans="1:79">
      <c r="A72" s="6" t="s">
        <v>104</v>
      </c>
      <c r="B72" s="331">
        <f t="shared" si="3"/>
        <v>62</v>
      </c>
      <c r="C72" s="332" t="s">
        <v>136</v>
      </c>
      <c r="D72" s="333" t="str">
        <f>VLOOKUP($C72,Штаб!$B$16:$J$104,6,0)</f>
        <v/>
      </c>
      <c r="E72" s="334" t="str">
        <f>VLOOKUP($C72,Штаб!$B$16:$J$104,7,0)</f>
        <v/>
      </c>
      <c r="F72" s="334" t="str">
        <f>VLOOKUP($C72,Штаб!$B$16:$J$104,8,0)</f>
        <v/>
      </c>
      <c r="G72" s="335" t="str">
        <f>VLOOKUP($C72,Штаб!$B$16:$J$104,9,0)</f>
        <v>✔️</v>
      </c>
      <c r="H72" s="283" t="str">
        <f>VLOOKUP(C72,'РО - регионы'!$B$16:$I$104,8,0)</f>
        <v>0 / 3 / 0 из 3</v>
      </c>
      <c r="I72" s="169"/>
      <c r="J72" s="137"/>
      <c r="K72" s="170"/>
      <c r="L72" s="170"/>
      <c r="M72" s="171"/>
      <c r="N72" s="176">
        <f>VLOOKUP(C72,Спецтехника!$B$16:$J$104,4,0)</f>
        <v>263</v>
      </c>
      <c r="O72" s="177">
        <f>VLOOKUP(C72,Спецтехника!$B$16:$J$104,5,0)</f>
        <v>139</v>
      </c>
      <c r="P72" s="177">
        <f>VLOOKUP(C72,Спецтехника!$B$16:$J$104,6,0)</f>
        <v>124</v>
      </c>
      <c r="Q72" s="199">
        <f>VLOOKUP(C72,Спецтехника!$B$16:$J$104,7,0)</f>
        <v>0.47148288973384</v>
      </c>
      <c r="R72" s="197"/>
      <c r="S72" s="137"/>
      <c r="T72" s="170"/>
      <c r="U72" s="170"/>
      <c r="V72" s="171"/>
      <c r="W72" s="176">
        <f>VLOOKUP($C72,МНО!$B$16:$AB$104,16,0)</f>
        <v>11459</v>
      </c>
      <c r="X72" s="177">
        <f>VLOOKUP($C72,МНО!$B$16:$AB$104,8,0)</f>
        <v>6173</v>
      </c>
      <c r="Y72" s="177">
        <f>VLOOKUP($C72,МНО!$B$16:$AB$104,11,0)</f>
        <v>5286</v>
      </c>
      <c r="Z72" s="217">
        <f>VLOOKUP($C72,МНО!$B$16:$AB$104,17,0)</f>
        <v>0.461296797277249</v>
      </c>
      <c r="AA72" s="213"/>
      <c r="AB72" s="214">
        <f>VLOOKUP($C72,МНО!$B$16:$AB$104,13,0)</f>
        <v>1.82444038531983</v>
      </c>
      <c r="AC72" s="215">
        <f>VLOOKUP($C72,МНО!$B$16:$AB$104,18,0)</f>
        <v>1</v>
      </c>
      <c r="AD72" s="172">
        <f>VLOOKUP($C72,Контейнеры!$B$16:$AB$104,16,0)</f>
        <v>18260</v>
      </c>
      <c r="AE72" s="173">
        <f>VLOOKUP($C72,Контейнеры!$B$16:$AB$104,8,0)</f>
        <v>18260</v>
      </c>
      <c r="AF72" s="173">
        <f>VLOOKUP($C72,Контейнеры!$B$16:$AB$104,11,0)</f>
        <v>0</v>
      </c>
      <c r="AG72" s="216">
        <f>VLOOKUP($C72,Контейнеры!$B$16:$AB$104,17,0)</f>
        <v>0</v>
      </c>
      <c r="AH72" s="213"/>
      <c r="AI72" s="214">
        <f>VLOOKUP($C72,Контейнеры!$B$16:$AB$104,13,0)</f>
        <v>5.64936093538072</v>
      </c>
      <c r="AJ72" s="215">
        <f>VLOOKUP($C72,Контейнеры!$B$16:$AB$104,18,0)</f>
        <v>1</v>
      </c>
      <c r="AK72" s="231"/>
      <c r="AL72" s="170"/>
      <c r="AM72" s="170"/>
      <c r="AN72" s="232"/>
      <c r="AO72" s="249">
        <f>VLOOKUP($C72,Обработка!$B$16:$L$104,6,0)</f>
        <v>0</v>
      </c>
      <c r="AP72" s="251">
        <f t="shared" si="4"/>
        <v>-0.543</v>
      </c>
      <c r="AQ72" s="250">
        <f>VLOOKUP($C72,Обработка!$B$16:$L$104,7,0)</f>
        <v>1</v>
      </c>
      <c r="AR72" s="255">
        <f t="shared" si="5"/>
        <v>0.193</v>
      </c>
      <c r="AS72" s="253">
        <f>VLOOKUP($C72,Утилизация!$B$16:$L$104,6,0)</f>
        <v>0</v>
      </c>
      <c r="AT72" s="251">
        <f t="shared" si="6"/>
        <v>-0.139</v>
      </c>
      <c r="AU72" s="250">
        <f>VLOOKUP($C72,Утилизация!$B$16:$L$104,7,0)</f>
        <v>0.5</v>
      </c>
      <c r="AV72" s="256">
        <f t="shared" si="7"/>
        <v>0.214</v>
      </c>
      <c r="AW72" s="283" t="str">
        <f>VLOOKUP(C72,Захоронение!$B$16:$Q$104,16,0)</f>
        <v>перегруз</v>
      </c>
      <c r="AX72" s="231"/>
      <c r="AY72" s="170"/>
      <c r="AZ72" s="170"/>
      <c r="BA72" s="171"/>
      <c r="BB72" s="280" t="str">
        <f>VLOOKUP(C72,'ДК ИП'!$B$16:$S$104,5,0)</f>
        <v>нет</v>
      </c>
      <c r="BC72" s="327">
        <f>VLOOKUP(C72,'Радар олд'!$B$3:$E$87,4,0)</f>
        <v>0.0275352203312642</v>
      </c>
      <c r="BD72" s="171"/>
      <c r="BI72" s="9">
        <f t="shared" si="8"/>
        <v>1</v>
      </c>
      <c r="BJ72" s="9">
        <f>VLOOKUP(C72,Штаб!$B$16:$C$104,2)</f>
        <v>2</v>
      </c>
      <c r="BK72" s="9">
        <f>VLOOKUP(C72,'РО - регионы'!$B$16:$C$104,2)</f>
        <v>1</v>
      </c>
      <c r="BL72" s="9">
        <f>VLOOKUP(C72,'РО - регионы'!$B$16:$L$104,11)</f>
        <v>2</v>
      </c>
      <c r="BM72" s="9">
        <f>VLOOKUP(C72,Спецтехника!$B$16:$C$104,2)</f>
        <v>2</v>
      </c>
      <c r="BN72" s="9">
        <f>VLOOKUP($C72,МНО!$B$16:$AB$104,6,0)</f>
        <v>2</v>
      </c>
      <c r="BO72" s="9">
        <f>VLOOKUP($C72,МНО!$B$16:$AB$104,4,0)</f>
        <v>2</v>
      </c>
      <c r="BP72" s="9">
        <f>VLOOKUP($C72,МНО!$B$16:$AB$104,5,0)</f>
        <v>0</v>
      </c>
      <c r="BQ72" s="9">
        <f>VLOOKUP($C72,Контейнеры!$B$16:$G$104,6,0)</f>
        <v>2</v>
      </c>
      <c r="BR72" s="9">
        <f>VLOOKUP($C72,Контейнеры!$B$16:$G$104,4,0)</f>
        <v>2</v>
      </c>
      <c r="BS72" s="9">
        <f>VLOOKUP($C72,Контейнеры!$B$16:$G$104,5,0)</f>
        <v>0</v>
      </c>
      <c r="BT72" s="9">
        <f>VLOOKUP($C72,'ДК МНО'!$B$16:$C$104,2,0)</f>
        <v>2</v>
      </c>
      <c r="BU72" s="9">
        <f>VLOOKUP($C72,Обработка!$B$16:$F$104,5,0)</f>
        <v>0</v>
      </c>
      <c r="BV72" s="9">
        <f>VLOOKUP($C72,Обработка!$B$16:$F$104,4,0)</f>
        <v>2</v>
      </c>
      <c r="BW72" s="9">
        <f>VLOOKUP($C72,Утилизация!$B$16:$F$104,5,0)</f>
        <v>0</v>
      </c>
      <c r="BX72" s="9">
        <f>VLOOKUP($C72,Утилизация!$B$16:$F$104,4,0)</f>
        <v>2</v>
      </c>
      <c r="BY72" s="9">
        <f>VLOOKUP($C72,Захоронение!$B$16:$C$104,2,0)</f>
        <v>1</v>
      </c>
      <c r="BZ72" s="9">
        <f>VLOOKUP($C72,'ДК ИП'!$B$16:$C$104,2,0)</f>
        <v>0</v>
      </c>
      <c r="CA72" s="9">
        <f t="shared" si="9"/>
        <v>1.15</v>
      </c>
    </row>
    <row r="73" ht="30" customHeight="1" spans="1:79">
      <c r="A73" s="6" t="s">
        <v>67</v>
      </c>
      <c r="B73" s="331">
        <f t="shared" si="3"/>
        <v>63</v>
      </c>
      <c r="C73" s="332" t="s">
        <v>137</v>
      </c>
      <c r="D73" s="333" t="str">
        <f>VLOOKUP($C73,Штаб!$B$16:$J$104,6,0)</f>
        <v>✔️</v>
      </c>
      <c r="E73" s="334" t="str">
        <f>VLOOKUP($C73,Штаб!$B$16:$J$104,7,0)</f>
        <v/>
      </c>
      <c r="F73" s="334" t="str">
        <f>VLOOKUP($C73,Штаб!$B$16:$J$104,8,0)</f>
        <v/>
      </c>
      <c r="G73" s="335" t="str">
        <f>VLOOKUP($C73,Штаб!$B$16:$J$104,9,0)</f>
        <v/>
      </c>
      <c r="H73" s="283" t="str">
        <f>VLOOKUP(C73,'РО - регионы'!$B$16:$I$104,8,0)</f>
        <v>0 / 1 / 7 из 8</v>
      </c>
      <c r="I73" s="169"/>
      <c r="J73" s="137"/>
      <c r="K73" s="170"/>
      <c r="L73" s="170"/>
      <c r="M73" s="171"/>
      <c r="N73" s="172">
        <f>VLOOKUP(C73,Спецтехника!$B$16:$J$104,4,0)</f>
        <v>535</v>
      </c>
      <c r="O73" s="173">
        <f>VLOOKUP(C73,Спецтехника!$B$16:$J$104,5,0)</f>
        <v>516</v>
      </c>
      <c r="P73" s="173">
        <f>VLOOKUP(C73,Спецтехника!$B$16:$J$104,6,0)</f>
        <v>19</v>
      </c>
      <c r="Q73" s="196">
        <f>VLOOKUP(C73,Спецтехника!$B$16:$J$104,7,0)</f>
        <v>0.0355140186915888</v>
      </c>
      <c r="R73" s="197"/>
      <c r="S73" s="137"/>
      <c r="T73" s="170"/>
      <c r="U73" s="170"/>
      <c r="V73" s="171"/>
      <c r="W73" s="176">
        <f>VLOOKUP($C73,МНО!$B$16:$AB$104,16,0)</f>
        <v>32140</v>
      </c>
      <c r="X73" s="177">
        <f>VLOOKUP($C73,МНО!$B$16:$AB$104,8,0)</f>
        <v>21745</v>
      </c>
      <c r="Y73" s="177">
        <f>VLOOKUP($C73,МНО!$B$16:$AB$104,11,0)</f>
        <v>10395</v>
      </c>
      <c r="Z73" s="217">
        <f>VLOOKUP($C73,МНО!$B$16:$AB$104,17,0)</f>
        <v>0.323428749222153</v>
      </c>
      <c r="AA73" s="213"/>
      <c r="AB73" s="214">
        <f>VLOOKUP($C73,МНО!$B$16:$AB$104,13,0)</f>
        <v>8.49602162735653</v>
      </c>
      <c r="AC73" s="215">
        <f>VLOOKUP($C73,МНО!$B$16:$AB$104,18,0)</f>
        <v>1</v>
      </c>
      <c r="AD73" s="174">
        <f>VLOOKUP($C73,Контейнеры!$B$16:$AB$104,16,0)</f>
        <v>43480</v>
      </c>
      <c r="AE73" s="175">
        <f>VLOOKUP($C73,Контейнеры!$B$16:$AB$104,8,0)</f>
        <v>43066</v>
      </c>
      <c r="AF73" s="175">
        <f>VLOOKUP($C73,Контейнеры!$B$16:$AB$104,11,0)</f>
        <v>414</v>
      </c>
      <c r="AG73" s="212">
        <f>VLOOKUP($C73,Контейнеры!$B$16:$AB$104,17,0)</f>
        <v>0.00952161913523459</v>
      </c>
      <c r="AH73" s="213"/>
      <c r="AI73" s="214">
        <f>VLOOKUP($C73,Контейнеры!$B$16:$AB$104,13,0)</f>
        <v>18.94329109002</v>
      </c>
      <c r="AJ73" s="215">
        <f>VLOOKUP($C73,Контейнеры!$B$16:$AB$104,18,0)</f>
        <v>0.803710062705285</v>
      </c>
      <c r="AK73" s="231"/>
      <c r="AL73" s="170"/>
      <c r="AM73" s="170"/>
      <c r="AN73" s="232"/>
      <c r="AO73" s="257">
        <f>VLOOKUP($C73,Обработка!$B$16:$L$104,6,0)</f>
        <v>0.565</v>
      </c>
      <c r="AP73" s="250">
        <f t="shared" si="4"/>
        <v>0.0219999999999999</v>
      </c>
      <c r="AQ73" s="259">
        <f>VLOOKUP($C73,Обработка!$B$16:$L$104,7,0)</f>
        <v>0.53</v>
      </c>
      <c r="AR73" s="262">
        <f t="shared" si="5"/>
        <v>-0.277</v>
      </c>
      <c r="AS73" s="253">
        <f>VLOOKUP($C73,Утилизация!$B$16:$L$104,6,0)</f>
        <v>0.041</v>
      </c>
      <c r="AT73" s="251">
        <f t="shared" si="6"/>
        <v>-0.098</v>
      </c>
      <c r="AU73" s="251">
        <f>VLOOKUP($C73,Утилизация!$B$16:$L$104,7,0)</f>
        <v>0.035</v>
      </c>
      <c r="AV73" s="254">
        <f t="shared" si="7"/>
        <v>-0.251</v>
      </c>
      <c r="AW73" s="283" t="str">
        <f>VLOOKUP(C73,Захоронение!$B$16:$Q$104,16,0)</f>
        <v>765 приказ</v>
      </c>
      <c r="AX73" s="231"/>
      <c r="AY73" s="170"/>
      <c r="AZ73" s="170"/>
      <c r="BA73" s="171"/>
      <c r="BB73" s="280" t="str">
        <f>VLOOKUP(C73,'ДК ИП'!$B$16:$S$104,5,0)</f>
        <v>существенное</v>
      </c>
      <c r="BC73" s="327">
        <f>VLOOKUP(C73,'Радар олд'!$B$3:$E$87,4,0)</f>
        <v>0.0782962386574922</v>
      </c>
      <c r="BD73" s="171"/>
      <c r="BI73" s="9">
        <f t="shared" si="8"/>
        <v>1</v>
      </c>
      <c r="BJ73" s="9">
        <f>VLOOKUP(C73,Штаб!$B$16:$C$104,2)</f>
        <v>0</v>
      </c>
      <c r="BK73" s="9">
        <f>VLOOKUP(C73,'РО - регионы'!$B$16:$C$104,2)</f>
        <v>1</v>
      </c>
      <c r="BL73" s="9">
        <f>VLOOKUP(C73,'РО - регионы'!$B$16:$L$104,11)</f>
        <v>2</v>
      </c>
      <c r="BM73" s="9">
        <f>VLOOKUP(C73,Спецтехника!$B$16:$C$104,2)</f>
        <v>0</v>
      </c>
      <c r="BN73" s="9">
        <f>VLOOKUP($C73,МНО!$B$16:$AB$104,6,0)</f>
        <v>1</v>
      </c>
      <c r="BO73" s="9">
        <f>VLOOKUP($C73,МНО!$B$16:$AB$104,4,0)</f>
        <v>0</v>
      </c>
      <c r="BP73" s="9">
        <f>VLOOKUP($C73,МНО!$B$16:$AB$104,5,0)</f>
        <v>0</v>
      </c>
      <c r="BQ73" s="9">
        <f>VLOOKUP($C73,Контейнеры!$B$16:$G$104,6,0)</f>
        <v>0</v>
      </c>
      <c r="BR73" s="9">
        <f>VLOOKUP($C73,Контейнеры!$B$16:$G$104,4,0)</f>
        <v>0</v>
      </c>
      <c r="BS73" s="9">
        <f>VLOOKUP($C73,Контейнеры!$B$16:$G$104,5,0)</f>
        <v>2</v>
      </c>
      <c r="BT73" s="9">
        <f>VLOOKUP($C73,'ДК МНО'!$B$16:$C$104,2,0)</f>
        <v>2</v>
      </c>
      <c r="BU73" s="9">
        <f>VLOOKUP($C73,Обработка!$B$16:$F$104,5,0)</f>
        <v>1</v>
      </c>
      <c r="BV73" s="9">
        <f>VLOOKUP($C73,Обработка!$B$16:$F$104,4,0)</f>
        <v>0</v>
      </c>
      <c r="BW73" s="9">
        <f>VLOOKUP($C73,Утилизация!$B$16:$F$104,5,0)</f>
        <v>2</v>
      </c>
      <c r="BX73" s="9">
        <f>VLOOKUP($C73,Утилизация!$B$16:$F$104,4,0)</f>
        <v>2</v>
      </c>
      <c r="BY73" s="9">
        <f>VLOOKUP($C73,Захоронение!$B$16:$C$104,2,0)</f>
        <v>1</v>
      </c>
      <c r="BZ73" s="9">
        <f>VLOOKUP($C73,'ДК ИП'!$B$16:$C$104,2,0)</f>
        <v>2</v>
      </c>
      <c r="CA73" s="9">
        <f t="shared" si="9"/>
        <v>0.95</v>
      </c>
    </row>
    <row r="74" ht="30" customHeight="1" spans="1:79">
      <c r="A74" s="6" t="s">
        <v>104</v>
      </c>
      <c r="B74" s="331">
        <f t="shared" si="3"/>
        <v>64</v>
      </c>
      <c r="C74" s="332" t="s">
        <v>138</v>
      </c>
      <c r="D74" s="333" t="str">
        <f>VLOOKUP($C74,Штаб!$B$16:$J$104,6,0)</f>
        <v>✔️</v>
      </c>
      <c r="E74" s="334" t="str">
        <f>VLOOKUP($C74,Штаб!$B$16:$J$104,7,0)</f>
        <v/>
      </c>
      <c r="F74" s="334" t="str">
        <f>VLOOKUP($C74,Штаб!$B$16:$J$104,8,0)</f>
        <v/>
      </c>
      <c r="G74" s="335" t="str">
        <f>VLOOKUP($C74,Штаб!$B$16:$J$104,9,0)</f>
        <v/>
      </c>
      <c r="H74" s="283" t="str">
        <f>VLOOKUP(C74,'РО - регионы'!$B$16:$I$104,8,0)</f>
        <v>0 / 1 / 1 из 2</v>
      </c>
      <c r="I74" s="169"/>
      <c r="J74" s="137"/>
      <c r="K74" s="170"/>
      <c r="L74" s="170"/>
      <c r="M74" s="171"/>
      <c r="N74" s="176">
        <f>VLOOKUP(C74,Спецтехника!$B$16:$J$104,4,0)</f>
        <v>94</v>
      </c>
      <c r="O74" s="177">
        <f>VLOOKUP(C74,Спецтехника!$B$16:$J$104,5,0)</f>
        <v>70</v>
      </c>
      <c r="P74" s="177">
        <f>VLOOKUP(C74,Спецтехника!$B$16:$J$104,6,0)</f>
        <v>24</v>
      </c>
      <c r="Q74" s="199">
        <f>VLOOKUP(C74,Спецтехника!$B$16:$J$104,7,0)</f>
        <v>0.25531914893617</v>
      </c>
      <c r="R74" s="197"/>
      <c r="S74" s="137"/>
      <c r="T74" s="170"/>
      <c r="U74" s="170"/>
      <c r="V74" s="171"/>
      <c r="W74" s="176">
        <f>VLOOKUP($C74,МНО!$B$16:$AB$104,16,0)</f>
        <v>2818</v>
      </c>
      <c r="X74" s="177">
        <f>VLOOKUP($C74,МНО!$B$16:$AB$104,8,0)</f>
        <v>1118</v>
      </c>
      <c r="Y74" s="177">
        <f>VLOOKUP($C74,МНО!$B$16:$AB$104,11,0)</f>
        <v>1700</v>
      </c>
      <c r="Z74" s="217">
        <f>VLOOKUP($C74,МНО!$B$16:$AB$104,17,0)</f>
        <v>0.603264726756565</v>
      </c>
      <c r="AA74" s="213"/>
      <c r="AB74" s="214">
        <f>VLOOKUP($C74,МНО!$B$16:$AB$104,13,0)</f>
        <v>2.35521713692716</v>
      </c>
      <c r="AC74" s="215">
        <f>VLOOKUP($C74,МНО!$B$16:$AB$104,18,0)</f>
        <v>0.695273631840796</v>
      </c>
      <c r="AD74" s="176">
        <f>VLOOKUP($C74,Контейнеры!$B$16:$AB$104,16,0)</f>
        <v>3974</v>
      </c>
      <c r="AE74" s="177">
        <f>VLOOKUP($C74,Контейнеры!$B$16:$AB$104,8,0)</f>
        <v>2474</v>
      </c>
      <c r="AF74" s="177">
        <f>VLOOKUP($C74,Контейнеры!$B$16:$AB$104,11,0)</f>
        <v>1500</v>
      </c>
      <c r="AG74" s="217">
        <f>VLOOKUP($C74,Контейнеры!$B$16:$AB$104,17,0)</f>
        <v>0.377453447408153</v>
      </c>
      <c r="AH74" s="213"/>
      <c r="AI74" s="214">
        <f>VLOOKUP($C74,Контейнеры!$B$16:$AB$104,13,0)</f>
        <v>5.28269011492093</v>
      </c>
      <c r="AJ74" s="215">
        <f>VLOOKUP($C74,Контейнеры!$B$16:$AB$104,18,0)</f>
        <v>0.570966997461343</v>
      </c>
      <c r="AK74" s="231"/>
      <c r="AL74" s="170"/>
      <c r="AM74" s="170"/>
      <c r="AN74" s="232"/>
      <c r="AO74" s="261">
        <f>VLOOKUP($C74,Обработка!$B$16:$L$104,6,0)</f>
        <v>0.477</v>
      </c>
      <c r="AP74" s="259">
        <f t="shared" si="4"/>
        <v>-0.066</v>
      </c>
      <c r="AQ74" s="259">
        <f>VLOOKUP($C74,Обработка!$B$16:$L$104,7,0)</f>
        <v>0.46</v>
      </c>
      <c r="AR74" s="262">
        <f t="shared" si="5"/>
        <v>-0.347</v>
      </c>
      <c r="AS74" s="253">
        <f>VLOOKUP($C74,Утилизация!$B$16:$L$104,6,0)</f>
        <v>0.255</v>
      </c>
      <c r="AT74" s="251">
        <f t="shared" si="6"/>
        <v>0.116</v>
      </c>
      <c r="AU74" s="259">
        <f>VLOOKUP($C74,Утилизация!$B$16:$L$104,7,0)</f>
        <v>0.18</v>
      </c>
      <c r="AV74" s="260">
        <f t="shared" si="7"/>
        <v>-0.106</v>
      </c>
      <c r="AW74" s="284" t="str">
        <f>VLOOKUP(C74,Захоронение!$B$16:$Q$104,16,0)</f>
        <v/>
      </c>
      <c r="AX74" s="231"/>
      <c r="AY74" s="170"/>
      <c r="AZ74" s="170"/>
      <c r="BA74" s="171"/>
      <c r="BB74" s="280" t="str">
        <f>VLOOKUP(C74,'ДК ИП'!$B$16:$S$104,5,0)</f>
        <v>существенное</v>
      </c>
      <c r="BC74" s="327">
        <f>VLOOKUP(C74,'Радар олд'!$B$3:$E$87,4,0)</f>
        <v>0.055517357715418</v>
      </c>
      <c r="BD74" s="171"/>
      <c r="BI74" s="9">
        <f t="shared" si="8"/>
        <v>1</v>
      </c>
      <c r="BJ74" s="9">
        <f>VLOOKUP(C74,Штаб!$B$16:$C$104,2)</f>
        <v>0</v>
      </c>
      <c r="BK74" s="9">
        <f>VLOOKUP(C74,'РО - регионы'!$B$16:$C$104,2)</f>
        <v>1</v>
      </c>
      <c r="BL74" s="9">
        <f>VLOOKUP(C74,'РО - регионы'!$B$16:$L$104,11)</f>
        <v>2</v>
      </c>
      <c r="BM74" s="9">
        <f>VLOOKUP(C74,Спецтехника!$B$16:$C$104,2)</f>
        <v>2</v>
      </c>
      <c r="BN74" s="9">
        <f>VLOOKUP($C74,МНО!$B$16:$AB$104,6,0)</f>
        <v>2</v>
      </c>
      <c r="BO74" s="9">
        <f>VLOOKUP($C74,МНО!$B$16:$AB$104,4,0)</f>
        <v>2</v>
      </c>
      <c r="BP74" s="9">
        <f>VLOOKUP($C74,МНО!$B$16:$AB$104,5,0)</f>
        <v>1</v>
      </c>
      <c r="BQ74" s="9">
        <f>VLOOKUP($C74,Контейнеры!$B$16:$G$104,6,0)</f>
        <v>2</v>
      </c>
      <c r="BR74" s="9">
        <f>VLOOKUP($C74,Контейнеры!$B$16:$G$104,4,0)</f>
        <v>0</v>
      </c>
      <c r="BS74" s="9">
        <f>VLOOKUP($C74,Контейнеры!$B$16:$G$104,5,0)</f>
        <v>2</v>
      </c>
      <c r="BT74" s="9">
        <f>VLOOKUP($C74,'ДК МНО'!$B$16:$C$104,2,0)</f>
        <v>2</v>
      </c>
      <c r="BU74" s="9">
        <f>VLOOKUP($C74,Обработка!$B$16:$F$104,5,0)</f>
        <v>1</v>
      </c>
      <c r="BV74" s="9">
        <f>VLOOKUP($C74,Обработка!$B$16:$F$104,4,0)</f>
        <v>1</v>
      </c>
      <c r="BW74" s="9">
        <f>VLOOKUP($C74,Утилизация!$B$16:$F$104,5,0)</f>
        <v>1</v>
      </c>
      <c r="BX74" s="9">
        <f>VLOOKUP($C74,Утилизация!$B$16:$F$104,4,0)</f>
        <v>2</v>
      </c>
      <c r="BY74" s="9">
        <f>VLOOKUP($C74,Захоронение!$B$16:$C$104,2,0)</f>
        <v>0</v>
      </c>
      <c r="BZ74" s="9">
        <f>VLOOKUP($C74,'ДК ИП'!$B$16:$C$104,2,0)</f>
        <v>2</v>
      </c>
      <c r="CA74" s="9">
        <f t="shared" si="9"/>
        <v>1.05</v>
      </c>
    </row>
    <row r="75" ht="30" customHeight="1" spans="1:79">
      <c r="A75" s="6" t="s">
        <v>108</v>
      </c>
      <c r="B75" s="331">
        <f t="shared" ref="B75:B81" si="10">B74+1</f>
        <v>65</v>
      </c>
      <c r="C75" s="332" t="s">
        <v>139</v>
      </c>
      <c r="D75" s="333" t="str">
        <f>VLOOKUP($C75,Штаб!$B$16:$J$104,6,0)</f>
        <v>✔️</v>
      </c>
      <c r="E75" s="334" t="str">
        <f>VLOOKUP($C75,Штаб!$B$16:$J$104,7,0)</f>
        <v/>
      </c>
      <c r="F75" s="334" t="str">
        <f>VLOOKUP($C75,Штаб!$B$16:$J$104,8,0)</f>
        <v/>
      </c>
      <c r="G75" s="335" t="str">
        <f>VLOOKUP($C75,Штаб!$B$16:$J$104,9,0)</f>
        <v/>
      </c>
      <c r="H75" s="283" t="str">
        <f>VLOOKUP(C75,'РО - регионы'!$B$16:$I$104,8,0)</f>
        <v>0 / 1 / 0 из 1</v>
      </c>
      <c r="I75" s="169"/>
      <c r="J75" s="137"/>
      <c r="K75" s="170"/>
      <c r="L75" s="170"/>
      <c r="M75" s="171"/>
      <c r="N75" s="172">
        <f>VLOOKUP(C75,Спецтехника!$B$16:$J$104,4,0)</f>
        <v>191</v>
      </c>
      <c r="O75" s="173">
        <f>VLOOKUP(C75,Спецтехника!$B$16:$J$104,5,0)</f>
        <v>191</v>
      </c>
      <c r="P75" s="173">
        <f>VLOOKUP(C75,Спецтехника!$B$16:$J$104,6,0)</f>
        <v>0</v>
      </c>
      <c r="Q75" s="196">
        <f>VLOOKUP(C75,Спецтехника!$B$16:$J$104,7,0)</f>
        <v>0</v>
      </c>
      <c r="R75" s="197"/>
      <c r="S75" s="137"/>
      <c r="T75" s="170"/>
      <c r="U75" s="170"/>
      <c r="V75" s="171"/>
      <c r="W75" s="172">
        <f>VLOOKUP($C75,МНО!$B$16:$AB$104,16,0)</f>
        <v>21898</v>
      </c>
      <c r="X75" s="173">
        <f>VLOOKUP($C75,МНО!$B$16:$AB$104,8,0)</f>
        <v>19250</v>
      </c>
      <c r="Y75" s="173">
        <f>VLOOKUP($C75,МНО!$B$16:$AB$104,11,0)</f>
        <v>2648</v>
      </c>
      <c r="Z75" s="216">
        <f>VLOOKUP($C75,МНО!$B$16:$AB$104,17,0)</f>
        <v>0.120924285322861</v>
      </c>
      <c r="AA75" s="213"/>
      <c r="AB75" s="214">
        <f>VLOOKUP($C75,МНО!$B$16:$AB$104,13,0)</f>
        <v>10.0451407051234</v>
      </c>
      <c r="AC75" s="215">
        <f>VLOOKUP($C75,МНО!$B$16:$AB$104,18,0)</f>
        <v>1</v>
      </c>
      <c r="AD75" s="172">
        <f>VLOOKUP($C75,Контейнеры!$B$16:$AB$104,16,0)</f>
        <v>42882</v>
      </c>
      <c r="AE75" s="173">
        <f>VLOOKUP($C75,Контейнеры!$B$16:$AB$104,8,0)</f>
        <v>38248</v>
      </c>
      <c r="AF75" s="173">
        <f>VLOOKUP($C75,Контейнеры!$B$16:$AB$104,11,0)</f>
        <v>4634</v>
      </c>
      <c r="AG75" s="216">
        <f>VLOOKUP($C75,Контейнеры!$B$16:$AB$104,17,0)</f>
        <v>0.108063989552726</v>
      </c>
      <c r="AH75" s="213"/>
      <c r="AI75" s="214">
        <f>VLOOKUP($C75,Контейнеры!$B$16:$AB$104,13,0)</f>
        <v>21.0374276783421</v>
      </c>
      <c r="AJ75" s="215">
        <f>VLOOKUP($C75,Контейнеры!$B$16:$AB$104,18,0)</f>
        <v>0.987121583606473</v>
      </c>
      <c r="AK75" s="231"/>
      <c r="AL75" s="170"/>
      <c r="AM75" s="170"/>
      <c r="AN75" s="232"/>
      <c r="AO75" s="261">
        <f>VLOOKUP($C75,Обработка!$B$16:$L$104,6,0)</f>
        <v>0.467</v>
      </c>
      <c r="AP75" s="259">
        <f t="shared" ref="AP75:AP99" si="11">AO75-$AO$10</f>
        <v>-0.076</v>
      </c>
      <c r="AQ75" s="250">
        <f>VLOOKUP($C75,Обработка!$B$16:$L$104,7,0)</f>
        <v>1</v>
      </c>
      <c r="AR75" s="255">
        <f t="shared" ref="AR75:AR99" si="12">AQ75-$AQ$10</f>
        <v>0.193</v>
      </c>
      <c r="AS75" s="253">
        <f>VLOOKUP($C75,Утилизация!$B$16:$L$104,6,0)</f>
        <v>0.019</v>
      </c>
      <c r="AT75" s="251">
        <f t="shared" ref="AT75:AT99" si="13">AS75-$AS$10</f>
        <v>-0.12</v>
      </c>
      <c r="AU75" s="250">
        <f>VLOOKUP($C75,Утилизация!$B$16:$L$104,7,0)</f>
        <v>0.309</v>
      </c>
      <c r="AV75" s="256">
        <f t="shared" ref="AV75:AV99" si="14">AU75-$AU$10</f>
        <v>0.023</v>
      </c>
      <c r="AW75" s="279" t="str">
        <f>VLOOKUP(C75,Захоронение!$B$16:$Q$104,16,0)</f>
        <v>765 приказ</v>
      </c>
      <c r="AX75" s="231"/>
      <c r="AY75" s="170"/>
      <c r="AZ75" s="170"/>
      <c r="BA75" s="171"/>
      <c r="BB75" s="280" t="str">
        <f>VLOOKUP(C75,'ДК ИП'!$B$16:$S$104,5,0)</f>
        <v>существенное</v>
      </c>
      <c r="BC75" s="327">
        <f>VLOOKUP(C75,'Радар олд'!$B$3:$E$87,4,0)</f>
        <v>0.0500524450619413</v>
      </c>
      <c r="BD75" s="171"/>
      <c r="BI75" s="9">
        <f t="shared" ref="BI75:BI99" si="15">IF(CA75&gt;=1.3,2,IF(CA75&gt;=0.8,1,0))</f>
        <v>1</v>
      </c>
      <c r="BJ75" s="9">
        <f>VLOOKUP(C75,Штаб!$B$16:$C$104,2)</f>
        <v>0</v>
      </c>
      <c r="BK75" s="9">
        <f>VLOOKUP(C75,'РО - регионы'!$B$16:$C$104,2)</f>
        <v>1</v>
      </c>
      <c r="BL75" s="9">
        <f>VLOOKUP(C75,'РО - регионы'!$B$16:$L$104,11)</f>
        <v>0</v>
      </c>
      <c r="BM75" s="9">
        <f>VLOOKUP(C75,Спецтехника!$B$16:$C$104,2)</f>
        <v>0</v>
      </c>
      <c r="BN75" s="9">
        <f>VLOOKUP($C75,МНО!$B$16:$AB$104,6,0)</f>
        <v>0</v>
      </c>
      <c r="BO75" s="9">
        <f>VLOOKUP($C75,МНО!$B$16:$AB$104,4,0)</f>
        <v>0</v>
      </c>
      <c r="BP75" s="9">
        <f>VLOOKUP($C75,МНО!$B$16:$AB$104,5,0)</f>
        <v>0</v>
      </c>
      <c r="BQ75" s="9">
        <f>VLOOKUP($C75,Контейнеры!$B$16:$G$104,6,0)</f>
        <v>0</v>
      </c>
      <c r="BR75" s="9">
        <f>VLOOKUP($C75,Контейнеры!$B$16:$G$104,4,0)</f>
        <v>0</v>
      </c>
      <c r="BS75" s="9">
        <f>VLOOKUP($C75,Контейнеры!$B$16:$G$104,5,0)</f>
        <v>0</v>
      </c>
      <c r="BT75" s="9">
        <f>VLOOKUP($C75,'ДК МНО'!$B$16:$C$104,2,0)</f>
        <v>2</v>
      </c>
      <c r="BU75" s="9">
        <f>VLOOKUP($C75,Обработка!$B$16:$F$104,5,0)</f>
        <v>0</v>
      </c>
      <c r="BV75" s="9">
        <f>VLOOKUP($C75,Обработка!$B$16:$F$104,4,0)</f>
        <v>1</v>
      </c>
      <c r="BW75" s="9">
        <f>VLOOKUP($C75,Утилизация!$B$16:$F$104,5,0)</f>
        <v>0</v>
      </c>
      <c r="BX75" s="9">
        <f>VLOOKUP($C75,Утилизация!$B$16:$F$104,4,0)</f>
        <v>2</v>
      </c>
      <c r="BY75" s="9">
        <f>VLOOKUP($C75,Захоронение!$B$16:$C$104,2,0)</f>
        <v>2</v>
      </c>
      <c r="BZ75" s="9">
        <f>VLOOKUP($C75,'ДК ИП'!$B$16:$C$104,2,0)</f>
        <v>2</v>
      </c>
      <c r="CA75" s="9">
        <f t="shared" ref="CA75:CA95" si="16">SUMPRODUCT(BJ75:BZ75,$BJ$5:$BZ$5)</f>
        <v>1.05</v>
      </c>
    </row>
    <row r="76" ht="30" customHeight="1" spans="1:79">
      <c r="A76" s="6" t="s">
        <v>85</v>
      </c>
      <c r="B76" s="331">
        <f t="shared" si="10"/>
        <v>66</v>
      </c>
      <c r="C76" s="332" t="s">
        <v>140</v>
      </c>
      <c r="D76" s="333" t="str">
        <f>VLOOKUP($C76,Штаб!$B$16:$J$104,6,0)</f>
        <v>✔️</v>
      </c>
      <c r="E76" s="334" t="str">
        <f>VLOOKUP($C76,Штаб!$B$16:$J$104,7,0)</f>
        <v/>
      </c>
      <c r="F76" s="334" t="str">
        <f>VLOOKUP($C76,Штаб!$B$16:$J$104,8,0)</f>
        <v/>
      </c>
      <c r="G76" s="335" t="str">
        <f>VLOOKUP($C76,Штаб!$B$16:$J$104,9,0)</f>
        <v/>
      </c>
      <c r="H76" s="283" t="str">
        <f>VLOOKUP(C76,'РО - регионы'!$B$16:$I$104,8,0)</f>
        <v>0 / 2 / 6 из 8</v>
      </c>
      <c r="I76" s="169"/>
      <c r="J76" s="137"/>
      <c r="K76" s="170"/>
      <c r="L76" s="170"/>
      <c r="M76" s="171"/>
      <c r="N76" s="174">
        <f>VLOOKUP(C76,Спецтехника!$B$16:$J$104,4,0)</f>
        <v>761</v>
      </c>
      <c r="O76" s="175">
        <f>VLOOKUP(C76,Спецтехника!$B$16:$J$104,5,0)</f>
        <v>689</v>
      </c>
      <c r="P76" s="175">
        <f>VLOOKUP(C76,Спецтехника!$B$16:$J$104,6,0)</f>
        <v>72</v>
      </c>
      <c r="Q76" s="198">
        <f>VLOOKUP(C76,Спецтехника!$B$16:$J$104,7,0)</f>
        <v>0.0946123521681997</v>
      </c>
      <c r="R76" s="197"/>
      <c r="S76" s="137"/>
      <c r="T76" s="170"/>
      <c r="U76" s="170"/>
      <c r="V76" s="171"/>
      <c r="W76" s="172">
        <f>VLOOKUP($C76,МНО!$B$16:$AB$104,16,0)</f>
        <v>24128</v>
      </c>
      <c r="X76" s="173">
        <f>VLOOKUP($C76,МНО!$B$16:$AB$104,8,0)</f>
        <v>21719</v>
      </c>
      <c r="Y76" s="173">
        <f>VLOOKUP($C76,МНО!$B$16:$AB$104,11,0)</f>
        <v>2409</v>
      </c>
      <c r="Z76" s="216">
        <f>VLOOKUP($C76,МНО!$B$16:$AB$104,17,0)</f>
        <v>0.0998425066312997</v>
      </c>
      <c r="AA76" s="213"/>
      <c r="AB76" s="214">
        <f>VLOOKUP($C76,МНО!$B$16:$AB$104,13,0)</f>
        <v>4.90786554085979</v>
      </c>
      <c r="AC76" s="215">
        <f>VLOOKUP($C76,МНО!$B$16:$AB$104,18,0)</f>
        <v>0.87806751566606</v>
      </c>
      <c r="AD76" s="172">
        <f>VLOOKUP($C76,Контейнеры!$B$16:$AB$104,16,0)</f>
        <v>48471</v>
      </c>
      <c r="AE76" s="173">
        <f>VLOOKUP($C76,Контейнеры!$B$16:$AB$104,8,0)</f>
        <v>44330</v>
      </c>
      <c r="AF76" s="173">
        <f>VLOOKUP($C76,Контейнеры!$B$16:$AB$104,11,0)</f>
        <v>4141</v>
      </c>
      <c r="AG76" s="216">
        <f>VLOOKUP($C76,Контейнеры!$B$16:$AB$104,17,0)</f>
        <v>0.0854325266654288</v>
      </c>
      <c r="AH76" s="213"/>
      <c r="AI76" s="214">
        <f>VLOOKUP($C76,Контейнеры!$B$16:$AB$104,13,0)</f>
        <v>10.67545041346</v>
      </c>
      <c r="AJ76" s="215">
        <f>VLOOKUP($C76,Контейнеры!$B$16:$AB$104,18,0)</f>
        <v>0.856552150558411</v>
      </c>
      <c r="AK76" s="231"/>
      <c r="AL76" s="170"/>
      <c r="AM76" s="170"/>
      <c r="AN76" s="232"/>
      <c r="AO76" s="257">
        <f>VLOOKUP($C76,Обработка!$B$16:$L$104,6,0)</f>
        <v>0.63</v>
      </c>
      <c r="AP76" s="250">
        <f t="shared" si="11"/>
        <v>0.087</v>
      </c>
      <c r="AQ76" s="259">
        <f>VLOOKUP($C76,Обработка!$B$16:$L$104,7,0)</f>
        <v>0.765</v>
      </c>
      <c r="AR76" s="262">
        <f t="shared" si="12"/>
        <v>-0.042</v>
      </c>
      <c r="AS76" s="258">
        <f>VLOOKUP($C76,Утилизация!$B$16:$L$104,6,0)</f>
        <v>0.1</v>
      </c>
      <c r="AT76" s="259">
        <f t="shared" si="13"/>
        <v>-0.039</v>
      </c>
      <c r="AU76" s="259">
        <f>VLOOKUP($C76,Утилизация!$B$16:$L$104,7,0)</f>
        <v>0.178</v>
      </c>
      <c r="AV76" s="260">
        <f t="shared" si="14"/>
        <v>-0.108</v>
      </c>
      <c r="AW76" s="279" t="str">
        <f>VLOOKUP(C76,Захоронение!$B$16:$Q$104,16,0)</f>
        <v>765 приказ</v>
      </c>
      <c r="AX76" s="231"/>
      <c r="AY76" s="170"/>
      <c r="AZ76" s="170"/>
      <c r="BA76" s="171"/>
      <c r="BB76" s="280" t="str">
        <f>VLOOKUP(C76,'ДК ИП'!$B$16:$S$104,5,0)</f>
        <v>среднее</v>
      </c>
      <c r="BC76" s="327">
        <f>VLOOKUP(C76,'Радар олд'!$B$3:$E$87,4,0)</f>
        <v>0.0931964653735396</v>
      </c>
      <c r="BD76" s="171"/>
      <c r="BI76" s="9">
        <f t="shared" si="15"/>
        <v>1</v>
      </c>
      <c r="BJ76" s="9">
        <f>VLOOKUP(C76,Штаб!$B$16:$C$104,2)</f>
        <v>0</v>
      </c>
      <c r="BK76" s="9">
        <f>VLOOKUP(C76,'РО - регионы'!$B$16:$C$104,2)</f>
        <v>1</v>
      </c>
      <c r="BL76" s="9">
        <f>VLOOKUP(C76,'РО - регионы'!$B$16:$L$104,11)</f>
        <v>2</v>
      </c>
      <c r="BM76" s="9">
        <f>VLOOKUP(C76,Спецтехника!$B$16:$C$104,2)</f>
        <v>1</v>
      </c>
      <c r="BN76" s="9">
        <f>VLOOKUP($C76,МНО!$B$16:$AB$104,6,0)</f>
        <v>0</v>
      </c>
      <c r="BO76" s="9">
        <f>VLOOKUP($C76,МНО!$B$16:$AB$104,4,0)</f>
        <v>1</v>
      </c>
      <c r="BP76" s="9">
        <f>VLOOKUP($C76,МНО!$B$16:$AB$104,5,0)</f>
        <v>0</v>
      </c>
      <c r="BQ76" s="9">
        <f>VLOOKUP($C76,Контейнеры!$B$16:$G$104,6,0)</f>
        <v>0</v>
      </c>
      <c r="BR76" s="9">
        <f>VLOOKUP($C76,Контейнеры!$B$16:$G$104,4,0)</f>
        <v>0</v>
      </c>
      <c r="BS76" s="9">
        <f>VLOOKUP($C76,Контейнеры!$B$16:$G$104,5,0)</f>
        <v>1</v>
      </c>
      <c r="BT76" s="9">
        <f>VLOOKUP($C76,'ДК МНО'!$B$16:$C$104,2,0)</f>
        <v>2</v>
      </c>
      <c r="BU76" s="9">
        <f>VLOOKUP($C76,Обработка!$B$16:$F$104,5,0)</f>
        <v>1</v>
      </c>
      <c r="BV76" s="9">
        <f>VLOOKUP($C76,Обработка!$B$16:$F$104,4,0)</f>
        <v>0</v>
      </c>
      <c r="BW76" s="9">
        <f>VLOOKUP($C76,Утилизация!$B$16:$F$104,5,0)</f>
        <v>1</v>
      </c>
      <c r="BX76" s="9">
        <f>VLOOKUP($C76,Утилизация!$B$16:$F$104,4,0)</f>
        <v>1</v>
      </c>
      <c r="BY76" s="9">
        <f>VLOOKUP($C76,Захоронение!$B$16:$C$104,2,0)</f>
        <v>2</v>
      </c>
      <c r="BZ76" s="9">
        <f>VLOOKUP($C76,'ДК ИП'!$B$16:$C$104,2,0)</f>
        <v>1</v>
      </c>
      <c r="CA76" s="9">
        <f t="shared" si="16"/>
        <v>1.05</v>
      </c>
    </row>
    <row r="77" ht="30" customHeight="1" spans="1:79">
      <c r="A77" s="6" t="s">
        <v>85</v>
      </c>
      <c r="B77" s="331">
        <f t="shared" si="10"/>
        <v>67</v>
      </c>
      <c r="C77" s="332" t="s">
        <v>141</v>
      </c>
      <c r="D77" s="333" t="str">
        <f>VLOOKUP($C77,Штаб!$B$16:$J$104,6,0)</f>
        <v>✔️</v>
      </c>
      <c r="E77" s="334" t="str">
        <f>VLOOKUP($C77,Штаб!$B$16:$J$104,7,0)</f>
        <v/>
      </c>
      <c r="F77" s="334" t="str">
        <f>VLOOKUP($C77,Штаб!$B$16:$J$104,8,0)</f>
        <v/>
      </c>
      <c r="G77" s="335" t="str">
        <f>VLOOKUP($C77,Штаб!$B$16:$J$104,9,0)</f>
        <v/>
      </c>
      <c r="H77" s="283" t="str">
        <f>VLOOKUP(C77,'РО - регионы'!$B$16:$I$104,8,0)</f>
        <v>0 / 6 / 6 из 12</v>
      </c>
      <c r="I77" s="169"/>
      <c r="J77" s="137"/>
      <c r="K77" s="170"/>
      <c r="L77" s="170"/>
      <c r="M77" s="171"/>
      <c r="N77" s="172">
        <f>VLOOKUP(C77,Спецтехника!$B$16:$J$104,4,0)</f>
        <v>1042</v>
      </c>
      <c r="O77" s="173">
        <f>VLOOKUP(C77,Спецтехника!$B$16:$J$104,5,0)</f>
        <v>989</v>
      </c>
      <c r="P77" s="173">
        <f>VLOOKUP(C77,Спецтехника!$B$16:$J$104,6,0)</f>
        <v>53</v>
      </c>
      <c r="Q77" s="196">
        <f>VLOOKUP(C77,Спецтехника!$B$16:$J$104,7,0)</f>
        <v>0.0508637236084453</v>
      </c>
      <c r="R77" s="197"/>
      <c r="S77" s="137"/>
      <c r="T77" s="170"/>
      <c r="U77" s="170"/>
      <c r="V77" s="171"/>
      <c r="W77" s="174">
        <f>VLOOKUP($C77,МНО!$B$16:$AB$104,16,0)</f>
        <v>28633</v>
      </c>
      <c r="X77" s="175">
        <f>VLOOKUP($C77,МНО!$B$16:$AB$104,8,0)</f>
        <v>21178</v>
      </c>
      <c r="Y77" s="175">
        <f>VLOOKUP($C77,МНО!$B$16:$AB$104,11,0)</f>
        <v>7455</v>
      </c>
      <c r="Z77" s="212">
        <f>VLOOKUP($C77,МНО!$B$16:$AB$104,17,0)</f>
        <v>0.260363915761534</v>
      </c>
      <c r="AA77" s="213"/>
      <c r="AB77" s="214">
        <f>VLOOKUP($C77,МНО!$B$16:$AB$104,13,0)</f>
        <v>3.56763121288146</v>
      </c>
      <c r="AC77" s="215">
        <f>VLOOKUP($C77,МНО!$B$16:$AB$104,18,0)</f>
        <v>0.442425002089078</v>
      </c>
      <c r="AD77" s="174">
        <f>VLOOKUP($C77,Контейнеры!$B$16:$AB$104,16,0)</f>
        <v>57310</v>
      </c>
      <c r="AE77" s="175">
        <f>VLOOKUP($C77,Контейнеры!$B$16:$AB$104,8,0)</f>
        <v>42974</v>
      </c>
      <c r="AF77" s="175">
        <f>VLOOKUP($C77,Контейнеры!$B$16:$AB$104,11,0)</f>
        <v>14336</v>
      </c>
      <c r="AG77" s="212">
        <f>VLOOKUP($C77,Контейнеры!$B$16:$AB$104,17,0)</f>
        <v>0.250148316175188</v>
      </c>
      <c r="AH77" s="213"/>
      <c r="AI77" s="214">
        <f>VLOOKUP($C77,Контейнеры!$B$16:$AB$104,13,0)</f>
        <v>7.36738989631754</v>
      </c>
      <c r="AJ77" s="215">
        <f>VLOOKUP($C77,Контейнеры!$B$16:$AB$104,18,0)</f>
        <v>0.458008270452317</v>
      </c>
      <c r="AK77" s="231"/>
      <c r="AL77" s="170"/>
      <c r="AM77" s="170"/>
      <c r="AN77" s="232"/>
      <c r="AO77" s="261">
        <f>VLOOKUP($C77,Обработка!$B$16:$L$104,6,0)</f>
        <v>0.458</v>
      </c>
      <c r="AP77" s="259">
        <f t="shared" si="11"/>
        <v>-0.0850000000000001</v>
      </c>
      <c r="AQ77" s="259">
        <f>VLOOKUP($C77,Обработка!$B$16:$L$104,7,0)</f>
        <v>0.719</v>
      </c>
      <c r="AR77" s="262">
        <f t="shared" si="12"/>
        <v>-0.088</v>
      </c>
      <c r="AS77" s="253">
        <f>VLOOKUP($C77,Утилизация!$B$16:$L$104,6,0)</f>
        <v>0.026</v>
      </c>
      <c r="AT77" s="251">
        <f t="shared" si="13"/>
        <v>-0.113</v>
      </c>
      <c r="AU77" s="259">
        <f>VLOOKUP($C77,Утилизация!$B$16:$L$104,7,0)</f>
        <v>0.192</v>
      </c>
      <c r="AV77" s="260">
        <f t="shared" si="14"/>
        <v>-0.094</v>
      </c>
      <c r="AW77" s="279" t="str">
        <f>VLOOKUP(C77,Захоронение!$B$16:$Q$104,16,0)</f>
        <v>765 приказ</v>
      </c>
      <c r="AX77" s="231"/>
      <c r="AY77" s="170"/>
      <c r="AZ77" s="170"/>
      <c r="BA77" s="171"/>
      <c r="BB77" s="280" t="str">
        <f>VLOOKUP(C77,'ДК ИП'!$B$16:$S$104,5,0)</f>
        <v>небольшое</v>
      </c>
      <c r="BC77" s="327">
        <f>VLOOKUP(C77,'Радар олд'!$B$3:$E$87,4,0)</f>
        <v>0.108691887984952</v>
      </c>
      <c r="BD77" s="171"/>
      <c r="BI77" s="9">
        <f t="shared" si="15"/>
        <v>1</v>
      </c>
      <c r="BJ77" s="9">
        <f>VLOOKUP(C77,Штаб!$B$16:$C$104,2)</f>
        <v>0</v>
      </c>
      <c r="BK77" s="9">
        <f>VLOOKUP(C77,'РО - регионы'!$B$16:$C$104,2)</f>
        <v>1</v>
      </c>
      <c r="BL77" s="9">
        <f>VLOOKUP(C77,'РО - регионы'!$B$16:$L$104,11)</f>
        <v>2</v>
      </c>
      <c r="BM77" s="9">
        <f>VLOOKUP(C77,Спецтехника!$B$16:$C$104,2)</f>
        <v>0</v>
      </c>
      <c r="BN77" s="9">
        <f>VLOOKUP($C77,МНО!$B$16:$AB$104,6,0)</f>
        <v>1</v>
      </c>
      <c r="BO77" s="9">
        <f>VLOOKUP($C77,МНО!$B$16:$AB$104,4,0)</f>
        <v>1</v>
      </c>
      <c r="BP77" s="9">
        <f>VLOOKUP($C77,МНО!$B$16:$AB$104,5,0)</f>
        <v>2</v>
      </c>
      <c r="BQ77" s="9">
        <f>VLOOKUP($C77,Контейнеры!$B$16:$G$104,6,0)</f>
        <v>1</v>
      </c>
      <c r="BR77" s="9">
        <f>VLOOKUP($C77,Контейнеры!$B$16:$G$104,4,0)</f>
        <v>0</v>
      </c>
      <c r="BS77" s="9">
        <f>VLOOKUP($C77,Контейнеры!$B$16:$G$104,5,0)</f>
        <v>2</v>
      </c>
      <c r="BT77" s="9">
        <f>VLOOKUP($C77,'ДК МНО'!$B$16:$C$104,2,0)</f>
        <v>2</v>
      </c>
      <c r="BU77" s="9">
        <f>VLOOKUP($C77,Обработка!$B$16:$F$104,5,0)</f>
        <v>1</v>
      </c>
      <c r="BV77" s="9">
        <f>VLOOKUP($C77,Обработка!$B$16:$F$104,4,0)</f>
        <v>1</v>
      </c>
      <c r="BW77" s="9">
        <f>VLOOKUP($C77,Утилизация!$B$16:$F$104,5,0)</f>
        <v>1</v>
      </c>
      <c r="BX77" s="9">
        <f>VLOOKUP($C77,Утилизация!$B$16:$F$104,4,0)</f>
        <v>2</v>
      </c>
      <c r="BY77" s="9">
        <f>VLOOKUP($C77,Захоронение!$B$16:$C$104,2,0)</f>
        <v>2</v>
      </c>
      <c r="BZ77" s="9">
        <f>VLOOKUP($C77,'ДК ИП'!$B$16:$C$104,2,0)</f>
        <v>0</v>
      </c>
      <c r="CA77" s="9">
        <f t="shared" si="16"/>
        <v>1.1</v>
      </c>
    </row>
    <row r="78" ht="30" customHeight="1" spans="1:79">
      <c r="A78" s="6" t="s">
        <v>108</v>
      </c>
      <c r="B78" s="331">
        <f t="shared" si="10"/>
        <v>68</v>
      </c>
      <c r="C78" s="332" t="s">
        <v>142</v>
      </c>
      <c r="D78" s="333" t="str">
        <f>VLOOKUP($C78,Штаб!$B$16:$J$104,6,0)</f>
        <v/>
      </c>
      <c r="E78" s="334" t="str">
        <f>VLOOKUP($C78,Штаб!$B$16:$J$104,7,0)</f>
        <v>✔️</v>
      </c>
      <c r="F78" s="334" t="str">
        <f>VLOOKUP($C78,Штаб!$B$16:$J$104,8,0)</f>
        <v/>
      </c>
      <c r="G78" s="335" t="str">
        <f>VLOOKUP($C78,Штаб!$B$16:$J$104,9,0)</f>
        <v/>
      </c>
      <c r="H78" s="283" t="str">
        <f>VLOOKUP(C78,'РО - регионы'!$B$16:$I$104,8,0)</f>
        <v>0 / 2 / 12 из 14</v>
      </c>
      <c r="I78" s="169"/>
      <c r="J78" s="137"/>
      <c r="K78" s="170"/>
      <c r="L78" s="170"/>
      <c r="M78" s="171"/>
      <c r="N78" s="172">
        <f>VLOOKUP(C78,Спецтехника!$B$16:$J$104,4,0)</f>
        <v>443</v>
      </c>
      <c r="O78" s="173">
        <f>VLOOKUP(C78,Спецтехника!$B$16:$J$104,5,0)</f>
        <v>426</v>
      </c>
      <c r="P78" s="173">
        <f>VLOOKUP(C78,Спецтехника!$B$16:$J$104,6,0)</f>
        <v>17</v>
      </c>
      <c r="Q78" s="196">
        <f>VLOOKUP(C78,Спецтехника!$B$16:$J$104,7,0)</f>
        <v>0.0383747178329571</v>
      </c>
      <c r="R78" s="197"/>
      <c r="S78" s="137"/>
      <c r="T78" s="170"/>
      <c r="U78" s="170"/>
      <c r="V78" s="171"/>
      <c r="W78" s="174">
        <f>VLOOKUP($C78,МНО!$B$16:$AB$104,16,0)</f>
        <v>29212</v>
      </c>
      <c r="X78" s="175">
        <f>VLOOKUP($C78,МНО!$B$16:$AB$104,8,0)</f>
        <v>23450</v>
      </c>
      <c r="Y78" s="175">
        <f>VLOOKUP($C78,МНО!$B$16:$AB$104,11,0)</f>
        <v>5762</v>
      </c>
      <c r="Z78" s="212">
        <f>VLOOKUP($C78,МНО!$B$16:$AB$104,17,0)</f>
        <v>0.197247706422018</v>
      </c>
      <c r="AA78" s="213"/>
      <c r="AB78" s="214">
        <f>VLOOKUP($C78,МНО!$B$16:$AB$104,13,0)</f>
        <v>4.4059983416019</v>
      </c>
      <c r="AC78" s="215">
        <f>VLOOKUP($C78,МНО!$B$16:$AB$104,18,0)</f>
        <v>0.474715575529374</v>
      </c>
      <c r="AD78" s="172">
        <f>VLOOKUP($C78,Контейнеры!$B$16:$AB$104,16,0)</f>
        <v>49553</v>
      </c>
      <c r="AE78" s="173">
        <f>VLOOKUP($C78,Контейнеры!$B$16:$AB$104,8,0)</f>
        <v>42103</v>
      </c>
      <c r="AF78" s="173">
        <f>VLOOKUP($C78,Контейнеры!$B$16:$AB$104,11,0)</f>
        <v>7450</v>
      </c>
      <c r="AG78" s="216">
        <f>VLOOKUP($C78,Контейнеры!$B$16:$AB$104,17,0)</f>
        <v>0.150344076039796</v>
      </c>
      <c r="AH78" s="213"/>
      <c r="AI78" s="214">
        <f>VLOOKUP($C78,Контейнеры!$B$16:$AB$104,13,0)</f>
        <v>14.7931218641519</v>
      </c>
      <c r="AJ78" s="215">
        <f>VLOOKUP($C78,Контейнеры!$B$16:$AB$104,18,0)</f>
        <v>0.51786570890887</v>
      </c>
      <c r="AK78" s="231"/>
      <c r="AL78" s="170"/>
      <c r="AM78" s="170"/>
      <c r="AN78" s="232"/>
      <c r="AO78" s="261">
        <f>VLOOKUP($C78,Обработка!$B$16:$L$104,6,0)</f>
        <v>0.398</v>
      </c>
      <c r="AP78" s="259">
        <f t="shared" si="11"/>
        <v>-0.145</v>
      </c>
      <c r="AQ78" s="250">
        <f>VLOOKUP($C78,Обработка!$B$16:$L$104,7,0)</f>
        <v>1</v>
      </c>
      <c r="AR78" s="255">
        <f t="shared" si="12"/>
        <v>0.193</v>
      </c>
      <c r="AS78" s="253">
        <f>VLOOKUP($C78,Утилизация!$B$16:$L$104,6,0)</f>
        <v>0.033</v>
      </c>
      <c r="AT78" s="251">
        <f t="shared" si="13"/>
        <v>-0.106</v>
      </c>
      <c r="AU78" s="259">
        <f>VLOOKUP($C78,Утилизация!$B$16:$L$104,7,0)</f>
        <v>0.204</v>
      </c>
      <c r="AV78" s="260">
        <f t="shared" si="14"/>
        <v>-0.082</v>
      </c>
      <c r="AW78" s="279" t="str">
        <f>VLOOKUP(C78,Захоронение!$B$16:$Q$104,16,0)</f>
        <v>белые пятна</v>
      </c>
      <c r="AX78" s="231"/>
      <c r="AY78" s="170"/>
      <c r="AZ78" s="170"/>
      <c r="BA78" s="171"/>
      <c r="BB78" s="280" t="str">
        <f>VLOOKUP(C78,'ДК ИП'!$B$16:$S$104,5,0)</f>
        <v>среднее</v>
      </c>
      <c r="BC78" s="327">
        <f>VLOOKUP(C78,'Радар олд'!$B$3:$E$87,4,0)</f>
        <v>0.0316219976669993</v>
      </c>
      <c r="BD78" s="171"/>
      <c r="BI78" s="9">
        <f t="shared" si="15"/>
        <v>1</v>
      </c>
      <c r="BJ78" s="9">
        <f>VLOOKUP(C78,Штаб!$B$16:$C$104,2)</f>
        <v>1</v>
      </c>
      <c r="BK78" s="9">
        <f>VLOOKUP(C78,'РО - регионы'!$B$16:$C$104,2)</f>
        <v>1</v>
      </c>
      <c r="BL78" s="9">
        <f>VLOOKUP(C78,'РО - регионы'!$B$16:$L$104,11)</f>
        <v>2</v>
      </c>
      <c r="BM78" s="9">
        <f>VLOOKUP(C78,Спецтехника!$B$16:$C$104,2)</f>
        <v>0</v>
      </c>
      <c r="BN78" s="9">
        <f>VLOOKUP($C78,МНО!$B$16:$AB$104,6,0)</f>
        <v>1</v>
      </c>
      <c r="BO78" s="9">
        <f>VLOOKUP($C78,МНО!$B$16:$AB$104,4,0)</f>
        <v>1</v>
      </c>
      <c r="BP78" s="9">
        <f>VLOOKUP($C78,МНО!$B$16:$AB$104,5,0)</f>
        <v>2</v>
      </c>
      <c r="BQ78" s="9">
        <f>VLOOKUP($C78,Контейнеры!$B$16:$G$104,6,0)</f>
        <v>0</v>
      </c>
      <c r="BR78" s="9">
        <f>VLOOKUP($C78,Контейнеры!$B$16:$G$104,4,0)</f>
        <v>0</v>
      </c>
      <c r="BS78" s="9">
        <f>VLOOKUP($C78,Контейнеры!$B$16:$G$104,5,0)</f>
        <v>2</v>
      </c>
      <c r="BT78" s="9">
        <f>VLOOKUP($C78,'ДК МНО'!$B$16:$C$104,2,0)</f>
        <v>2</v>
      </c>
      <c r="BU78" s="9">
        <f>VLOOKUP($C78,Обработка!$B$16:$F$104,5,0)</f>
        <v>0</v>
      </c>
      <c r="BV78" s="9">
        <f>VLOOKUP($C78,Обработка!$B$16:$F$104,4,0)</f>
        <v>1</v>
      </c>
      <c r="BW78" s="9">
        <f>VLOOKUP($C78,Утилизация!$B$16:$F$104,5,0)</f>
        <v>1</v>
      </c>
      <c r="BX78" s="9">
        <f>VLOOKUP($C78,Утилизация!$B$16:$F$104,4,0)</f>
        <v>2</v>
      </c>
      <c r="BY78" s="9">
        <f>VLOOKUP($C78,Захоронение!$B$16:$C$104,2,0)</f>
        <v>2</v>
      </c>
      <c r="BZ78" s="9">
        <f>VLOOKUP($C78,'ДК ИП'!$B$16:$C$104,2,0)</f>
        <v>1</v>
      </c>
      <c r="CA78" s="9">
        <f t="shared" si="16"/>
        <v>1.1</v>
      </c>
    </row>
    <row r="79" ht="30" customHeight="1" spans="1:79">
      <c r="A79" s="6" t="s">
        <v>74</v>
      </c>
      <c r="B79" s="331">
        <f t="shared" si="10"/>
        <v>69</v>
      </c>
      <c r="C79" s="332" t="s">
        <v>143</v>
      </c>
      <c r="D79" s="333" t="str">
        <f>VLOOKUP($C79,Штаб!$B$16:$J$104,6,0)</f>
        <v/>
      </c>
      <c r="E79" s="334" t="str">
        <f>VLOOKUP($C79,Штаб!$B$16:$J$104,7,0)</f>
        <v/>
      </c>
      <c r="F79" s="334" t="str">
        <f>VLOOKUP($C79,Штаб!$B$16:$J$104,8,0)</f>
        <v/>
      </c>
      <c r="G79" s="335" t="str">
        <f>VLOOKUP($C79,Штаб!$B$16:$J$104,9,0)</f>
        <v>✔️</v>
      </c>
      <c r="H79" s="283" t="str">
        <f>VLOOKUP(C79,'РО - регионы'!$B$16:$I$104,8,0)</f>
        <v>0 / 0 / 1 из 1</v>
      </c>
      <c r="I79" s="169"/>
      <c r="J79" s="137"/>
      <c r="K79" s="170"/>
      <c r="L79" s="170"/>
      <c r="M79" s="171"/>
      <c r="N79" s="172">
        <f>VLOOKUP(C79,Спецтехника!$B$16:$J$104,4,0)</f>
        <v>365</v>
      </c>
      <c r="O79" s="173">
        <f>VLOOKUP(C79,Спецтехника!$B$16:$J$104,5,0)</f>
        <v>354</v>
      </c>
      <c r="P79" s="173">
        <f>VLOOKUP(C79,Спецтехника!$B$16:$J$104,6,0)</f>
        <v>11</v>
      </c>
      <c r="Q79" s="196">
        <f>VLOOKUP(C79,Спецтехника!$B$16:$J$104,7,0)</f>
        <v>0.0301369863013699</v>
      </c>
      <c r="R79" s="197"/>
      <c r="S79" s="137"/>
      <c r="T79" s="170"/>
      <c r="U79" s="170"/>
      <c r="V79" s="171"/>
      <c r="W79" s="174">
        <f>VLOOKUP($C79,МНО!$B$16:$AB$104,16,0)</f>
        <v>23668</v>
      </c>
      <c r="X79" s="175">
        <f>VLOOKUP($C79,МНО!$B$16:$AB$104,8,0)</f>
        <v>19449</v>
      </c>
      <c r="Y79" s="175">
        <f>VLOOKUP($C79,МНО!$B$16:$AB$104,11,0)</f>
        <v>4219</v>
      </c>
      <c r="Z79" s="212">
        <f>VLOOKUP($C79,МНО!$B$16:$AB$104,17,0)</f>
        <v>0.1782575629542</v>
      </c>
      <c r="AA79" s="213"/>
      <c r="AB79" s="214">
        <f>VLOOKUP($C79,МНО!$B$16:$AB$104,13,0)</f>
        <v>7.16997706857706</v>
      </c>
      <c r="AC79" s="215">
        <f>VLOOKUP($C79,МНО!$B$16:$AB$104,18,0)</f>
        <v>1</v>
      </c>
      <c r="AD79" s="174">
        <f>VLOOKUP($C79,Контейнеры!$B$16:$AB$104,16,0)</f>
        <v>61976</v>
      </c>
      <c r="AE79" s="175">
        <f>VLOOKUP($C79,Контейнеры!$B$16:$AB$104,8,0)</f>
        <v>45020</v>
      </c>
      <c r="AF79" s="175">
        <f>VLOOKUP($C79,Контейнеры!$B$16:$AB$104,11,0)</f>
        <v>16956</v>
      </c>
      <c r="AG79" s="212">
        <f>VLOOKUP($C79,Контейнеры!$B$16:$AB$104,17,0)</f>
        <v>0.27358977668775</v>
      </c>
      <c r="AH79" s="213"/>
      <c r="AI79" s="214">
        <f>VLOOKUP($C79,Контейнеры!$B$16:$AB$104,13,0)</f>
        <v>18.0421646429679</v>
      </c>
      <c r="AJ79" s="215">
        <f>VLOOKUP($C79,Контейнеры!$B$16:$AB$104,18,0)</f>
        <v>1</v>
      </c>
      <c r="AK79" s="231"/>
      <c r="AL79" s="170"/>
      <c r="AM79" s="170"/>
      <c r="AN79" s="232"/>
      <c r="AO79" s="261">
        <f>VLOOKUP($C79,Обработка!$B$16:$L$104,6,0)</f>
        <v>0.311</v>
      </c>
      <c r="AP79" s="259">
        <f t="shared" si="11"/>
        <v>-0.232</v>
      </c>
      <c r="AQ79" s="259">
        <f>VLOOKUP($C79,Обработка!$B$16:$L$104,7,0)</f>
        <v>0.798</v>
      </c>
      <c r="AR79" s="262">
        <f t="shared" si="12"/>
        <v>-0.00900000000000012</v>
      </c>
      <c r="AS79" s="253">
        <f>VLOOKUP($C79,Утилизация!$B$16:$L$104,6,0)</f>
        <v>0.062</v>
      </c>
      <c r="AT79" s="251">
        <f t="shared" si="13"/>
        <v>-0.077</v>
      </c>
      <c r="AU79" s="251">
        <f>VLOOKUP($C79,Утилизация!$B$16:$L$104,7,0)</f>
        <v>0.105</v>
      </c>
      <c r="AV79" s="254">
        <f t="shared" si="14"/>
        <v>-0.181</v>
      </c>
      <c r="AW79" s="279" t="str">
        <f>VLOOKUP(C79,Захоронение!$B$16:$Q$104,16,0)</f>
        <v>765 приказ</v>
      </c>
      <c r="AX79" s="231"/>
      <c r="AY79" s="170"/>
      <c r="AZ79" s="170"/>
      <c r="BA79" s="171"/>
      <c r="BB79" s="280" t="str">
        <f>VLOOKUP(C79,'ДК ИП'!$B$16:$S$104,5,0)</f>
        <v>небольшое</v>
      </c>
      <c r="BC79" s="327">
        <f>VLOOKUP(C79,'Радар олд'!$B$3:$E$87,4,0)</f>
        <v>0.0444842353480551</v>
      </c>
      <c r="BD79" s="171"/>
      <c r="BI79" s="9">
        <f t="shared" si="15"/>
        <v>1</v>
      </c>
      <c r="BJ79" s="9">
        <f>VLOOKUP(C79,Штаб!$B$16:$C$104,2)</f>
        <v>2</v>
      </c>
      <c r="BK79" s="9">
        <f>VLOOKUP(C79,'РО - регионы'!$B$16:$C$104,2)</f>
        <v>0</v>
      </c>
      <c r="BL79" s="9">
        <f>VLOOKUP(C79,'РО - регионы'!$B$16:$L$104,11)</f>
        <v>0</v>
      </c>
      <c r="BM79" s="9">
        <f>VLOOKUP(C79,Спецтехника!$B$16:$C$104,2)</f>
        <v>0</v>
      </c>
      <c r="BN79" s="9">
        <f>VLOOKUP($C79,МНО!$B$16:$AB$104,6,0)</f>
        <v>0</v>
      </c>
      <c r="BO79" s="9">
        <f>VLOOKUP($C79,МНО!$B$16:$AB$104,4,0)</f>
        <v>0</v>
      </c>
      <c r="BP79" s="9">
        <f>VLOOKUP($C79,МНО!$B$16:$AB$104,5,0)</f>
        <v>0</v>
      </c>
      <c r="BQ79" s="9">
        <f>VLOOKUP($C79,Контейнеры!$B$16:$G$104,6,0)</f>
        <v>1</v>
      </c>
      <c r="BR79" s="9">
        <f>VLOOKUP($C79,Контейнеры!$B$16:$G$104,4,0)</f>
        <v>0</v>
      </c>
      <c r="BS79" s="9">
        <f>VLOOKUP($C79,Контейнеры!$B$16:$G$104,5,0)</f>
        <v>0</v>
      </c>
      <c r="BT79" s="9">
        <f>VLOOKUP($C79,'ДК МНО'!$B$16:$C$104,2,0)</f>
        <v>2</v>
      </c>
      <c r="BU79" s="9">
        <f>VLOOKUP($C79,Обработка!$B$16:$F$104,5,0)</f>
        <v>1</v>
      </c>
      <c r="BV79" s="9">
        <f>VLOOKUP($C79,Обработка!$B$16:$F$104,4,0)</f>
        <v>1</v>
      </c>
      <c r="BW79" s="9">
        <f>VLOOKUP($C79,Утилизация!$B$16:$F$104,5,0)</f>
        <v>2</v>
      </c>
      <c r="BX79" s="9">
        <f>VLOOKUP($C79,Утилизация!$B$16:$F$104,4,0)</f>
        <v>2</v>
      </c>
      <c r="BY79" s="9">
        <f>VLOOKUP($C79,Захоронение!$B$16:$C$104,2,0)</f>
        <v>2</v>
      </c>
      <c r="BZ79" s="9">
        <f>VLOOKUP($C79,'ДК ИП'!$B$16:$C$104,2,0)</f>
        <v>0</v>
      </c>
      <c r="CA79" s="9">
        <f t="shared" si="16"/>
        <v>0.85</v>
      </c>
    </row>
    <row r="80" ht="30" customHeight="1" spans="1:79">
      <c r="A80" s="6" t="s">
        <v>129</v>
      </c>
      <c r="B80" s="331">
        <f t="shared" si="10"/>
        <v>70</v>
      </c>
      <c r="C80" s="332" t="s">
        <v>144</v>
      </c>
      <c r="D80" s="333" t="str">
        <f>VLOOKUP($C80,Штаб!$B$16:$J$104,6,0)</f>
        <v>✔️</v>
      </c>
      <c r="E80" s="334" t="str">
        <f>VLOOKUP($C80,Штаб!$B$16:$J$104,7,0)</f>
        <v/>
      </c>
      <c r="F80" s="334" t="str">
        <f>VLOOKUP($C80,Штаб!$B$16:$J$104,8,0)</f>
        <v/>
      </c>
      <c r="G80" s="335" t="str">
        <f>VLOOKUP($C80,Штаб!$B$16:$J$104,9,0)</f>
        <v/>
      </c>
      <c r="H80" s="284" t="str">
        <f>VLOOKUP(C80,'РО - регионы'!$B$16:$I$104,8,0)</f>
        <v>0 / 1 / 0 из 1</v>
      </c>
      <c r="I80" s="169"/>
      <c r="J80" s="137"/>
      <c r="K80" s="170"/>
      <c r="L80" s="170"/>
      <c r="M80" s="171"/>
      <c r="N80" s="176">
        <f>VLOOKUP(C80,Спецтехника!$B$16:$J$104,4,0)</f>
        <v>368</v>
      </c>
      <c r="O80" s="177">
        <f>VLOOKUP(C80,Спецтехника!$B$16:$J$104,5,0)</f>
        <v>273</v>
      </c>
      <c r="P80" s="177">
        <f>VLOOKUP(C80,Спецтехника!$B$16:$J$104,6,0)</f>
        <v>95</v>
      </c>
      <c r="Q80" s="199">
        <f>VLOOKUP(C80,Спецтехника!$B$16:$J$104,7,0)</f>
        <v>0.258152173913043</v>
      </c>
      <c r="R80" s="197"/>
      <c r="S80" s="137"/>
      <c r="T80" s="170"/>
      <c r="U80" s="170"/>
      <c r="V80" s="171"/>
      <c r="W80" s="176">
        <f>VLOOKUP($C80,МНО!$B$16:$AB$104,16,0)</f>
        <v>24025</v>
      </c>
      <c r="X80" s="177">
        <f>VLOOKUP($C80,МНО!$B$16:$AB$104,8,0)</f>
        <v>3917</v>
      </c>
      <c r="Y80" s="177">
        <f>VLOOKUP($C80,МНО!$B$16:$AB$104,11,0)</f>
        <v>20108</v>
      </c>
      <c r="Z80" s="217">
        <f>VLOOKUP($C80,МНО!$B$16:$AB$104,17,0)</f>
        <v>0.836961498439126</v>
      </c>
      <c r="AA80" s="213"/>
      <c r="AB80" s="214">
        <f>VLOOKUP($C80,МНО!$B$16:$AB$104,13,0)</f>
        <v>2.05547740718659</v>
      </c>
      <c r="AC80" s="215">
        <f>VLOOKUP($C80,МНО!$B$16:$AB$104,18,0)</f>
        <v>0.0178323477057412</v>
      </c>
      <c r="AD80" s="176">
        <f>VLOOKUP($C80,Контейнеры!$B$16:$AB$104,16,0)</f>
        <v>49060</v>
      </c>
      <c r="AE80" s="177">
        <f>VLOOKUP($C80,Контейнеры!$B$16:$AB$104,8,0)</f>
        <v>9423</v>
      </c>
      <c r="AF80" s="177">
        <f>VLOOKUP($C80,Контейнеры!$B$16:$AB$104,11,0)</f>
        <v>39637</v>
      </c>
      <c r="AG80" s="217">
        <f>VLOOKUP($C80,Контейнеры!$B$16:$AB$104,17,0)</f>
        <v>0.807929066449246</v>
      </c>
      <c r="AH80" s="213"/>
      <c r="AI80" s="214">
        <f>VLOOKUP($C80,Контейнеры!$B$16:$AB$104,13,0)</f>
        <v>5.21647282734156</v>
      </c>
      <c r="AJ80" s="215">
        <f>VLOOKUP($C80,Контейнеры!$B$16:$AB$104,18,0)</f>
        <v>0.153097532047637</v>
      </c>
      <c r="AK80" s="231"/>
      <c r="AL80" s="170"/>
      <c r="AM80" s="170"/>
      <c r="AN80" s="232"/>
      <c r="AO80" s="261">
        <f>VLOOKUP($C80,Обработка!$B$16:$L$104,6,0)</f>
        <v>0.412</v>
      </c>
      <c r="AP80" s="259">
        <f t="shared" si="11"/>
        <v>-0.131</v>
      </c>
      <c r="AQ80" s="250">
        <f>VLOOKUP($C80,Обработка!$B$16:$L$104,7,0)</f>
        <v>0.924986</v>
      </c>
      <c r="AR80" s="255">
        <f t="shared" si="12"/>
        <v>0.117986</v>
      </c>
      <c r="AS80" s="253">
        <f>VLOOKUP($C80,Утилизация!$B$16:$L$104,6,0)</f>
        <v>0.02</v>
      </c>
      <c r="AT80" s="251">
        <f t="shared" si="13"/>
        <v>-0.119</v>
      </c>
      <c r="AU80" s="259">
        <f>VLOOKUP($C80,Утилизация!$B$16:$L$104,7,0)</f>
        <v>0.169</v>
      </c>
      <c r="AV80" s="260">
        <f t="shared" si="14"/>
        <v>-0.117</v>
      </c>
      <c r="AW80" s="279" t="str">
        <f>VLOOKUP(C80,Захоронение!$B$16:$Q$104,16,0)</f>
        <v>765 приказ</v>
      </c>
      <c r="AX80" s="231"/>
      <c r="AY80" s="170"/>
      <c r="AZ80" s="170"/>
      <c r="BA80" s="171"/>
      <c r="BB80" s="280" t="str">
        <f>VLOOKUP(C80,'ДК ИП'!$B$16:$S$104,5,0)</f>
        <v>нет</v>
      </c>
      <c r="BC80" s="327">
        <f>VLOOKUP(C80,'Радар олд'!$B$3:$E$87,4,0)</f>
        <v>0.100199679693179</v>
      </c>
      <c r="BD80" s="171"/>
      <c r="BI80" s="9">
        <f t="shared" si="15"/>
        <v>2</v>
      </c>
      <c r="BJ80" s="9">
        <f>VLOOKUP(C80,Штаб!$B$16:$C$104,2)</f>
        <v>0</v>
      </c>
      <c r="BK80" s="9">
        <f>VLOOKUP(C80,'РО - регионы'!$B$16:$C$104,2)</f>
        <v>1</v>
      </c>
      <c r="BL80" s="9">
        <f>VLOOKUP(C80,'РО - регионы'!$B$16:$L$104,11)</f>
        <v>2</v>
      </c>
      <c r="BM80" s="9">
        <f>VLOOKUP(C80,Спецтехника!$B$16:$C$104,2)</f>
        <v>2</v>
      </c>
      <c r="BN80" s="9">
        <f>VLOOKUP($C80,МНО!$B$16:$AB$104,6,0)</f>
        <v>2</v>
      </c>
      <c r="BO80" s="9">
        <f>VLOOKUP($C80,МНО!$B$16:$AB$104,4,0)</f>
        <v>2</v>
      </c>
      <c r="BP80" s="9">
        <f>VLOOKUP($C80,МНО!$B$16:$AB$104,5,0)</f>
        <v>2</v>
      </c>
      <c r="BQ80" s="9">
        <f>VLOOKUP($C80,Контейнеры!$B$16:$G$104,6,0)</f>
        <v>2</v>
      </c>
      <c r="BR80" s="9">
        <f>VLOOKUP($C80,Контейнеры!$B$16:$G$104,4,0)</f>
        <v>0</v>
      </c>
      <c r="BS80" s="9">
        <f>VLOOKUP($C80,Контейнеры!$B$16:$G$104,5,0)</f>
        <v>2</v>
      </c>
      <c r="BT80" s="9">
        <f>VLOOKUP($C80,'ДК МНО'!$B$16:$C$104,2,0)</f>
        <v>2</v>
      </c>
      <c r="BU80" s="9">
        <f>VLOOKUP($C80,Обработка!$B$16:$F$104,5,0)</f>
        <v>0</v>
      </c>
      <c r="BV80" s="9">
        <f>VLOOKUP($C80,Обработка!$B$16:$F$104,4,0)</f>
        <v>1</v>
      </c>
      <c r="BW80" s="9">
        <f>VLOOKUP($C80,Утилизация!$B$16:$F$104,5,0)</f>
        <v>1</v>
      </c>
      <c r="BX80" s="9">
        <f>VLOOKUP($C80,Утилизация!$B$16:$F$104,4,0)</f>
        <v>2</v>
      </c>
      <c r="BY80" s="9">
        <f>VLOOKUP($C80,Захоронение!$B$16:$C$104,2,0)</f>
        <v>2</v>
      </c>
      <c r="BZ80" s="9">
        <f>VLOOKUP($C80,'ДК ИП'!$B$16:$C$104,2,0)</f>
        <v>0</v>
      </c>
      <c r="CA80" s="9">
        <f t="shared" si="16"/>
        <v>1.3</v>
      </c>
    </row>
    <row r="81" ht="30" customHeight="1" spans="1:79">
      <c r="A81" s="6" t="s">
        <v>129</v>
      </c>
      <c r="B81" s="331">
        <f t="shared" si="10"/>
        <v>71</v>
      </c>
      <c r="C81" s="332" t="s">
        <v>145</v>
      </c>
      <c r="D81" s="333" t="str">
        <f>VLOOKUP($C81,Штаб!$B$16:$J$104,6,0)</f>
        <v/>
      </c>
      <c r="E81" s="334" t="str">
        <f>VLOOKUP($C81,Штаб!$B$16:$J$104,7,0)</f>
        <v/>
      </c>
      <c r="F81" s="334" t="str">
        <f>VLOOKUP($C81,Штаб!$B$16:$J$104,8,0)</f>
        <v>✔️</v>
      </c>
      <c r="G81" s="335" t="str">
        <f>VLOOKUP($C81,Штаб!$B$16:$J$104,9,0)</f>
        <v/>
      </c>
      <c r="H81" s="283" t="str">
        <f>VLOOKUP(C81,'РО - регионы'!$B$16:$I$104,8,0)</f>
        <v>0 / 1 / 2 из 3</v>
      </c>
      <c r="I81" s="169"/>
      <c r="J81" s="137"/>
      <c r="K81" s="170"/>
      <c r="L81" s="170"/>
      <c r="M81" s="171"/>
      <c r="N81" s="176">
        <f>VLOOKUP(C81,Спецтехника!$B$16:$J$104,4,0)</f>
        <v>299</v>
      </c>
      <c r="O81" s="177">
        <f>VLOOKUP(C81,Спецтехника!$B$16:$J$104,5,0)</f>
        <v>142</v>
      </c>
      <c r="P81" s="177">
        <f>VLOOKUP(C81,Спецтехника!$B$16:$J$104,6,0)</f>
        <v>157</v>
      </c>
      <c r="Q81" s="199">
        <f>VLOOKUP(C81,Спецтехника!$B$16:$J$104,7,0)</f>
        <v>0.525083612040134</v>
      </c>
      <c r="R81" s="197"/>
      <c r="S81" s="137"/>
      <c r="T81" s="170"/>
      <c r="U81" s="170"/>
      <c r="V81" s="171"/>
      <c r="W81" s="172">
        <f>VLOOKUP($C81,МНО!$B$16:$AB$104,16,0)</f>
        <v>28498</v>
      </c>
      <c r="X81" s="173">
        <f>VLOOKUP($C81,МНО!$B$16:$AB$104,8,0)</f>
        <v>24620</v>
      </c>
      <c r="Y81" s="173">
        <f>VLOOKUP($C81,МНО!$B$16:$AB$104,11,0)</f>
        <v>3878</v>
      </c>
      <c r="Z81" s="216">
        <f>VLOOKUP($C81,МНО!$B$16:$AB$104,17,0)</f>
        <v>0.136079724892975</v>
      </c>
      <c r="AA81" s="213"/>
      <c r="AB81" s="214">
        <f>VLOOKUP($C81,МНО!$B$16:$AB$104,13,0)</f>
        <v>7.93032331558869</v>
      </c>
      <c r="AC81" s="215">
        <f>VLOOKUP($C81,МНО!$B$16:$AB$104,18,0)</f>
        <v>0.302937087029814</v>
      </c>
      <c r="AD81" s="172">
        <f>VLOOKUP($C81,Контейнеры!$B$16:$AB$104,16,0)</f>
        <v>31966</v>
      </c>
      <c r="AE81" s="173">
        <f>VLOOKUP($C81,Контейнеры!$B$16:$AB$104,8,0)</f>
        <v>26988</v>
      </c>
      <c r="AF81" s="173">
        <f>VLOOKUP($C81,Контейнеры!$B$16:$AB$104,11,0)</f>
        <v>4978</v>
      </c>
      <c r="AG81" s="216">
        <f>VLOOKUP($C81,Контейнеры!$B$16:$AB$104,17,0)</f>
        <v>0.155727960958518</v>
      </c>
      <c r="AH81" s="213"/>
      <c r="AI81" s="214">
        <f>VLOOKUP($C81,Контейнеры!$B$16:$AB$104,13,0)</f>
        <v>21.1151899803776</v>
      </c>
      <c r="AJ81" s="215">
        <f>VLOOKUP($C81,Контейнеры!$B$16:$AB$104,18,0)</f>
        <v>1</v>
      </c>
      <c r="AK81" s="231"/>
      <c r="AL81" s="170"/>
      <c r="AM81" s="170"/>
      <c r="AN81" s="232"/>
      <c r="AO81" s="249">
        <f>VLOOKUP($C81,Обработка!$B$16:$L$104,6,0)</f>
        <v>0.259</v>
      </c>
      <c r="AP81" s="251">
        <f t="shared" si="11"/>
        <v>-0.284</v>
      </c>
      <c r="AQ81" s="259">
        <f>VLOOKUP($C81,Обработка!$B$16:$L$104,7,0)</f>
        <v>0.731</v>
      </c>
      <c r="AR81" s="262">
        <f t="shared" si="12"/>
        <v>-0.0760000000000001</v>
      </c>
      <c r="AS81" s="258">
        <f>VLOOKUP($C81,Утилизация!$B$16:$L$104,6,0)</f>
        <v>0.117</v>
      </c>
      <c r="AT81" s="259">
        <f t="shared" si="13"/>
        <v>-0.022</v>
      </c>
      <c r="AU81" s="250">
        <f>VLOOKUP($C81,Утилизация!$B$16:$L$104,7,0)</f>
        <v>0.296</v>
      </c>
      <c r="AV81" s="256">
        <f t="shared" si="14"/>
        <v>0.0100000000000001</v>
      </c>
      <c r="AW81" s="279" t="str">
        <f>VLOOKUP(C81,Захоронение!$B$16:$Q$104,16,0)</f>
        <v>белые пятна</v>
      </c>
      <c r="AX81" s="231"/>
      <c r="AY81" s="170"/>
      <c r="AZ81" s="170"/>
      <c r="BA81" s="171"/>
      <c r="BB81" s="280" t="str">
        <f>VLOOKUP(C81,'ДК ИП'!$B$16:$S$104,5,0)</f>
        <v>небольшое</v>
      </c>
      <c r="BC81" s="327">
        <f>VLOOKUP(C81,'Радар олд'!$B$3:$E$87,4,0)</f>
        <v>0.00860630983341314</v>
      </c>
      <c r="BD81" s="171"/>
      <c r="BI81" s="9">
        <f t="shared" si="15"/>
        <v>1</v>
      </c>
      <c r="BJ81" s="9">
        <f>VLOOKUP(C81,Штаб!$B$16:$C$104,2)</f>
        <v>1</v>
      </c>
      <c r="BK81" s="9">
        <f>VLOOKUP(C81,'РО - регионы'!$B$16:$C$104,2)</f>
        <v>1</v>
      </c>
      <c r="BL81" s="9">
        <f>VLOOKUP(C81,'РО - регионы'!$B$16:$L$104,11)</f>
        <v>0</v>
      </c>
      <c r="BM81" s="9">
        <f>VLOOKUP(C81,Спецтехника!$B$16:$C$104,2)</f>
        <v>2</v>
      </c>
      <c r="BN81" s="9">
        <f>VLOOKUP($C81,МНО!$B$16:$AB$104,6,0)</f>
        <v>0</v>
      </c>
      <c r="BO81" s="9">
        <f>VLOOKUP($C81,МНО!$B$16:$AB$104,4,0)</f>
        <v>0</v>
      </c>
      <c r="BP81" s="9">
        <f>VLOOKUP($C81,МНО!$B$16:$AB$104,5,0)</f>
        <v>2</v>
      </c>
      <c r="BQ81" s="9">
        <f>VLOOKUP($C81,Контейнеры!$B$16:$G$104,6,0)</f>
        <v>1</v>
      </c>
      <c r="BR81" s="9">
        <f>VLOOKUP($C81,Контейнеры!$B$16:$G$104,4,0)</f>
        <v>2</v>
      </c>
      <c r="BS81" s="9">
        <f>VLOOKUP($C81,Контейнеры!$B$16:$G$104,5,0)</f>
        <v>0</v>
      </c>
      <c r="BT81" s="9">
        <f>VLOOKUP($C81,'ДК МНО'!$B$16:$C$104,2,0)</f>
        <v>2</v>
      </c>
      <c r="BU81" s="9">
        <f>VLOOKUP($C81,Обработка!$B$16:$F$104,5,0)</f>
        <v>1</v>
      </c>
      <c r="BV81" s="9">
        <f>VLOOKUP($C81,Обработка!$B$16:$F$104,4,0)</f>
        <v>2</v>
      </c>
      <c r="BW81" s="9">
        <f>VLOOKUP($C81,Утилизация!$B$16:$F$104,5,0)</f>
        <v>0</v>
      </c>
      <c r="BX81" s="9">
        <f>VLOOKUP($C81,Утилизация!$B$16:$F$104,4,0)</f>
        <v>1</v>
      </c>
      <c r="BY81" s="9">
        <f>VLOOKUP($C81,Захоронение!$B$16:$C$104,2,0)</f>
        <v>2</v>
      </c>
      <c r="BZ81" s="9">
        <f>VLOOKUP($C81,'ДК ИП'!$B$16:$C$104,2,0)</f>
        <v>0</v>
      </c>
      <c r="CA81" s="9">
        <f t="shared" si="16"/>
        <v>1.15</v>
      </c>
    </row>
    <row r="82" ht="30" customHeight="1" spans="1:79">
      <c r="A82" s="6" t="s">
        <v>108</v>
      </c>
      <c r="B82" s="331">
        <f>B80+1</f>
        <v>71</v>
      </c>
      <c r="C82" s="332" t="s">
        <v>146</v>
      </c>
      <c r="D82" s="333" t="str">
        <f>VLOOKUP($C82,Штаб!$B$16:$J$104,6,0)</f>
        <v>✔️</v>
      </c>
      <c r="E82" s="334" t="str">
        <f>VLOOKUP($C82,Штаб!$B$16:$J$104,7,0)</f>
        <v/>
      </c>
      <c r="F82" s="334" t="str">
        <f>VLOOKUP($C82,Штаб!$B$16:$J$104,8,0)</f>
        <v/>
      </c>
      <c r="G82" s="335" t="str">
        <f>VLOOKUP($C82,Штаб!$B$16:$J$104,9,0)</f>
        <v/>
      </c>
      <c r="H82" s="283" t="str">
        <f>VLOOKUP(C82,'РО - регионы'!$B$16:$I$104,8,0)</f>
        <v>0 / 4 / 3 из 7</v>
      </c>
      <c r="I82" s="169"/>
      <c r="J82" s="137"/>
      <c r="K82" s="170"/>
      <c r="L82" s="170"/>
      <c r="M82" s="171"/>
      <c r="N82" s="174">
        <f>VLOOKUP(C82,Спецтехника!$B$16:$J$104,4,0)</f>
        <v>401</v>
      </c>
      <c r="O82" s="175">
        <f>VLOOKUP(C82,Спецтехника!$B$16:$J$104,5,0)</f>
        <v>352</v>
      </c>
      <c r="P82" s="175">
        <f>VLOOKUP(C82,Спецтехника!$B$16:$J$104,6,0)</f>
        <v>49</v>
      </c>
      <c r="Q82" s="198">
        <f>VLOOKUP(C82,Спецтехника!$B$16:$J$104,7,0)</f>
        <v>0.122194513715711</v>
      </c>
      <c r="R82" s="197"/>
      <c r="S82" s="137"/>
      <c r="T82" s="170"/>
      <c r="U82" s="170"/>
      <c r="V82" s="171"/>
      <c r="W82" s="176">
        <f>VLOOKUP($C82,МНО!$B$16:$AB$104,16,0)</f>
        <v>38081</v>
      </c>
      <c r="X82" s="177">
        <f>VLOOKUP($C82,МНО!$B$16:$AB$104,8,0)</f>
        <v>20660</v>
      </c>
      <c r="Y82" s="177">
        <f>VLOOKUP($C82,МНО!$B$16:$AB$104,11,0)</f>
        <v>17421</v>
      </c>
      <c r="Z82" s="217">
        <f>VLOOKUP($C82,МНО!$B$16:$AB$104,17,0)</f>
        <v>0.457472230246054</v>
      </c>
      <c r="AA82" s="213"/>
      <c r="AB82" s="214">
        <f>VLOOKUP($C82,МНО!$B$16:$AB$104,13,0)</f>
        <v>8.17091411747131</v>
      </c>
      <c r="AC82" s="215">
        <f>VLOOKUP($C82,МНО!$B$16:$AB$104,18,0)</f>
        <v>1</v>
      </c>
      <c r="AD82" s="174">
        <f>VLOOKUP($C82,Контейнеры!$B$16:$AB$104,16,0)</f>
        <v>46247</v>
      </c>
      <c r="AE82" s="175">
        <f>VLOOKUP($C82,Контейнеры!$B$16:$AB$104,8,0)</f>
        <v>34946</v>
      </c>
      <c r="AF82" s="175">
        <f>VLOOKUP($C82,Контейнеры!$B$16:$AB$104,11,0)</f>
        <v>11301</v>
      </c>
      <c r="AG82" s="212">
        <f>VLOOKUP($C82,Контейнеры!$B$16:$AB$104,17,0)</f>
        <v>0.24436179644085</v>
      </c>
      <c r="AH82" s="213"/>
      <c r="AI82" s="214">
        <f>VLOOKUP($C82,Контейнеры!$B$16:$AB$104,13,0)</f>
        <v>16.5205256161278</v>
      </c>
      <c r="AJ82" s="215">
        <f>VLOOKUP($C82,Контейнеры!$B$16:$AB$104,18,0)</f>
        <v>1</v>
      </c>
      <c r="AK82" s="231"/>
      <c r="AL82" s="170"/>
      <c r="AM82" s="170"/>
      <c r="AN82" s="232"/>
      <c r="AO82" s="249">
        <f>VLOOKUP($C82,Обработка!$B$16:$L$104,6,0)</f>
        <v>0</v>
      </c>
      <c r="AP82" s="251">
        <f t="shared" si="11"/>
        <v>-0.543</v>
      </c>
      <c r="AQ82" s="250">
        <f>VLOOKUP($C82,Обработка!$B$16:$L$104,7,0)</f>
        <v>1</v>
      </c>
      <c r="AR82" s="255">
        <f t="shared" si="12"/>
        <v>0.193</v>
      </c>
      <c r="AS82" s="253">
        <f>VLOOKUP($C82,Утилизация!$B$16:$L$104,6,0)</f>
        <v>0</v>
      </c>
      <c r="AT82" s="251">
        <f t="shared" si="13"/>
        <v>-0.139</v>
      </c>
      <c r="AU82" s="250">
        <f>VLOOKUP($C82,Утилизация!$B$16:$L$104,7,0)</f>
        <v>0.47</v>
      </c>
      <c r="AV82" s="256">
        <f t="shared" si="14"/>
        <v>0.184</v>
      </c>
      <c r="AW82" s="279" t="str">
        <f>VLOOKUP(C82,Захоронение!$B$16:$Q$104,16,0)</f>
        <v>765 приказ</v>
      </c>
      <c r="AX82" s="231"/>
      <c r="AY82" s="170"/>
      <c r="AZ82" s="170"/>
      <c r="BA82" s="171"/>
      <c r="BB82" s="280" t="str">
        <f>VLOOKUP(C82,'ДК ИП'!$B$16:$JO$104,5,0)</f>
        <v>небольшое</v>
      </c>
      <c r="BC82" s="327">
        <f>VLOOKUP(C82,'Радар олд'!$B$3:$E$87,4,0)</f>
        <v>0.0208007533654673</v>
      </c>
      <c r="BD82" s="171"/>
      <c r="BI82" s="9">
        <f t="shared" si="15"/>
        <v>1</v>
      </c>
      <c r="BJ82" s="9">
        <f>VLOOKUP(C82,Штаб!$B$16:$C$104,2)</f>
        <v>0</v>
      </c>
      <c r="BK82" s="9">
        <f>VLOOKUP(C82,'РО - регионы'!$B$16:$C$104,2)</f>
        <v>1</v>
      </c>
      <c r="BL82" s="9">
        <f>VLOOKUP(C82,'РО - регионы'!$B$16:$L$104,11)</f>
        <v>2</v>
      </c>
      <c r="BM82" s="9">
        <f>VLOOKUP(C82,Спецтехника!$B$16:$C$104,2)</f>
        <v>1</v>
      </c>
      <c r="BN82" s="9">
        <f>VLOOKUP($C82,МНО!$B$16:$AB$104,6,0)</f>
        <v>2</v>
      </c>
      <c r="BO82" s="9">
        <f>VLOOKUP($C82,МНО!$B$16:$AB$104,4,0)</f>
        <v>0</v>
      </c>
      <c r="BP82" s="9">
        <f>VLOOKUP($C82,МНО!$B$16:$AB$104,5,0)</f>
        <v>0</v>
      </c>
      <c r="BQ82" s="9">
        <f>VLOOKUP($C82,Контейнеры!$B$16:$G$104,6,0)</f>
        <v>1</v>
      </c>
      <c r="BR82" s="9">
        <f>VLOOKUP($C82,Контейнеры!$B$16:$G$104,4,0)</f>
        <v>2</v>
      </c>
      <c r="BS82" s="9">
        <f>VLOOKUP($C82,Контейнеры!$B$16:$G$104,5,0)</f>
        <v>0</v>
      </c>
      <c r="BT82" s="9">
        <f>VLOOKUP($C82,'ДК МНО'!$B$16:$C$104,2,0)</f>
        <v>2</v>
      </c>
      <c r="BU82" s="9">
        <f>VLOOKUP($C82,Обработка!$B$16:$F$104,5,0)</f>
        <v>0</v>
      </c>
      <c r="BV82" s="9">
        <f>VLOOKUP($C82,Обработка!$B$16:$F$104,4,0)</f>
        <v>2</v>
      </c>
      <c r="BW82" s="9">
        <f>VLOOKUP($C82,Утилизация!$B$16:$F$104,5,0)</f>
        <v>0</v>
      </c>
      <c r="BX82" s="9">
        <f>VLOOKUP($C82,Утилизация!$B$16:$F$104,4,0)</f>
        <v>2</v>
      </c>
      <c r="BY82" s="9">
        <f>VLOOKUP($C82,Захоронение!$B$16:$C$104,2,0)</f>
        <v>2</v>
      </c>
      <c r="BZ82" s="9">
        <f>VLOOKUP($C82,'ДК ИП'!$B$16:$C$104,2,0)</f>
        <v>0</v>
      </c>
      <c r="CA82" s="9">
        <f t="shared" si="16"/>
        <v>1.2</v>
      </c>
    </row>
    <row r="83" ht="30" customHeight="1" spans="1:79">
      <c r="A83" s="6" t="s">
        <v>108</v>
      </c>
      <c r="B83" s="331">
        <f t="shared" ref="B83:B94" si="17">B82+1</f>
        <v>72</v>
      </c>
      <c r="C83" s="332" t="s">
        <v>147</v>
      </c>
      <c r="D83" s="333" t="str">
        <f>VLOOKUP($C83,Штаб!$B$16:$J$104,6,0)</f>
        <v/>
      </c>
      <c r="E83" s="334" t="str">
        <f>VLOOKUP($C83,Штаб!$B$16:$J$104,7,0)</f>
        <v/>
      </c>
      <c r="F83" s="334" t="str">
        <f>VLOOKUP($C83,Штаб!$B$16:$J$104,8,0)</f>
        <v>✔️</v>
      </c>
      <c r="G83" s="335" t="str">
        <f>VLOOKUP($C83,Штаб!$B$16:$J$104,9,0)</f>
        <v/>
      </c>
      <c r="H83" s="283" t="str">
        <f>VLOOKUP(C83,'РО - регионы'!$B$16:$I$104,8,0)</f>
        <v>0 / 3 / 0 из 3</v>
      </c>
      <c r="I83" s="169"/>
      <c r="J83" s="137"/>
      <c r="K83" s="170"/>
      <c r="L83" s="170"/>
      <c r="M83" s="171"/>
      <c r="N83" s="176">
        <f>VLOOKUP(C83,Спецтехника!$B$16:$J$104,4,0)</f>
        <v>68</v>
      </c>
      <c r="O83" s="177">
        <f>VLOOKUP(C83,Спецтехника!$B$16:$J$104,5,0)</f>
        <v>46</v>
      </c>
      <c r="P83" s="177">
        <f>VLOOKUP(C83,Спецтехника!$B$16:$J$104,6,0)</f>
        <v>22</v>
      </c>
      <c r="Q83" s="199">
        <f>VLOOKUP(C83,Спецтехника!$B$16:$J$104,7,0)</f>
        <v>0.323529411764706</v>
      </c>
      <c r="R83" s="197"/>
      <c r="S83" s="137"/>
      <c r="T83" s="170"/>
      <c r="U83" s="170"/>
      <c r="V83" s="171"/>
      <c r="W83" s="174">
        <f>VLOOKUP($C83,МНО!$B$16:$AB$104,16,0)</f>
        <v>1606</v>
      </c>
      <c r="X83" s="175">
        <f>VLOOKUP($C83,МНО!$B$16:$AB$104,8,0)</f>
        <v>1206</v>
      </c>
      <c r="Y83" s="175">
        <f>VLOOKUP($C83,МНО!$B$16:$AB$104,11,0)</f>
        <v>400</v>
      </c>
      <c r="Z83" s="212">
        <f>VLOOKUP($C83,МНО!$B$16:$AB$104,17,0)</f>
        <v>0.24906600249066</v>
      </c>
      <c r="AA83" s="213"/>
      <c r="AB83" s="214">
        <f>VLOOKUP($C83,МНО!$B$16:$AB$104,13,0)</f>
        <v>5.71252342656513</v>
      </c>
      <c r="AC83" s="215">
        <f>VLOOKUP($C83,МНО!$B$16:$AB$104,18,0)</f>
        <v>0.935608999224205</v>
      </c>
      <c r="AD83" s="172">
        <f>VLOOKUP($C83,Контейнеры!$B$16:$AB$104,16,0)</f>
        <v>3529</v>
      </c>
      <c r="AE83" s="173">
        <f>VLOOKUP($C83,Контейнеры!$B$16:$AB$104,8,0)</f>
        <v>2829</v>
      </c>
      <c r="AF83" s="173">
        <f>VLOOKUP($C83,Контейнеры!$B$16:$AB$104,11,0)</f>
        <v>700</v>
      </c>
      <c r="AG83" s="216">
        <f>VLOOKUP($C83,Контейнеры!$B$16:$AB$104,17,0)</f>
        <v>0.198356474922074</v>
      </c>
      <c r="AH83" s="213"/>
      <c r="AI83" s="214">
        <f>VLOOKUP($C83,Контейнеры!$B$16:$AB$104,13,0)</f>
        <v>13.4225322041136</v>
      </c>
      <c r="AJ83" s="215">
        <f>VLOOKUP($C83,Контейнеры!$B$16:$AB$104,18,0)</f>
        <v>0.573136142625608</v>
      </c>
      <c r="AK83" s="231"/>
      <c r="AL83" s="170"/>
      <c r="AM83" s="170"/>
      <c r="AN83" s="232"/>
      <c r="AO83" s="249">
        <f>VLOOKUP($C83,Обработка!$B$16:$L$104,6,0)</f>
        <v>0</v>
      </c>
      <c r="AP83" s="251">
        <f t="shared" si="11"/>
        <v>-0.543</v>
      </c>
      <c r="AQ83" s="259">
        <f>VLOOKUP($C83,Обработка!$B$16:$L$104,7,0)</f>
        <v>0.667</v>
      </c>
      <c r="AR83" s="262">
        <f t="shared" si="12"/>
        <v>-0.14</v>
      </c>
      <c r="AS83" s="253">
        <f>VLOOKUP($C83,Утилизация!$B$16:$L$104,6,0)</f>
        <v>0</v>
      </c>
      <c r="AT83" s="251">
        <f t="shared" si="13"/>
        <v>-0.139</v>
      </c>
      <c r="AU83" s="259">
        <f>VLOOKUP($C83,Утилизация!$B$16:$L$104,7,0)</f>
        <v>0.25</v>
      </c>
      <c r="AV83" s="260">
        <f t="shared" si="14"/>
        <v>-0.036</v>
      </c>
      <c r="AW83" s="279" t="str">
        <f>VLOOKUP(C83,Захоронение!$B$16:$Q$104,16,0)</f>
        <v>765 приказ</v>
      </c>
      <c r="AX83" s="231"/>
      <c r="AY83" s="170"/>
      <c r="AZ83" s="170"/>
      <c r="BA83" s="171"/>
      <c r="BB83" s="280" t="str">
        <f>VLOOKUP(C83,'ДК ИП'!$B$16:$S$104,5,0)</f>
        <v>небольшое</v>
      </c>
      <c r="BC83" s="327">
        <f>VLOOKUP(C83,'Радар олд'!$B$3:$E$87,4,0)</f>
        <v>0.218252556164449</v>
      </c>
      <c r="BD83" s="171"/>
      <c r="BI83" s="9">
        <f t="shared" si="15"/>
        <v>1</v>
      </c>
      <c r="BJ83" s="9">
        <f>VLOOKUP(C83,Штаб!$B$16:$C$104,2)</f>
        <v>1</v>
      </c>
      <c r="BK83" s="9">
        <f>VLOOKUP(C83,'РО - регионы'!$B$16:$C$104,2)</f>
        <v>1</v>
      </c>
      <c r="BL83" s="9">
        <f>VLOOKUP(C83,'РО - регионы'!$B$16:$L$104,11)</f>
        <v>2</v>
      </c>
      <c r="BM83" s="9">
        <f>VLOOKUP(C83,Спецтехника!$B$16:$C$104,2)</f>
        <v>2</v>
      </c>
      <c r="BN83" s="9">
        <f>VLOOKUP($C83,МНО!$B$16:$AB$104,6,0)</f>
        <v>1</v>
      </c>
      <c r="BO83" s="9">
        <f>VLOOKUP($C83,МНО!$B$16:$AB$104,4,0)</f>
        <v>1</v>
      </c>
      <c r="BP83" s="9">
        <f>VLOOKUP($C83,МНО!$B$16:$AB$104,5,0)</f>
        <v>0</v>
      </c>
      <c r="BQ83" s="9">
        <f>VLOOKUP($C83,Контейнеры!$B$16:$G$104,6,0)</f>
        <v>1</v>
      </c>
      <c r="BR83" s="9">
        <f>VLOOKUP($C83,Контейнеры!$B$16:$G$104,4,0)</f>
        <v>0</v>
      </c>
      <c r="BS83" s="9">
        <f>VLOOKUP($C83,Контейнеры!$B$16:$G$104,5,0)</f>
        <v>2</v>
      </c>
      <c r="BT83" s="9">
        <f>VLOOKUP($C83,'ДК МНО'!$B$16:$C$104,2,0)</f>
        <v>2</v>
      </c>
      <c r="BU83" s="9">
        <f>VLOOKUP($C83,Обработка!$B$16:$F$104,5,0)</f>
        <v>1</v>
      </c>
      <c r="BV83" s="9">
        <f>VLOOKUP($C83,Обработка!$B$16:$F$104,4,0)</f>
        <v>2</v>
      </c>
      <c r="BW83" s="9">
        <f>VLOOKUP($C83,Утилизация!$B$16:$F$104,5,0)</f>
        <v>1</v>
      </c>
      <c r="BX83" s="9">
        <f>VLOOKUP($C83,Утилизация!$B$16:$F$104,4,0)</f>
        <v>2</v>
      </c>
      <c r="BY83" s="9">
        <f>VLOOKUP($C83,Захоронение!$B$16:$C$104,2,0)</f>
        <v>2</v>
      </c>
      <c r="BZ83" s="9">
        <f>VLOOKUP($C83,'ДК ИП'!$B$16:$C$104,2,0)</f>
        <v>0</v>
      </c>
      <c r="CA83" s="9">
        <f t="shared" si="16"/>
        <v>1.25</v>
      </c>
    </row>
    <row r="84" ht="30" customHeight="1" spans="1:79">
      <c r="A84" s="6" t="s">
        <v>108</v>
      </c>
      <c r="B84" s="331">
        <f t="shared" si="17"/>
        <v>73</v>
      </c>
      <c r="C84" s="332" t="s">
        <v>148</v>
      </c>
      <c r="D84" s="333" t="str">
        <f>VLOOKUP($C84,Штаб!$B$16:$J$104,6,0)</f>
        <v>✔️</v>
      </c>
      <c r="E84" s="334" t="str">
        <f>VLOOKUP($C84,Штаб!$B$16:$J$104,7,0)</f>
        <v/>
      </c>
      <c r="F84" s="334" t="str">
        <f>VLOOKUP($C84,Штаб!$B$16:$J$104,8,0)</f>
        <v/>
      </c>
      <c r="G84" s="335" t="str">
        <f>VLOOKUP($C84,Штаб!$B$16:$J$104,9,0)</f>
        <v/>
      </c>
      <c r="H84" s="283" t="str">
        <f>VLOOKUP(C84,'РО - регионы'!$B$16:$I$104,8,0)</f>
        <v>0 / 1 / 1 из 2</v>
      </c>
      <c r="I84" s="169"/>
      <c r="J84" s="137"/>
      <c r="K84" s="170"/>
      <c r="L84" s="170"/>
      <c r="M84" s="171"/>
      <c r="N84" s="176">
        <f>VLOOKUP(C84,Спецтехника!$B$16:$J$104,4,0)</f>
        <v>445</v>
      </c>
      <c r="O84" s="177">
        <f>VLOOKUP(C84,Спецтехника!$B$16:$J$104,5,0)</f>
        <v>355</v>
      </c>
      <c r="P84" s="177">
        <f>VLOOKUP(C84,Спецтехника!$B$16:$J$104,6,0)</f>
        <v>90</v>
      </c>
      <c r="Q84" s="199">
        <f>VLOOKUP(C84,Спецтехника!$B$16:$J$104,7,0)</f>
        <v>0.202247191011236</v>
      </c>
      <c r="R84" s="197"/>
      <c r="S84" s="137"/>
      <c r="T84" s="170"/>
      <c r="U84" s="170"/>
      <c r="V84" s="171"/>
      <c r="W84" s="174">
        <f>VLOOKUP($C84,МНО!$B$16:$AB$104,16,0)</f>
        <v>21541</v>
      </c>
      <c r="X84" s="175">
        <f>VLOOKUP($C84,МНО!$B$16:$AB$104,8,0)</f>
        <v>17919</v>
      </c>
      <c r="Y84" s="175">
        <f>VLOOKUP($C84,МНО!$B$16:$AB$104,11,0)</f>
        <v>3622</v>
      </c>
      <c r="Z84" s="212">
        <f>VLOOKUP($C84,МНО!$B$16:$AB$104,17,0)</f>
        <v>0.168144468687619</v>
      </c>
      <c r="AA84" s="213"/>
      <c r="AB84" s="214">
        <f>VLOOKUP($C84,МНО!$B$16:$AB$104,13,0)</f>
        <v>7.41331289741377</v>
      </c>
      <c r="AC84" s="215">
        <f>VLOOKUP($C84,МНО!$B$16:$AB$104,18,0)</f>
        <v>0.676699395770393</v>
      </c>
      <c r="AD84" s="176">
        <f>VLOOKUP($C84,Контейнеры!$B$16:$AB$104,16,0)</f>
        <v>60489</v>
      </c>
      <c r="AE84" s="177">
        <f>VLOOKUP($C84,Контейнеры!$B$16:$AB$104,8,0)</f>
        <v>51790</v>
      </c>
      <c r="AF84" s="177">
        <f>VLOOKUP($C84,Контейнеры!$B$16:$AB$104,11,0)</f>
        <v>8699</v>
      </c>
      <c r="AG84" s="217">
        <f>VLOOKUP($C84,Контейнеры!$B$16:$AB$104,17,0)</f>
        <v>0.143811271470846</v>
      </c>
      <c r="AH84" s="213"/>
      <c r="AI84" s="214">
        <f>VLOOKUP($C84,Контейнеры!$B$16:$AB$104,13,0)</f>
        <v>22.2223461803009</v>
      </c>
      <c r="AJ84" s="215">
        <f>VLOOKUP($C84,Контейнеры!$B$16:$AB$104,18,0)</f>
        <v>0.743916803125628</v>
      </c>
      <c r="AK84" s="231"/>
      <c r="AL84" s="170"/>
      <c r="AM84" s="170"/>
      <c r="AN84" s="232"/>
      <c r="AO84" s="249">
        <f>VLOOKUP($C84,Обработка!$B$16:$L$104,6,0)</f>
        <v>0.029</v>
      </c>
      <c r="AP84" s="251">
        <f t="shared" si="11"/>
        <v>-0.514</v>
      </c>
      <c r="AQ84" s="259">
        <f>VLOOKUP($C84,Обработка!$B$16:$L$104,7,0)</f>
        <v>0.557</v>
      </c>
      <c r="AR84" s="262">
        <f t="shared" si="12"/>
        <v>-0.25</v>
      </c>
      <c r="AS84" s="253">
        <f>VLOOKUP($C84,Утилизация!$B$16:$L$104,6,0)</f>
        <v>0.004</v>
      </c>
      <c r="AT84" s="251">
        <f t="shared" si="13"/>
        <v>-0.135</v>
      </c>
      <c r="AU84" s="259">
        <f>VLOOKUP($C84,Утилизация!$B$16:$L$104,7,0)</f>
        <v>0.242</v>
      </c>
      <c r="AV84" s="260">
        <f t="shared" si="14"/>
        <v>-0.044</v>
      </c>
      <c r="AW84" s="279" t="str">
        <f>VLOOKUP(C84,Захоронение!$B$16:$Q$104,16,0)</f>
        <v>белые пятна</v>
      </c>
      <c r="AX84" s="231"/>
      <c r="AY84" s="170"/>
      <c r="AZ84" s="170"/>
      <c r="BA84" s="171"/>
      <c r="BB84" s="280" t="str">
        <f>VLOOKUP(C84,'ДК ИП'!$B$16:$S$104,5,0)</f>
        <v>нет</v>
      </c>
      <c r="BC84" s="327">
        <f>VLOOKUP(C84,'Радар олд'!$B$3:$E$87,4,0)</f>
        <v>0.0210251971970409</v>
      </c>
      <c r="BD84" s="171"/>
      <c r="BI84" s="9">
        <f t="shared" si="15"/>
        <v>1</v>
      </c>
      <c r="BJ84" s="9">
        <f>VLOOKUP(C84,Штаб!$B$16:$C$104,2)</f>
        <v>0</v>
      </c>
      <c r="BK84" s="9">
        <f>VLOOKUP(C84,'РО - регионы'!$B$16:$C$104,2)</f>
        <v>1</v>
      </c>
      <c r="BL84" s="9">
        <f>VLOOKUP(C84,'РО - регионы'!$B$16:$L$104,11)</f>
        <v>2</v>
      </c>
      <c r="BM84" s="9">
        <f>VLOOKUP(C84,Спецтехника!$B$16:$C$104,2)</f>
        <v>2</v>
      </c>
      <c r="BN84" s="9">
        <f>VLOOKUP($C84,МНО!$B$16:$AB$104,6,0)</f>
        <v>0</v>
      </c>
      <c r="BO84" s="9">
        <f>VLOOKUP($C84,МНО!$B$16:$AB$104,4,0)</f>
        <v>0</v>
      </c>
      <c r="BP84" s="9">
        <f>VLOOKUP($C84,МНО!$B$16:$AB$104,5,0)</f>
        <v>1</v>
      </c>
      <c r="BQ84" s="9">
        <f>VLOOKUP($C84,Контейнеры!$B$16:$G$104,6,0)</f>
        <v>0</v>
      </c>
      <c r="BR84" s="9">
        <f>VLOOKUP($C84,Контейнеры!$B$16:$G$104,4,0)</f>
        <v>0</v>
      </c>
      <c r="BS84" s="9">
        <f>VLOOKUP($C84,Контейнеры!$B$16:$G$104,5,0)</f>
        <v>2</v>
      </c>
      <c r="BT84" s="9">
        <f>VLOOKUP($C84,'ДК МНО'!$B$16:$C$104,2,0)</f>
        <v>2</v>
      </c>
      <c r="BU84" s="9">
        <f>VLOOKUP($C84,Обработка!$B$16:$F$104,5,0)</f>
        <v>1</v>
      </c>
      <c r="BV84" s="9">
        <f>VLOOKUP($C84,Обработка!$B$16:$F$104,4,0)</f>
        <v>2</v>
      </c>
      <c r="BW84" s="9">
        <f>VLOOKUP($C84,Утилизация!$B$16:$F$104,5,0)</f>
        <v>1</v>
      </c>
      <c r="BX84" s="9">
        <f>VLOOKUP($C84,Утилизация!$B$16:$F$104,4,0)</f>
        <v>2</v>
      </c>
      <c r="BY84" s="9">
        <f>VLOOKUP($C84,Захоронение!$B$16:$C$104,2,0)</f>
        <v>2</v>
      </c>
      <c r="BZ84" s="9">
        <f>VLOOKUP($C84,'ДК ИП'!$B$16:$C$104,2,0)</f>
        <v>0</v>
      </c>
      <c r="CA84" s="9">
        <f t="shared" si="16"/>
        <v>1.1</v>
      </c>
    </row>
    <row r="85" ht="30" customHeight="1" spans="1:79">
      <c r="A85" s="6" t="s">
        <v>129</v>
      </c>
      <c r="B85" s="331">
        <f t="shared" si="17"/>
        <v>74</v>
      </c>
      <c r="C85" s="332" t="s">
        <v>149</v>
      </c>
      <c r="D85" s="333" t="str">
        <f>VLOOKUP($C85,Штаб!$B$16:$J$104,6,0)</f>
        <v>✔️</v>
      </c>
      <c r="E85" s="334" t="str">
        <f>VLOOKUP($C85,Штаб!$B$16:$J$104,7,0)</f>
        <v/>
      </c>
      <c r="F85" s="334" t="str">
        <f>VLOOKUP($C85,Штаб!$B$16:$J$104,8,0)</f>
        <v/>
      </c>
      <c r="G85" s="335" t="str">
        <f>VLOOKUP($C85,Штаб!$B$16:$J$104,9,0)</f>
        <v/>
      </c>
      <c r="H85" s="283" t="str">
        <f>VLOOKUP(C85,'РО - регионы'!$B$16:$I$104,8,0)</f>
        <v>0 / 18 / 3 из 21</v>
      </c>
      <c r="I85" s="169"/>
      <c r="J85" s="137"/>
      <c r="K85" s="170"/>
      <c r="L85" s="170"/>
      <c r="M85" s="171"/>
      <c r="N85" s="176">
        <f>VLOOKUP(C85,Спецтехника!$B$16:$J$104,4,0)</f>
        <v>50</v>
      </c>
      <c r="O85" s="177">
        <f>VLOOKUP(C85,Спецтехника!$B$16:$J$104,5,0)</f>
        <v>40</v>
      </c>
      <c r="P85" s="177">
        <f>VLOOKUP(C85,Спецтехника!$B$16:$J$104,6,0)</f>
        <v>10</v>
      </c>
      <c r="Q85" s="199">
        <f>VLOOKUP(C85,Спецтехника!$B$16:$J$104,7,0)</f>
        <v>0.2</v>
      </c>
      <c r="R85" s="197"/>
      <c r="S85" s="137"/>
      <c r="T85" s="170"/>
      <c r="U85" s="170"/>
      <c r="V85" s="171"/>
      <c r="W85" s="176">
        <f>VLOOKUP($C85,МНО!$B$16:$AB$104,16,0)</f>
        <v>722</v>
      </c>
      <c r="X85" s="177">
        <f>VLOOKUP($C85,МНО!$B$16:$AB$104,8,0)</f>
        <v>478</v>
      </c>
      <c r="Y85" s="177">
        <f>VLOOKUP($C85,МНО!$B$16:$AB$104,11,0)</f>
        <v>244</v>
      </c>
      <c r="Z85" s="217">
        <f>VLOOKUP($C85,МНО!$B$16:$AB$104,17,0)</f>
        <v>0.337950138504155</v>
      </c>
      <c r="AA85" s="213"/>
      <c r="AB85" s="214">
        <f>VLOOKUP($C85,МНО!$B$16:$AB$104,13,0)</f>
        <v>9.93149971891982</v>
      </c>
      <c r="AC85" s="215">
        <f>VLOOKUP($C85,МНО!$B$16:$AB$104,18,0)</f>
        <v>1</v>
      </c>
      <c r="AD85" s="174">
        <f>VLOOKUP($C85,Контейнеры!$B$16:$AB$104,16,0)</f>
        <v>1691</v>
      </c>
      <c r="AE85" s="175">
        <f>VLOOKUP($C85,Контейнеры!$B$16:$AB$104,8,0)</f>
        <v>1292</v>
      </c>
      <c r="AF85" s="175">
        <f>VLOOKUP($C85,Контейнеры!$B$16:$AB$104,11,0)</f>
        <v>399</v>
      </c>
      <c r="AG85" s="212">
        <f>VLOOKUP($C85,Контейнеры!$B$16:$AB$104,17,0)</f>
        <v>0.235955056179775</v>
      </c>
      <c r="AH85" s="213"/>
      <c r="AI85" s="214">
        <f>VLOOKUP($C85,Контейнеры!$B$16:$AB$104,13,0)</f>
        <v>26.9004143330071</v>
      </c>
      <c r="AJ85" s="215">
        <f>VLOOKUP($C85,Контейнеры!$B$16:$AB$104,18,0)</f>
        <v>1</v>
      </c>
      <c r="AK85" s="231"/>
      <c r="AL85" s="170"/>
      <c r="AM85" s="170"/>
      <c r="AN85" s="232"/>
      <c r="AO85" s="249">
        <f>VLOOKUP($C85,Обработка!$B$16:$L$104,6,0)</f>
        <v>0.244</v>
      </c>
      <c r="AP85" s="251">
        <f t="shared" si="11"/>
        <v>-0.299</v>
      </c>
      <c r="AQ85" s="259">
        <f>VLOOKUP($C85,Обработка!$B$16:$L$104,7,0)</f>
        <v>0.661</v>
      </c>
      <c r="AR85" s="262">
        <f t="shared" si="12"/>
        <v>-0.146</v>
      </c>
      <c r="AS85" s="253">
        <f>VLOOKUP($C85,Утилизация!$B$16:$L$104,6,0)</f>
        <v>0.231</v>
      </c>
      <c r="AT85" s="251">
        <f t="shared" si="13"/>
        <v>0.092</v>
      </c>
      <c r="AU85" s="259">
        <f>VLOOKUP($C85,Утилизация!$B$16:$L$104,7,0)</f>
        <v>0.25</v>
      </c>
      <c r="AV85" s="260">
        <f t="shared" si="14"/>
        <v>-0.036</v>
      </c>
      <c r="AW85" s="279" t="str">
        <f>VLOOKUP(C85,Захоронение!$B$16:$Q$104,16,0)</f>
        <v>свалки</v>
      </c>
      <c r="AX85" s="231"/>
      <c r="AY85" s="170"/>
      <c r="AZ85" s="170"/>
      <c r="BA85" s="171"/>
      <c r="BB85" s="280" t="str">
        <f>VLOOKUP(C85,'ДК ИП'!$B$16:$S$104,5,0)</f>
        <v>небольшое</v>
      </c>
      <c r="BC85" s="327" t="e">
        <f>VLOOKUP(C85,'Радар олд'!$B$3:$E$87,4,0)</f>
        <v>#N/A</v>
      </c>
      <c r="BD85" s="171"/>
      <c r="BI85" s="9">
        <f t="shared" si="15"/>
        <v>1</v>
      </c>
      <c r="BJ85" s="9">
        <f>VLOOKUP(C85,Штаб!$B$16:$C$104,2)</f>
        <v>0</v>
      </c>
      <c r="BK85" s="9">
        <f>VLOOKUP(C85,'РО - регионы'!$B$16:$C$104,2)</f>
        <v>1</v>
      </c>
      <c r="BL85" s="9">
        <f>VLOOKUP(C85,'РО - регионы'!$B$16:$L$104,11)</f>
        <v>2</v>
      </c>
      <c r="BM85" s="9">
        <f>VLOOKUP(C85,Спецтехника!$B$16:$C$104,2)</f>
        <v>2</v>
      </c>
      <c r="BN85" s="9">
        <f>VLOOKUP($C85,МНО!$B$16:$AB$104,6,0)</f>
        <v>1</v>
      </c>
      <c r="BO85" s="9">
        <f>VLOOKUP($C85,МНО!$B$16:$AB$104,4,0)</f>
        <v>0</v>
      </c>
      <c r="BP85" s="9">
        <f>VLOOKUP($C85,МНО!$B$16:$AB$104,5,0)</f>
        <v>0</v>
      </c>
      <c r="BQ85" s="9">
        <f>VLOOKUP($C85,Контейнеры!$B$16:$G$104,6,0)</f>
        <v>1</v>
      </c>
      <c r="BR85" s="9">
        <f>VLOOKUP($C85,Контейнеры!$B$16:$G$104,4,0)</f>
        <v>0</v>
      </c>
      <c r="BS85" s="9">
        <f>VLOOKUP($C85,Контейнеры!$B$16:$G$104,5,0)</f>
        <v>0</v>
      </c>
      <c r="BT85" s="9">
        <f>VLOOKUP($C85,'ДК МНО'!$B$16:$C$104,2,0)</f>
        <v>2</v>
      </c>
      <c r="BU85" s="9">
        <f>VLOOKUP($C85,Обработка!$B$16:$F$104,5,0)</f>
        <v>1</v>
      </c>
      <c r="BV85" s="9">
        <f>VLOOKUP($C85,Обработка!$B$16:$F$104,4,0)</f>
        <v>2</v>
      </c>
      <c r="BW85" s="9">
        <f>VLOOKUP($C85,Утилизация!$B$16:$F$104,5,0)</f>
        <v>1</v>
      </c>
      <c r="BX85" s="9">
        <f>VLOOKUP($C85,Утилизация!$B$16:$F$104,4,0)</f>
        <v>2</v>
      </c>
      <c r="BY85" s="9">
        <f>VLOOKUP($C85,Захоронение!$B$16:$C$104,2,0)</f>
        <v>2</v>
      </c>
      <c r="BZ85" s="9">
        <f>VLOOKUP($C85,'ДК ИП'!$B$16:$C$104,2,0)</f>
        <v>0</v>
      </c>
      <c r="CA85" s="9">
        <f t="shared" si="16"/>
        <v>1.2</v>
      </c>
    </row>
    <row r="86" ht="30" customHeight="1" spans="1:79">
      <c r="A86" s="6" t="s">
        <v>129</v>
      </c>
      <c r="B86" s="331">
        <f t="shared" si="17"/>
        <v>75</v>
      </c>
      <c r="C86" s="332" t="s">
        <v>150</v>
      </c>
      <c r="D86" s="333" t="str">
        <f>VLOOKUP($C86,Штаб!$B$16:$J$104,6,0)</f>
        <v>✔️</v>
      </c>
      <c r="E86" s="334" t="str">
        <f>VLOOKUP($C86,Штаб!$B$16:$J$104,7,0)</f>
        <v/>
      </c>
      <c r="F86" s="334" t="str">
        <f>VLOOKUP($C86,Штаб!$B$16:$J$104,8,0)</f>
        <v/>
      </c>
      <c r="G86" s="335" t="str">
        <f>VLOOKUP($C86,Штаб!$B$16:$J$104,9,0)</f>
        <v/>
      </c>
      <c r="H86" s="283" t="str">
        <f>VLOOKUP(C86,'РО - регионы'!$B$16:$I$104,8,0)</f>
        <v>0 / 3 / 2 из 5</v>
      </c>
      <c r="I86" s="169"/>
      <c r="J86" s="137"/>
      <c r="K86" s="170"/>
      <c r="L86" s="170"/>
      <c r="M86" s="171"/>
      <c r="N86" s="172">
        <f>VLOOKUP(C86,Спецтехника!$B$16:$J$104,4,0)</f>
        <v>260</v>
      </c>
      <c r="O86" s="173">
        <f>VLOOKUP(C86,Спецтехника!$B$16:$J$104,5,0)</f>
        <v>260</v>
      </c>
      <c r="P86" s="173">
        <f>VLOOKUP(C86,Спецтехника!$B$16:$J$104,6,0)</f>
        <v>0</v>
      </c>
      <c r="Q86" s="196">
        <f>VLOOKUP(C86,Спецтехника!$B$16:$J$104,7,0)</f>
        <v>0</v>
      </c>
      <c r="R86" s="197"/>
      <c r="S86" s="137"/>
      <c r="T86" s="170"/>
      <c r="U86" s="170"/>
      <c r="V86" s="171"/>
      <c r="W86" s="174">
        <f>VLOOKUP($C86,МНО!$B$16:$AB$104,16,0)</f>
        <v>17035</v>
      </c>
      <c r="X86" s="175">
        <f>VLOOKUP($C86,МНО!$B$16:$AB$104,8,0)</f>
        <v>13606</v>
      </c>
      <c r="Y86" s="175">
        <f>VLOOKUP($C86,МНО!$B$16:$AB$104,11,0)</f>
        <v>3429</v>
      </c>
      <c r="Z86" s="212">
        <f>VLOOKUP($C86,МНО!$B$16:$AB$104,17,0)</f>
        <v>0.201291458761374</v>
      </c>
      <c r="AA86" s="213"/>
      <c r="AB86" s="214">
        <f>VLOOKUP($C86,МНО!$B$16:$AB$104,13,0)</f>
        <v>16.4395140271143</v>
      </c>
      <c r="AC86" s="215">
        <f>VLOOKUP($C86,МНО!$B$16:$AB$104,18,0)</f>
        <v>1</v>
      </c>
      <c r="AD86" s="174">
        <f>VLOOKUP($C86,Контейнеры!$B$16:$AB$104,16,0)</f>
        <v>28111</v>
      </c>
      <c r="AE86" s="175">
        <f>VLOOKUP($C86,Контейнеры!$B$16:$AB$104,8,0)</f>
        <v>23969</v>
      </c>
      <c r="AF86" s="175">
        <f>VLOOKUP($C86,Контейнеры!$B$16:$AB$104,11,0)</f>
        <v>4142</v>
      </c>
      <c r="AG86" s="212">
        <f>VLOOKUP($C86,Контейнеры!$B$16:$AB$104,17,0)</f>
        <v>0.14734445590694</v>
      </c>
      <c r="AH86" s="213"/>
      <c r="AI86" s="214">
        <f>VLOOKUP($C86,Контейнеры!$B$16:$AB$104,13,0)</f>
        <v>31.9551302989136</v>
      </c>
      <c r="AJ86" s="215">
        <f>VLOOKUP($C86,Контейнеры!$B$16:$AB$104,18,0)</f>
        <v>1</v>
      </c>
      <c r="AK86" s="231"/>
      <c r="AL86" s="170"/>
      <c r="AM86" s="170"/>
      <c r="AN86" s="232"/>
      <c r="AO86" s="249">
        <f>VLOOKUP($C86,Обработка!$B$16:$L$104,6,0)</f>
        <v>0.001</v>
      </c>
      <c r="AP86" s="251">
        <f t="shared" si="11"/>
        <v>-0.542</v>
      </c>
      <c r="AQ86" s="251">
        <f>VLOOKUP($C86,Обработка!$B$16:$L$104,7,0)</f>
        <v>0.237</v>
      </c>
      <c r="AR86" s="252">
        <f t="shared" si="12"/>
        <v>-0.57</v>
      </c>
      <c r="AS86" s="253">
        <f>VLOOKUP($C86,Утилизация!$B$16:$L$104,6,0)</f>
        <v>0</v>
      </c>
      <c r="AT86" s="251">
        <f t="shared" si="13"/>
        <v>-0.139</v>
      </c>
      <c r="AU86" s="251">
        <f>VLOOKUP($C86,Утилизация!$B$16:$L$104,7,0)</f>
        <v>0.1</v>
      </c>
      <c r="AV86" s="254">
        <f t="shared" si="14"/>
        <v>-0.186</v>
      </c>
      <c r="AW86" s="279" t="str">
        <f>VLOOKUP(C86,Захоронение!$B$16:$Q$104,16,0)</f>
        <v>белые пятна</v>
      </c>
      <c r="AX86" s="231"/>
      <c r="AY86" s="170"/>
      <c r="AZ86" s="170"/>
      <c r="BA86" s="171"/>
      <c r="BB86" s="280" t="str">
        <f>VLOOKUP(C86,'ДК ИП'!$B$16:$S$104,5,0)</f>
        <v>среднее</v>
      </c>
      <c r="BC86" s="327">
        <f>VLOOKUP(C86,'Радар олд'!$B$3:$E$87,4,0)</f>
        <v>4.69681355263351</v>
      </c>
      <c r="BD86" s="171"/>
      <c r="BI86" s="9">
        <f t="shared" si="15"/>
        <v>1</v>
      </c>
      <c r="BJ86" s="9">
        <f>VLOOKUP(C86,Штаб!$B$16:$C$104,2)</f>
        <v>0</v>
      </c>
      <c r="BK86" s="9">
        <f>VLOOKUP(C86,'РО - регионы'!$B$16:$C$104,2)</f>
        <v>1</v>
      </c>
      <c r="BL86" s="9">
        <f>VLOOKUP(C86,'РО - регионы'!$B$16:$L$104,11)</f>
        <v>2</v>
      </c>
      <c r="BM86" s="9">
        <f>VLOOKUP(C86,Спецтехника!$B$16:$C$104,2)</f>
        <v>0</v>
      </c>
      <c r="BN86" s="9">
        <f>VLOOKUP($C86,МНО!$B$16:$AB$104,6,0)</f>
        <v>1</v>
      </c>
      <c r="BO86" s="9">
        <f>VLOOKUP($C86,МНО!$B$16:$AB$104,4,0)</f>
        <v>0</v>
      </c>
      <c r="BP86" s="9">
        <f>VLOOKUP($C86,МНО!$B$16:$AB$104,5,0)</f>
        <v>0</v>
      </c>
      <c r="BQ86" s="9">
        <f>VLOOKUP($C86,Контейнеры!$B$16:$G$104,6,0)</f>
        <v>0</v>
      </c>
      <c r="BR86" s="9">
        <f>VLOOKUP($C86,Контейнеры!$B$16:$G$104,4,0)</f>
        <v>0</v>
      </c>
      <c r="BS86" s="9">
        <f>VLOOKUP($C86,Контейнеры!$B$16:$G$104,5,0)</f>
        <v>0</v>
      </c>
      <c r="BT86" s="9">
        <f>VLOOKUP($C86,'ДК МНО'!$B$16:$C$104,2,0)</f>
        <v>2</v>
      </c>
      <c r="BU86" s="9">
        <f>VLOOKUP($C86,Обработка!$B$16:$F$104,5,0)</f>
        <v>2</v>
      </c>
      <c r="BV86" s="9">
        <f>VLOOKUP($C86,Обработка!$B$16:$F$104,4,0)</f>
        <v>2</v>
      </c>
      <c r="BW86" s="9">
        <f>VLOOKUP($C86,Утилизация!$B$16:$F$104,5,0)</f>
        <v>2</v>
      </c>
      <c r="BX86" s="9">
        <f>VLOOKUP($C86,Утилизация!$B$16:$F$104,4,0)</f>
        <v>2</v>
      </c>
      <c r="BY86" s="9">
        <f>VLOOKUP($C86,Захоронение!$B$16:$C$104,2,0)</f>
        <v>2</v>
      </c>
      <c r="BZ86" s="9">
        <f>VLOOKUP($C86,'ДК ИП'!$B$16:$C$104,2,0)</f>
        <v>1</v>
      </c>
      <c r="CA86" s="9">
        <f t="shared" si="16"/>
        <v>1.25</v>
      </c>
    </row>
    <row r="87" ht="30" customHeight="1" spans="1:79">
      <c r="A87" s="6" t="s">
        <v>104</v>
      </c>
      <c r="B87" s="331">
        <f t="shared" si="17"/>
        <v>76</v>
      </c>
      <c r="C87" s="332" t="s">
        <v>151</v>
      </c>
      <c r="D87" s="333" t="str">
        <f>VLOOKUP($C87,Штаб!$B$16:$J$104,6,0)</f>
        <v/>
      </c>
      <c r="E87" s="334" t="str">
        <f>VLOOKUP($C87,Штаб!$B$16:$J$104,7,0)</f>
        <v/>
      </c>
      <c r="F87" s="334" t="str">
        <f>VLOOKUP($C87,Штаб!$B$16:$J$104,8,0)</f>
        <v/>
      </c>
      <c r="G87" s="335" t="str">
        <f>VLOOKUP($C87,Штаб!$B$16:$J$104,9,0)</f>
        <v>✔️</v>
      </c>
      <c r="H87" s="283" t="str">
        <f>VLOOKUP(C87,'РО - регионы'!$B$16:$I$104,8,0)</f>
        <v>0 / 1 / 1 из 2</v>
      </c>
      <c r="I87" s="169"/>
      <c r="J87" s="137"/>
      <c r="K87" s="170"/>
      <c r="L87" s="170"/>
      <c r="M87" s="171"/>
      <c r="N87" s="172">
        <f>VLOOKUP(C87,Спецтехника!$B$16:$J$104,4,0)</f>
        <v>67</v>
      </c>
      <c r="O87" s="173">
        <f>VLOOKUP(C87,Спецтехника!$B$16:$J$104,5,0)</f>
        <v>67</v>
      </c>
      <c r="P87" s="173">
        <f>VLOOKUP(C87,Спецтехника!$B$16:$J$104,6,0)</f>
        <v>0</v>
      </c>
      <c r="Q87" s="196">
        <f>VLOOKUP(C87,Спецтехника!$B$16:$J$104,7,0)</f>
        <v>0</v>
      </c>
      <c r="R87" s="197"/>
      <c r="S87" s="137"/>
      <c r="T87" s="170"/>
      <c r="U87" s="170"/>
      <c r="V87" s="171"/>
      <c r="W87" s="174">
        <f>VLOOKUP($C87,МНО!$B$16:$AB$104,16,0)</f>
        <v>3589</v>
      </c>
      <c r="X87" s="175">
        <f>VLOOKUP($C87,МНО!$B$16:$AB$104,8,0)</f>
        <v>2989</v>
      </c>
      <c r="Y87" s="175">
        <f>VLOOKUP($C87,МНО!$B$16:$AB$104,11,0)</f>
        <v>600</v>
      </c>
      <c r="Z87" s="212">
        <f>VLOOKUP($C87,МНО!$B$16:$AB$104,17,0)</f>
        <v>0.167177486765116</v>
      </c>
      <c r="AA87" s="213"/>
      <c r="AB87" s="214">
        <f>VLOOKUP($C87,МНО!$B$16:$AB$104,13,0)</f>
        <v>3.92706211268871</v>
      </c>
      <c r="AC87" s="215">
        <f>VLOOKUP($C87,МНО!$B$16:$AB$104,18,0)</f>
        <v>1</v>
      </c>
      <c r="AD87" s="174">
        <f>VLOOKUP($C87,Контейнеры!$B$16:$AB$104,16,0)</f>
        <v>7292</v>
      </c>
      <c r="AE87" s="175">
        <f>VLOOKUP($C87,Контейнеры!$B$16:$AB$104,8,0)</f>
        <v>6272</v>
      </c>
      <c r="AF87" s="175">
        <f>VLOOKUP($C87,Контейнеры!$B$16:$AB$104,11,0)</f>
        <v>1020</v>
      </c>
      <c r="AG87" s="212">
        <f>VLOOKUP($C87,Контейнеры!$B$16:$AB$104,17,0)</f>
        <v>0.139879319802523</v>
      </c>
      <c r="AH87" s="213"/>
      <c r="AI87" s="214">
        <f>VLOOKUP($C87,Контейнеры!$B$16:$AB$104,13,0)</f>
        <v>9.2387597789886</v>
      </c>
      <c r="AJ87" s="215">
        <f>VLOOKUP($C87,Контейнеры!$B$16:$AB$104,18,0)</f>
        <v>1</v>
      </c>
      <c r="AK87" s="231"/>
      <c r="AL87" s="170"/>
      <c r="AM87" s="170"/>
      <c r="AN87" s="232"/>
      <c r="AO87" s="249">
        <f>VLOOKUP($C87,Обработка!$B$16:$L$104,6,0)</f>
        <v>0.043</v>
      </c>
      <c r="AP87" s="251">
        <f t="shared" si="11"/>
        <v>-0.5</v>
      </c>
      <c r="AQ87" s="259">
        <f>VLOOKUP($C87,Обработка!$B$16:$L$104,7,0)</f>
        <v>0.7</v>
      </c>
      <c r="AR87" s="262">
        <f t="shared" si="12"/>
        <v>-0.107</v>
      </c>
      <c r="AS87" s="253">
        <f>VLOOKUP($C87,Утилизация!$B$16:$L$104,6,0)</f>
        <v>0.001</v>
      </c>
      <c r="AT87" s="251">
        <f t="shared" si="13"/>
        <v>-0.138</v>
      </c>
      <c r="AU87" s="251">
        <f>VLOOKUP($C87,Утилизация!$B$16:$L$104,7,0)</f>
        <v>0.09</v>
      </c>
      <c r="AV87" s="254">
        <f t="shared" si="14"/>
        <v>-0.196</v>
      </c>
      <c r="AW87" s="279" t="str">
        <f>VLOOKUP(C87,Захоронение!$B$16:$Q$104,16,0)</f>
        <v>белые пятна</v>
      </c>
      <c r="AX87" s="231"/>
      <c r="AY87" s="170"/>
      <c r="AZ87" s="170"/>
      <c r="BA87" s="171"/>
      <c r="BB87" s="280" t="str">
        <f>VLOOKUP(C87,'ДК ИП'!$B$16:$S$104,5,0)</f>
        <v>среднее</v>
      </c>
      <c r="BC87" s="327">
        <f>VLOOKUP(C87,'Радар олд'!$B$3:$E$87,4,0)</f>
        <v>0.0147301654639487</v>
      </c>
      <c r="BD87" s="171"/>
      <c r="BI87" s="9">
        <f t="shared" si="15"/>
        <v>1</v>
      </c>
      <c r="BJ87" s="9">
        <f>VLOOKUP(C87,Штаб!$B$16:$C$104,2)</f>
        <v>2</v>
      </c>
      <c r="BK87" s="9">
        <f>VLOOKUP(C87,'РО - регионы'!$B$16:$C$104,2)</f>
        <v>1</v>
      </c>
      <c r="BL87" s="9">
        <f>VLOOKUP(C87,'РО - регионы'!$B$16:$L$104,11)</f>
        <v>2</v>
      </c>
      <c r="BM87" s="9">
        <f>VLOOKUP(C87,Спецтехника!$B$16:$C$104,2)</f>
        <v>0</v>
      </c>
      <c r="BN87" s="9">
        <f>VLOOKUP($C87,МНО!$B$16:$AB$104,6,0)</f>
        <v>0</v>
      </c>
      <c r="BO87" s="9">
        <f>VLOOKUP($C87,МНО!$B$16:$AB$104,4,0)</f>
        <v>1</v>
      </c>
      <c r="BP87" s="9">
        <f>VLOOKUP($C87,МНО!$B$16:$AB$104,5,0)</f>
        <v>0</v>
      </c>
      <c r="BQ87" s="9">
        <f>VLOOKUP($C87,Контейнеры!$B$16:$G$104,6,0)</f>
        <v>0</v>
      </c>
      <c r="BR87" s="9">
        <f>VLOOKUP($C87,Контейнеры!$B$16:$G$104,4,0)</f>
        <v>0</v>
      </c>
      <c r="BS87" s="9">
        <f>VLOOKUP($C87,Контейнеры!$B$16:$G$104,5,0)</f>
        <v>0</v>
      </c>
      <c r="BT87" s="9">
        <f>VLOOKUP($C87,'ДК МНО'!$B$16:$C$104,2,0)</f>
        <v>2</v>
      </c>
      <c r="BU87" s="9">
        <f>VLOOKUP($C87,Обработка!$B$16:$F$104,5,0)</f>
        <v>1</v>
      </c>
      <c r="BV87" s="9">
        <f>VLOOKUP($C87,Обработка!$B$16:$F$104,4,0)</f>
        <v>2</v>
      </c>
      <c r="BW87" s="9">
        <f>VLOOKUP($C87,Утилизация!$B$16:$F$104,5,0)</f>
        <v>2</v>
      </c>
      <c r="BX87" s="9">
        <f>VLOOKUP($C87,Утилизация!$B$16:$F$104,4,0)</f>
        <v>2</v>
      </c>
      <c r="BY87" s="9">
        <f>VLOOKUP($C87,Захоронение!$B$16:$C$104,2,0)</f>
        <v>2</v>
      </c>
      <c r="BZ87" s="9">
        <f>VLOOKUP($C87,'ДК ИП'!$B$16:$C$104,2,0)</f>
        <v>1</v>
      </c>
      <c r="CA87" s="9">
        <f t="shared" si="16"/>
        <v>1.2</v>
      </c>
    </row>
    <row r="88" ht="30" customHeight="1" spans="1:79">
      <c r="A88" s="6" t="s">
        <v>108</v>
      </c>
      <c r="B88" s="331">
        <f t="shared" si="17"/>
        <v>77</v>
      </c>
      <c r="C88" s="332" t="s">
        <v>152</v>
      </c>
      <c r="D88" s="333" t="str">
        <f>VLOOKUP($C88,Штаб!$B$16:$J$104,6,0)</f>
        <v>✔️</v>
      </c>
      <c r="E88" s="334" t="str">
        <f>VLOOKUP($C88,Штаб!$B$16:$J$104,7,0)</f>
        <v/>
      </c>
      <c r="F88" s="334" t="str">
        <f>VLOOKUP($C88,Штаб!$B$16:$J$104,8,0)</f>
        <v/>
      </c>
      <c r="G88" s="335" t="str">
        <f>VLOOKUP($C88,Штаб!$B$16:$J$104,9,0)</f>
        <v/>
      </c>
      <c r="H88" s="283" t="str">
        <f>VLOOKUP(C88,'РО - регионы'!$B$16:$I$104,8,0)</f>
        <v>1 / 3 / 1 из 5</v>
      </c>
      <c r="I88" s="169"/>
      <c r="J88" s="137"/>
      <c r="K88" s="170"/>
      <c r="L88" s="170"/>
      <c r="M88" s="171"/>
      <c r="N88" s="172">
        <f>VLOOKUP(C88,Спецтехника!$B$16:$J$104,4,0)</f>
        <v>41</v>
      </c>
      <c r="O88" s="173">
        <f>VLOOKUP(C88,Спецтехника!$B$16:$J$104,5,0)</f>
        <v>41</v>
      </c>
      <c r="P88" s="173">
        <f>VLOOKUP(C88,Спецтехника!$B$16:$J$104,6,0)</f>
        <v>0</v>
      </c>
      <c r="Q88" s="196">
        <f>VLOOKUP(C88,Спецтехника!$B$16:$J$104,7,0)</f>
        <v>0</v>
      </c>
      <c r="R88" s="197"/>
      <c r="S88" s="137"/>
      <c r="T88" s="170"/>
      <c r="U88" s="170"/>
      <c r="V88" s="171"/>
      <c r="W88" s="176">
        <f>VLOOKUP($C88,МНО!$B$16:$AB$104,16,0)</f>
        <v>8171</v>
      </c>
      <c r="X88" s="177">
        <f>VLOOKUP($C88,МНО!$B$16:$AB$104,8,0)</f>
        <v>2585</v>
      </c>
      <c r="Y88" s="177">
        <f>VLOOKUP($C88,МНО!$B$16:$AB$104,11,0)</f>
        <v>5586</v>
      </c>
      <c r="Z88" s="217">
        <f>VLOOKUP($C88,МНО!$B$16:$AB$104,17,0)</f>
        <v>0.683637253702117</v>
      </c>
      <c r="AA88" s="213"/>
      <c r="AB88" s="214">
        <f>VLOOKUP($C88,МНО!$B$16:$AB$104,13,0)</f>
        <v>3.70331802906234</v>
      </c>
      <c r="AC88" s="215">
        <f>VLOOKUP($C88,МНО!$B$16:$AB$104,18,0)</f>
        <v>0.458333333333333</v>
      </c>
      <c r="AD88" s="176">
        <f>VLOOKUP($C88,Контейнеры!$B$16:$AB$104,16,0)</f>
        <v>10611</v>
      </c>
      <c r="AE88" s="177">
        <f>VLOOKUP($C88,Контейнеры!$B$16:$AB$104,8,0)</f>
        <v>4867</v>
      </c>
      <c r="AF88" s="177">
        <f>VLOOKUP($C88,Контейнеры!$B$16:$AB$104,11,0)</f>
        <v>5744</v>
      </c>
      <c r="AG88" s="217">
        <f>VLOOKUP($C88,Контейнеры!$B$16:$AB$104,17,0)</f>
        <v>0.541325040052775</v>
      </c>
      <c r="AH88" s="213"/>
      <c r="AI88" s="214">
        <f>VLOOKUP($C88,Контейнеры!$B$16:$AB$104,13,0)</f>
        <v>9.21474889951247</v>
      </c>
      <c r="AJ88" s="215">
        <f>VLOOKUP($C88,Контейнеры!$B$16:$AB$104,18,0)</f>
        <v>0.477250441262993</v>
      </c>
      <c r="AK88" s="231"/>
      <c r="AL88" s="170"/>
      <c r="AM88" s="170"/>
      <c r="AN88" s="232"/>
      <c r="AO88" s="249">
        <f>VLOOKUP($C88,Обработка!$B$16:$L$104,6,0)</f>
        <v>0</v>
      </c>
      <c r="AP88" s="251">
        <f t="shared" si="11"/>
        <v>-0.543</v>
      </c>
      <c r="AQ88" s="259">
        <f>VLOOKUP($C88,Обработка!$B$16:$L$104,7,0)</f>
        <v>0.6</v>
      </c>
      <c r="AR88" s="262">
        <f t="shared" si="12"/>
        <v>-0.207</v>
      </c>
      <c r="AS88" s="253">
        <f>VLOOKUP($C88,Утилизация!$B$16:$L$104,6,0)</f>
        <v>0</v>
      </c>
      <c r="AT88" s="251">
        <f t="shared" si="13"/>
        <v>-0.139</v>
      </c>
      <c r="AU88" s="250">
        <f>VLOOKUP($C88,Утилизация!$B$16:$L$104,7,0)</f>
        <v>0.35</v>
      </c>
      <c r="AV88" s="256">
        <f t="shared" si="14"/>
        <v>0.064</v>
      </c>
      <c r="AW88" s="279" t="str">
        <f>VLOOKUP(C88,Захоронение!$B$16:$Q$104,16,0)</f>
        <v>765 приказ</v>
      </c>
      <c r="AX88" s="231"/>
      <c r="AY88" s="170"/>
      <c r="AZ88" s="170"/>
      <c r="BA88" s="171"/>
      <c r="BB88" s="280" t="str">
        <f>VLOOKUP(C88,'ДК ИП'!$B$16:$S$104,5,0)</f>
        <v>среднее</v>
      </c>
      <c r="BC88" s="327">
        <f>VLOOKUP(C88,'Радар олд'!$B$3:$E$87,4,0)</f>
        <v>0.354049320774365</v>
      </c>
      <c r="BD88" s="171"/>
      <c r="BI88" s="9">
        <f t="shared" si="15"/>
        <v>2</v>
      </c>
      <c r="BJ88" s="9">
        <f>VLOOKUP(C88,Штаб!$B$16:$C$104,2)</f>
        <v>0</v>
      </c>
      <c r="BK88" s="9">
        <f>VLOOKUP(C88,'РО - регионы'!$B$16:$C$104,2)</f>
        <v>2</v>
      </c>
      <c r="BL88" s="9">
        <f>VLOOKUP(C88,'РО - регионы'!$B$16:$L$104,11)</f>
        <v>2</v>
      </c>
      <c r="BM88" s="9">
        <f>VLOOKUP(C88,Спецтехника!$B$16:$C$104,2)</f>
        <v>0</v>
      </c>
      <c r="BN88" s="9">
        <f>VLOOKUP($C88,МНО!$B$16:$AB$104,6,0)</f>
        <v>2</v>
      </c>
      <c r="BO88" s="9">
        <f>VLOOKUP($C88,МНО!$B$16:$AB$104,4,0)</f>
        <v>1</v>
      </c>
      <c r="BP88" s="9">
        <f>VLOOKUP($C88,МНО!$B$16:$AB$104,5,0)</f>
        <v>2</v>
      </c>
      <c r="BQ88" s="9">
        <f>VLOOKUP($C88,Контейнеры!$B$16:$G$104,6,0)</f>
        <v>2</v>
      </c>
      <c r="BR88" s="9">
        <f>VLOOKUP($C88,Контейнеры!$B$16:$G$104,4,0)</f>
        <v>0</v>
      </c>
      <c r="BS88" s="9">
        <f>VLOOKUP($C88,Контейнеры!$B$16:$G$104,5,0)</f>
        <v>2</v>
      </c>
      <c r="BT88" s="9">
        <f>VLOOKUP($C88,'ДК МНО'!$B$16:$C$104,2,0)</f>
        <v>2</v>
      </c>
      <c r="BU88" s="9">
        <f>VLOOKUP($C88,Обработка!$B$16:$F$104,5,0)</f>
        <v>1</v>
      </c>
      <c r="BV88" s="9">
        <f>VLOOKUP($C88,Обработка!$B$16:$F$104,4,0)</f>
        <v>2</v>
      </c>
      <c r="BW88" s="9">
        <f>VLOOKUP($C88,Утилизация!$B$16:$F$104,5,0)</f>
        <v>0</v>
      </c>
      <c r="BX88" s="9">
        <f>VLOOKUP($C88,Утилизация!$B$16:$F$104,4,0)</f>
        <v>2</v>
      </c>
      <c r="BY88" s="9">
        <f>VLOOKUP($C88,Захоронение!$B$16:$C$104,2,0)</f>
        <v>2</v>
      </c>
      <c r="BZ88" s="9">
        <f>VLOOKUP($C88,'ДК ИП'!$B$16:$C$104,2,0)</f>
        <v>1</v>
      </c>
      <c r="CA88" s="9">
        <f t="shared" si="16"/>
        <v>1.5</v>
      </c>
    </row>
    <row r="89" ht="30" customHeight="1" spans="1:79">
      <c r="A89" s="6" t="s">
        <v>129</v>
      </c>
      <c r="B89" s="331">
        <f t="shared" si="17"/>
        <v>78</v>
      </c>
      <c r="C89" s="332" t="s">
        <v>153</v>
      </c>
      <c r="D89" s="333" t="str">
        <f>VLOOKUP($C89,Штаб!$B$16:$J$104,6,0)</f>
        <v/>
      </c>
      <c r="E89" s="334" t="str">
        <f>VLOOKUP($C89,Штаб!$B$16:$J$104,7,0)</f>
        <v/>
      </c>
      <c r="F89" s="334" t="str">
        <f>VLOOKUP($C89,Штаб!$B$16:$J$104,8,0)</f>
        <v/>
      </c>
      <c r="G89" s="335" t="str">
        <f>VLOOKUP($C89,Штаб!$B$16:$J$104,9,0)</f>
        <v>✔️</v>
      </c>
      <c r="H89" s="279" t="str">
        <f>VLOOKUP(C89,'РО - регионы'!$B$16:$I$104,8,0)</f>
        <v>1 / 5 / 3 из 9</v>
      </c>
      <c r="I89" s="169"/>
      <c r="J89" s="137"/>
      <c r="K89" s="170"/>
      <c r="L89" s="170"/>
      <c r="M89" s="171"/>
      <c r="N89" s="176">
        <f>VLOOKUP(C89,Спецтехника!$B$16:$J$104,4,0)</f>
        <v>63</v>
      </c>
      <c r="O89" s="177">
        <f>VLOOKUP(C89,Спецтехника!$B$16:$J$104,5,0)</f>
        <v>34</v>
      </c>
      <c r="P89" s="177">
        <f>VLOOKUP(C89,Спецтехника!$B$16:$J$104,6,0)</f>
        <v>29</v>
      </c>
      <c r="Q89" s="199">
        <f>VLOOKUP(C89,Спецтехника!$B$16:$J$104,7,0)</f>
        <v>0.46031746031746</v>
      </c>
      <c r="R89" s="197"/>
      <c r="S89" s="137"/>
      <c r="T89" s="170"/>
      <c r="U89" s="170"/>
      <c r="V89" s="171"/>
      <c r="W89" s="176">
        <f>VLOOKUP($C89,МНО!$B$16:$AB$104,16,0)</f>
        <v>954</v>
      </c>
      <c r="X89" s="177">
        <f>VLOOKUP($C89,МНО!$B$16:$AB$104,8,0)</f>
        <v>954</v>
      </c>
      <c r="Y89" s="177">
        <f>VLOOKUP($C89,МНО!$B$16:$AB$104,11,0)</f>
        <v>0</v>
      </c>
      <c r="Z89" s="217">
        <f>VLOOKUP($C89,МНО!$B$16:$AB$104,17,0)</f>
        <v>0</v>
      </c>
      <c r="AA89" s="213"/>
      <c r="AB89" s="214">
        <f>VLOOKUP($C89,МНО!$B$16:$AB$104,13,0)</f>
        <v>6.86723593753514</v>
      </c>
      <c r="AC89" s="215">
        <f>VLOOKUP($C89,МНО!$B$16:$AB$104,18,0)</f>
        <v>1</v>
      </c>
      <c r="AD89" s="176">
        <f>VLOOKUP($C89,Контейнеры!$B$16:$AB$104,16,0)</f>
        <v>2657</v>
      </c>
      <c r="AE89" s="177">
        <f>VLOOKUP($C89,Контейнеры!$B$16:$AB$104,8,0)</f>
        <v>2657</v>
      </c>
      <c r="AF89" s="177">
        <f>VLOOKUP($C89,Контейнеры!$B$16:$AB$104,11,0)</f>
        <v>0</v>
      </c>
      <c r="AG89" s="217">
        <f>VLOOKUP($C89,Контейнеры!$B$16:$AB$104,17,0)</f>
        <v>0</v>
      </c>
      <c r="AH89" s="213"/>
      <c r="AI89" s="214">
        <f>VLOOKUP($C89,Контейнеры!$B$16:$AB$104,13,0)</f>
        <v>19.9194824083306</v>
      </c>
      <c r="AJ89" s="215">
        <f>VLOOKUP($C89,Контейнеры!$B$16:$AB$104,18,0)</f>
        <v>1</v>
      </c>
      <c r="AK89" s="231"/>
      <c r="AL89" s="170"/>
      <c r="AM89" s="170"/>
      <c r="AN89" s="232"/>
      <c r="AO89" s="249">
        <f>VLOOKUP($C89,Обработка!$B$16:$L$104,6,0)</f>
        <v>0</v>
      </c>
      <c r="AP89" s="251">
        <f t="shared" si="11"/>
        <v>-0.543</v>
      </c>
      <c r="AQ89" s="250">
        <f>VLOOKUP($C89,Обработка!$B$16:$L$104,7,0)</f>
        <v>1</v>
      </c>
      <c r="AR89" s="255">
        <f t="shared" si="12"/>
        <v>0.193</v>
      </c>
      <c r="AS89" s="253">
        <f>VLOOKUP($C89,Утилизация!$B$16:$L$104,6,0)</f>
        <v>0</v>
      </c>
      <c r="AT89" s="251">
        <f t="shared" si="13"/>
        <v>-0.139</v>
      </c>
      <c r="AU89" s="250">
        <f>VLOOKUP($C89,Утилизация!$B$16:$L$104,7,0)</f>
        <v>0.4</v>
      </c>
      <c r="AV89" s="256">
        <f t="shared" si="14"/>
        <v>0.114</v>
      </c>
      <c r="AW89" s="279" t="str">
        <f>VLOOKUP(C89,Захоронение!$B$16:$Q$104,16,0)</f>
        <v>белые пятна</v>
      </c>
      <c r="AX89" s="231"/>
      <c r="AY89" s="170"/>
      <c r="AZ89" s="170"/>
      <c r="BA89" s="171"/>
      <c r="BB89" s="280" t="str">
        <f>VLOOKUP(C89,'ДК ИП'!$B$16:$S$104,5,0)</f>
        <v>нет</v>
      </c>
      <c r="BC89" s="327">
        <f>VLOOKUP(C89,'Радар олд'!$B$3:$E$87,4,0)</f>
        <v>0.022490947393674</v>
      </c>
      <c r="BD89" s="171"/>
      <c r="BI89" s="9">
        <f t="shared" si="15"/>
        <v>2</v>
      </c>
      <c r="BJ89" s="9">
        <f>VLOOKUP(C89,Штаб!$B$16:$C$104,2)</f>
        <v>2</v>
      </c>
      <c r="BK89" s="9">
        <f>VLOOKUP(C89,'РО - регионы'!$B$16:$C$104,2)</f>
        <v>2</v>
      </c>
      <c r="BL89" s="9">
        <f>VLOOKUP(C89,'РО - регионы'!$B$16:$L$104,11)</f>
        <v>2</v>
      </c>
      <c r="BM89" s="9">
        <f>VLOOKUP(C89,Спецтехника!$B$16:$C$104,2)</f>
        <v>2</v>
      </c>
      <c r="BN89" s="9">
        <f>VLOOKUP($C89,МНО!$B$16:$AB$104,6,0)</f>
        <v>2</v>
      </c>
      <c r="BO89" s="9">
        <f>VLOOKUP($C89,МНО!$B$16:$AB$104,4,0)</f>
        <v>0</v>
      </c>
      <c r="BP89" s="9">
        <f>VLOOKUP($C89,МНО!$B$16:$AB$104,5,0)</f>
        <v>0</v>
      </c>
      <c r="BQ89" s="9">
        <f>VLOOKUP($C89,Контейнеры!$B$16:$G$104,6,0)</f>
        <v>2</v>
      </c>
      <c r="BR89" s="9">
        <f>VLOOKUP($C89,Контейнеры!$B$16:$G$104,4,0)</f>
        <v>0</v>
      </c>
      <c r="BS89" s="9">
        <f>VLOOKUP($C89,Контейнеры!$B$16:$G$104,5,0)</f>
        <v>0</v>
      </c>
      <c r="BT89" s="9">
        <f>VLOOKUP($C89,'ДК МНО'!$B$16:$C$104,2,0)</f>
        <v>2</v>
      </c>
      <c r="BU89" s="9">
        <f>VLOOKUP($C89,Обработка!$B$16:$F$104,5,0)</f>
        <v>0</v>
      </c>
      <c r="BV89" s="9">
        <f>VLOOKUP($C89,Обработка!$B$16:$F$104,4,0)</f>
        <v>2</v>
      </c>
      <c r="BW89" s="9">
        <f>VLOOKUP($C89,Утилизация!$B$16:$F$104,5,0)</f>
        <v>0</v>
      </c>
      <c r="BX89" s="9">
        <f>VLOOKUP($C89,Утилизация!$B$16:$F$104,4,0)</f>
        <v>2</v>
      </c>
      <c r="BY89" s="9">
        <f>VLOOKUP($C89,Захоронение!$B$16:$C$104,2,0)</f>
        <v>2</v>
      </c>
      <c r="BZ89" s="9">
        <f>VLOOKUP($C89,'ДК ИП'!$B$16:$C$104,2,0)</f>
        <v>0</v>
      </c>
      <c r="CA89" s="9">
        <f t="shared" si="16"/>
        <v>1.4</v>
      </c>
    </row>
    <row r="90" ht="30" customHeight="1" spans="1:79">
      <c r="A90" s="6" t="s">
        <v>108</v>
      </c>
      <c r="B90" s="331">
        <f t="shared" si="17"/>
        <v>79</v>
      </c>
      <c r="C90" s="332" t="s">
        <v>154</v>
      </c>
      <c r="D90" s="333" t="str">
        <f>VLOOKUP($C90,Штаб!$B$16:$J$104,6,0)</f>
        <v/>
      </c>
      <c r="E90" s="334" t="str">
        <f>VLOOKUP($C90,Штаб!$B$16:$J$104,7,0)</f>
        <v/>
      </c>
      <c r="F90" s="334" t="str">
        <f>VLOOKUP($C90,Штаб!$B$16:$J$104,8,0)</f>
        <v/>
      </c>
      <c r="G90" s="335" t="str">
        <f>VLOOKUP($C90,Штаб!$B$16:$J$104,9,0)</f>
        <v>✔️</v>
      </c>
      <c r="H90" s="283" t="str">
        <f>VLOOKUP(C90,'РО - регионы'!$B$16:$I$104,8,0)</f>
        <v>0 / 2 / 0 из 2</v>
      </c>
      <c r="I90" s="169"/>
      <c r="J90" s="137"/>
      <c r="K90" s="170"/>
      <c r="L90" s="170"/>
      <c r="M90" s="171"/>
      <c r="N90" s="176">
        <f>VLOOKUP(C90,Спецтехника!$B$16:$J$104,4,0)</f>
        <v>66</v>
      </c>
      <c r="O90" s="177">
        <f>VLOOKUP(C90,Спецтехника!$B$16:$J$104,5,0)</f>
        <v>46</v>
      </c>
      <c r="P90" s="177">
        <f>VLOOKUP(C90,Спецтехника!$B$16:$J$104,6,0)</f>
        <v>20</v>
      </c>
      <c r="Q90" s="199">
        <f>VLOOKUP(C90,Спецтехника!$B$16:$J$104,7,0)</f>
        <v>0.303030303030303</v>
      </c>
      <c r="R90" s="197"/>
      <c r="S90" s="137"/>
      <c r="T90" s="170"/>
      <c r="U90" s="170"/>
      <c r="V90" s="171"/>
      <c r="W90" s="176">
        <f>VLOOKUP($C90,МНО!$B$16:$AB$104,16,0)</f>
        <v>1747</v>
      </c>
      <c r="X90" s="177">
        <f>VLOOKUP($C90,МНО!$B$16:$AB$104,8,0)</f>
        <v>637</v>
      </c>
      <c r="Y90" s="177">
        <f>VLOOKUP($C90,МНО!$B$16:$AB$104,11,0)</f>
        <v>1110</v>
      </c>
      <c r="Z90" s="217">
        <f>VLOOKUP($C90,МНО!$B$16:$AB$104,17,0)</f>
        <v>0.635374928448769</v>
      </c>
      <c r="AA90" s="213"/>
      <c r="AB90" s="214">
        <f>VLOOKUP($C90,МНО!$B$16:$AB$104,13,0)</f>
        <v>1.73606996421207</v>
      </c>
      <c r="AC90" s="215">
        <f>VLOOKUP($C90,МНО!$B$16:$AB$104,18,0)</f>
        <v>0.453380782918149</v>
      </c>
      <c r="AD90" s="176">
        <f>VLOOKUP($C90,Контейнеры!$B$16:$AB$104,16,0)</f>
        <v>967</v>
      </c>
      <c r="AE90" s="177">
        <f>VLOOKUP($C90,Контейнеры!$B$16:$AB$104,8,0)</f>
        <v>967</v>
      </c>
      <c r="AF90" s="177">
        <f>VLOOKUP($C90,Контейнеры!$B$16:$AB$104,11,0)</f>
        <v>0</v>
      </c>
      <c r="AG90" s="217">
        <f>VLOOKUP($C90,Контейнеры!$B$16:$AB$104,17,0)</f>
        <v>0</v>
      </c>
      <c r="AH90" s="213"/>
      <c r="AI90" s="214">
        <f>VLOOKUP($C90,Контейнеры!$B$16:$AB$104,13,0)</f>
        <v>2.86481169862299</v>
      </c>
      <c r="AJ90" s="215">
        <f>VLOOKUP($C90,Контейнеры!$B$16:$AB$104,18,0)</f>
        <v>0.3868</v>
      </c>
      <c r="AK90" s="231"/>
      <c r="AL90" s="170"/>
      <c r="AM90" s="170"/>
      <c r="AN90" s="232"/>
      <c r="AO90" s="249">
        <f>VLOOKUP($C90,Обработка!$B$16:$L$104,6,0)</f>
        <v>0</v>
      </c>
      <c r="AP90" s="251">
        <f t="shared" si="11"/>
        <v>-0.543</v>
      </c>
      <c r="AQ90" s="250">
        <f>VLOOKUP($C90,Обработка!$B$16:$L$104,7,0)</f>
        <v>0.875</v>
      </c>
      <c r="AR90" s="255">
        <f t="shared" si="12"/>
        <v>0.0679999999999999</v>
      </c>
      <c r="AS90" s="253">
        <f>VLOOKUP($C90,Утилизация!$B$16:$L$104,6,0)</f>
        <v>0</v>
      </c>
      <c r="AT90" s="251">
        <f t="shared" si="13"/>
        <v>-0.139</v>
      </c>
      <c r="AU90" s="250">
        <f>VLOOKUP($C90,Утилизация!$B$16:$L$104,7,0)</f>
        <v>0.3</v>
      </c>
      <c r="AV90" s="256">
        <f t="shared" si="14"/>
        <v>0.014</v>
      </c>
      <c r="AW90" s="279" t="str">
        <f>VLOOKUP(C90,Захоронение!$B$16:$Q$104,16,0)</f>
        <v>белые пятна</v>
      </c>
      <c r="AX90" s="231"/>
      <c r="AY90" s="170"/>
      <c r="AZ90" s="170"/>
      <c r="BA90" s="171"/>
      <c r="BB90" s="280" t="str">
        <f>VLOOKUP(C90,'ДК ИП'!$B$16:$S$104,5,0)</f>
        <v>небольшое</v>
      </c>
      <c r="BC90" s="327">
        <f>VLOOKUP(C90,'Радар олд'!$B$3:$E$87,4,0)</f>
        <v>0.0237006138458986</v>
      </c>
      <c r="BD90" s="171"/>
      <c r="BI90" s="9">
        <f t="shared" si="15"/>
        <v>2</v>
      </c>
      <c r="BJ90" s="9">
        <f>VLOOKUP(C90,Штаб!$B$16:$C$104,2)</f>
        <v>2</v>
      </c>
      <c r="BK90" s="9">
        <f>VLOOKUP(C90,'РО - регионы'!$B$16:$C$104,2)</f>
        <v>1</v>
      </c>
      <c r="BL90" s="9">
        <f>VLOOKUP(C90,'РО - регионы'!$B$16:$L$104,11)</f>
        <v>2</v>
      </c>
      <c r="BM90" s="9">
        <f>VLOOKUP(C90,Спецтехника!$B$16:$C$104,2)</f>
        <v>2</v>
      </c>
      <c r="BN90" s="9">
        <f>VLOOKUP($C90,МНО!$B$16:$AB$104,6,0)</f>
        <v>2</v>
      </c>
      <c r="BO90" s="9">
        <f>VLOOKUP($C90,МНО!$B$16:$AB$104,4,0)</f>
        <v>2</v>
      </c>
      <c r="BP90" s="9">
        <f>VLOOKUP($C90,МНО!$B$16:$AB$104,5,0)</f>
        <v>2</v>
      </c>
      <c r="BQ90" s="9">
        <f>VLOOKUP($C90,Контейнеры!$B$16:$G$104,6,0)</f>
        <v>2</v>
      </c>
      <c r="BR90" s="9">
        <f>VLOOKUP($C90,Контейнеры!$B$16:$G$104,4,0)</f>
        <v>2</v>
      </c>
      <c r="BS90" s="9">
        <f>VLOOKUP($C90,Контейнеры!$B$16:$G$104,5,0)</f>
        <v>2</v>
      </c>
      <c r="BT90" s="9">
        <f>VLOOKUP($C90,'ДК МНО'!$B$16:$C$104,2,0)</f>
        <v>2</v>
      </c>
      <c r="BU90" s="9">
        <f>VLOOKUP($C90,Обработка!$B$16:$F$104,5,0)</f>
        <v>0</v>
      </c>
      <c r="BV90" s="9">
        <f>VLOOKUP($C90,Обработка!$B$16:$F$104,4,0)</f>
        <v>2</v>
      </c>
      <c r="BW90" s="9">
        <f>VLOOKUP($C90,Утилизация!$B$16:$F$104,5,0)</f>
        <v>0</v>
      </c>
      <c r="BX90" s="9">
        <f>VLOOKUP($C90,Утилизация!$B$16:$F$104,4,0)</f>
        <v>2</v>
      </c>
      <c r="BY90" s="9">
        <f>VLOOKUP($C90,Захоронение!$B$16:$C$104,2,0)</f>
        <v>2</v>
      </c>
      <c r="BZ90" s="9">
        <f>VLOOKUP($C90,'ДК ИП'!$B$16:$C$104,2,0)</f>
        <v>0</v>
      </c>
      <c r="CA90" s="9">
        <f t="shared" si="16"/>
        <v>1.4</v>
      </c>
    </row>
    <row r="91" ht="30" customHeight="1" spans="1:79">
      <c r="A91" s="6" t="s">
        <v>129</v>
      </c>
      <c r="B91" s="331">
        <f t="shared" si="17"/>
        <v>80</v>
      </c>
      <c r="C91" s="332" t="s">
        <v>155</v>
      </c>
      <c r="D91" s="333" t="str">
        <f>VLOOKUP($C91,Штаб!$B$16:$J$104,6,0)</f>
        <v>✔️</v>
      </c>
      <c r="E91" s="334" t="str">
        <f>VLOOKUP($C91,Штаб!$B$16:$J$104,7,0)</f>
        <v/>
      </c>
      <c r="F91" s="334" t="str">
        <f>VLOOKUP($C91,Штаб!$B$16:$J$104,8,0)</f>
        <v/>
      </c>
      <c r="G91" s="335" t="str">
        <f>VLOOKUP($C91,Штаб!$B$16:$J$104,9,0)</f>
        <v/>
      </c>
      <c r="H91" s="283" t="str">
        <f>VLOOKUP(C91,'РО - регионы'!$B$16:$I$104,8,0)</f>
        <v>0 / 1 / 0 из 1</v>
      </c>
      <c r="I91" s="169"/>
      <c r="J91" s="137"/>
      <c r="K91" s="170"/>
      <c r="L91" s="170"/>
      <c r="M91" s="171"/>
      <c r="N91" s="172">
        <f>VLOOKUP(C91,Спецтехника!$B$16:$J$104,4,0)</f>
        <v>115</v>
      </c>
      <c r="O91" s="173">
        <f>VLOOKUP(C91,Спецтехника!$B$16:$J$104,5,0)</f>
        <v>105</v>
      </c>
      <c r="P91" s="173">
        <f>VLOOKUP(C91,Спецтехника!$B$16:$J$104,6,0)</f>
        <v>10</v>
      </c>
      <c r="Q91" s="196">
        <f>VLOOKUP(C91,Спецтехника!$B$16:$J$104,7,0)</f>
        <v>0.0869565217391304</v>
      </c>
      <c r="R91" s="197"/>
      <c r="S91" s="137"/>
      <c r="T91" s="170"/>
      <c r="U91" s="170"/>
      <c r="V91" s="171"/>
      <c r="W91" s="176">
        <f>VLOOKUP($C91,МНО!$B$16:$AB$104,16,0)</f>
        <v>10090</v>
      </c>
      <c r="X91" s="177">
        <f>VLOOKUP($C91,МНО!$B$16:$AB$104,8,0)</f>
        <v>5551</v>
      </c>
      <c r="Y91" s="177">
        <f>VLOOKUP($C91,МНО!$B$16:$AB$104,11,0)</f>
        <v>4539</v>
      </c>
      <c r="Z91" s="217">
        <f>VLOOKUP($C91,МНО!$B$16:$AB$104,17,0)</f>
        <v>0.449851337958375</v>
      </c>
      <c r="AA91" s="213"/>
      <c r="AB91" s="214">
        <f>VLOOKUP($C91,МНО!$B$16:$AB$104,13,0)</f>
        <v>4.06645706245968</v>
      </c>
      <c r="AC91" s="215">
        <f>VLOOKUP($C91,МНО!$B$16:$AB$104,18,0)</f>
        <v>0.625112612612613</v>
      </c>
      <c r="AD91" s="176">
        <f>VLOOKUP($C91,Контейнеры!$B$16:$AB$104,16,0)</f>
        <v>20711</v>
      </c>
      <c r="AE91" s="177">
        <f>VLOOKUP($C91,Контейнеры!$B$16:$AB$104,8,0)</f>
        <v>10664</v>
      </c>
      <c r="AF91" s="177">
        <f>VLOOKUP($C91,Контейнеры!$B$16:$AB$104,11,0)</f>
        <v>10047</v>
      </c>
      <c r="AG91" s="217">
        <f>VLOOKUP($C91,Контейнеры!$B$16:$AB$104,17,0)</f>
        <v>0.485104533822606</v>
      </c>
      <c r="AH91" s="213"/>
      <c r="AI91" s="214">
        <f>VLOOKUP($C91,Контейнеры!$B$16:$AB$104,13,0)</f>
        <v>10.8330497412116</v>
      </c>
      <c r="AJ91" s="215">
        <f>VLOOKUP($C91,Контейнеры!$B$16:$AB$104,18,0)</f>
        <v>1</v>
      </c>
      <c r="AK91" s="231"/>
      <c r="AL91" s="170"/>
      <c r="AM91" s="170"/>
      <c r="AN91" s="232"/>
      <c r="AO91" s="249">
        <f>VLOOKUP($C91,Обработка!$B$16:$L$104,6,0)</f>
        <v>0.04</v>
      </c>
      <c r="AP91" s="251">
        <f t="shared" si="11"/>
        <v>-0.503</v>
      </c>
      <c r="AQ91" s="259">
        <f>VLOOKUP($C91,Обработка!$B$16:$L$104,7,0)</f>
        <v>0.59</v>
      </c>
      <c r="AR91" s="262">
        <f t="shared" si="12"/>
        <v>-0.217</v>
      </c>
      <c r="AS91" s="253">
        <f>VLOOKUP($C91,Утилизация!$B$16:$L$104,6,0)</f>
        <v>0.003</v>
      </c>
      <c r="AT91" s="251">
        <f t="shared" si="13"/>
        <v>-0.136</v>
      </c>
      <c r="AU91" s="259">
        <f>VLOOKUP($C91,Утилизация!$B$16:$L$104,7,0)</f>
        <v>0.15</v>
      </c>
      <c r="AV91" s="260">
        <f t="shared" si="14"/>
        <v>-0.136</v>
      </c>
      <c r="AW91" s="279" t="str">
        <f>VLOOKUP(C91,Захоронение!$B$16:$Q$104,16,0)</f>
        <v>свалки</v>
      </c>
      <c r="AX91" s="231"/>
      <c r="AY91" s="170"/>
      <c r="AZ91" s="170"/>
      <c r="BA91" s="171"/>
      <c r="BB91" s="280" t="str">
        <f>VLOOKUP(C91,'ДК ИП'!$B$16:$S$104,5,0)</f>
        <v>существенное</v>
      </c>
      <c r="BC91" s="327">
        <f>VLOOKUP(C91,'Радар олд'!$B$3:$E$87,4,0)</f>
        <v>0.0193011951503208</v>
      </c>
      <c r="BD91" s="171"/>
      <c r="BI91" s="9">
        <f t="shared" si="15"/>
        <v>2</v>
      </c>
      <c r="BJ91" s="9">
        <f>VLOOKUP(C91,Штаб!$B$16:$C$104,2)</f>
        <v>0</v>
      </c>
      <c r="BK91" s="9">
        <f>VLOOKUP(C91,'РО - регионы'!$B$16:$C$104,2)</f>
        <v>1</v>
      </c>
      <c r="BL91" s="9">
        <f>VLOOKUP(C91,'РО - регионы'!$B$16:$L$104,11)</f>
        <v>2</v>
      </c>
      <c r="BM91" s="9">
        <f>VLOOKUP(C91,Спецтехника!$B$16:$C$104,2)</f>
        <v>0</v>
      </c>
      <c r="BN91" s="9">
        <f>VLOOKUP($C91,МНО!$B$16:$AB$104,6,0)</f>
        <v>2</v>
      </c>
      <c r="BO91" s="9">
        <f>VLOOKUP($C91,МНО!$B$16:$AB$104,4,0)</f>
        <v>1</v>
      </c>
      <c r="BP91" s="9">
        <f>VLOOKUP($C91,МНО!$B$16:$AB$104,5,0)</f>
        <v>2</v>
      </c>
      <c r="BQ91" s="9">
        <f>VLOOKUP($C91,Контейнеры!$B$16:$G$104,6,0)</f>
        <v>2</v>
      </c>
      <c r="BR91" s="9">
        <f>VLOOKUP($C91,Контейнеры!$B$16:$G$104,4,0)</f>
        <v>0</v>
      </c>
      <c r="BS91" s="9">
        <f>VLOOKUP($C91,Контейнеры!$B$16:$G$104,5,0)</f>
        <v>0</v>
      </c>
      <c r="BT91" s="9">
        <f>VLOOKUP($C91,'ДК МНО'!$B$16:$C$104,2,0)</f>
        <v>2</v>
      </c>
      <c r="BU91" s="9">
        <f>VLOOKUP($C91,Обработка!$B$16:$F$104,5,0)</f>
        <v>1</v>
      </c>
      <c r="BV91" s="9">
        <f>VLOOKUP($C91,Обработка!$B$16:$F$104,4,0)</f>
        <v>2</v>
      </c>
      <c r="BW91" s="9">
        <f>VLOOKUP($C91,Утилизация!$B$16:$F$104,5,0)</f>
        <v>1</v>
      </c>
      <c r="BX91" s="9">
        <f>VLOOKUP($C91,Утилизация!$B$16:$F$104,4,0)</f>
        <v>2</v>
      </c>
      <c r="BY91" s="9">
        <f>VLOOKUP($C91,Захоронение!$B$16:$C$104,2,0)</f>
        <v>2</v>
      </c>
      <c r="BZ91" s="9">
        <f>VLOOKUP($C91,'ДК ИП'!$B$16:$C$104,2,0)</f>
        <v>2</v>
      </c>
      <c r="CA91" s="9">
        <f t="shared" si="16"/>
        <v>1.45</v>
      </c>
    </row>
    <row r="92" ht="30" customHeight="1" spans="1:79">
      <c r="A92" s="6" t="s">
        <v>67</v>
      </c>
      <c r="B92" s="331">
        <f t="shared" si="17"/>
        <v>81</v>
      </c>
      <c r="C92" s="332" t="s">
        <v>156</v>
      </c>
      <c r="D92" s="333" t="str">
        <f>VLOOKUP($C92,Штаб!$B$16:$J$104,6,0)</f>
        <v/>
      </c>
      <c r="E92" s="334" t="str">
        <f>VLOOKUP($C92,Штаб!$B$16:$J$104,7,0)</f>
        <v>✔️</v>
      </c>
      <c r="F92" s="334" t="str">
        <f>VLOOKUP($C92,Штаб!$B$16:$J$104,8,0)</f>
        <v/>
      </c>
      <c r="G92" s="335" t="str">
        <f>VLOOKUP($C92,Штаб!$B$16:$J$104,9,0)</f>
        <v/>
      </c>
      <c r="H92" s="283" t="str">
        <f>VLOOKUP(C92,'РО - регионы'!$B$16:$I$104,8,0)</f>
        <v>0 / 1 / 0 из 1</v>
      </c>
      <c r="I92" s="169"/>
      <c r="J92" s="137"/>
      <c r="K92" s="170"/>
      <c r="L92" s="170"/>
      <c r="M92" s="171"/>
      <c r="N92" s="176">
        <f>VLOOKUP(C92,Спецтехника!$B$16:$J$104,4,0)</f>
        <v>335</v>
      </c>
      <c r="O92" s="177">
        <f>VLOOKUP(C92,Спецтехника!$B$16:$J$104,5,0)</f>
        <v>255</v>
      </c>
      <c r="P92" s="177">
        <f>VLOOKUP(C92,Спецтехника!$B$16:$J$104,6,0)</f>
        <v>80</v>
      </c>
      <c r="Q92" s="199">
        <f>VLOOKUP(C92,Спецтехника!$B$16:$J$104,7,0)</f>
        <v>0.238805970149254</v>
      </c>
      <c r="R92" s="197"/>
      <c r="S92" s="137"/>
      <c r="T92" s="170"/>
      <c r="U92" s="170"/>
      <c r="V92" s="171"/>
      <c r="W92" s="172">
        <f>VLOOKUP($C92,МНО!$B$16:$AB$104,16,0)</f>
        <v>10953</v>
      </c>
      <c r="X92" s="173">
        <f>VLOOKUP($C92,МНО!$B$16:$AB$104,8,0)</f>
        <v>9718</v>
      </c>
      <c r="Y92" s="173">
        <f>VLOOKUP($C92,МНО!$B$16:$AB$104,11,0)</f>
        <v>1235</v>
      </c>
      <c r="Z92" s="216">
        <f>VLOOKUP($C92,МНО!$B$16:$AB$104,17,0)</f>
        <v>0.112754496484981</v>
      </c>
      <c r="AA92" s="213"/>
      <c r="AB92" s="214">
        <f>VLOOKUP($C92,МНО!$B$16:$AB$104,13,0)</f>
        <v>5.98376157639902</v>
      </c>
      <c r="AC92" s="215">
        <f>VLOOKUP($C92,МНО!$B$16:$AB$104,18,0)</f>
        <v>0.944503839051414</v>
      </c>
      <c r="AD92" s="174">
        <f>VLOOKUP($C92,Контейнеры!$B$16:$AB$104,16,0)</f>
        <v>25653</v>
      </c>
      <c r="AE92" s="175">
        <f>VLOOKUP($C92,Контейнеры!$B$16:$AB$104,8,0)</f>
        <v>20453</v>
      </c>
      <c r="AF92" s="175">
        <f>VLOOKUP($C92,Контейнеры!$B$16:$AB$104,11,0)</f>
        <v>5200</v>
      </c>
      <c r="AG92" s="212">
        <f>VLOOKUP($C92,Контейнеры!$B$16:$AB$104,17,0)</f>
        <v>0.202705336607804</v>
      </c>
      <c r="AH92" s="213"/>
      <c r="AI92" s="214">
        <f>VLOOKUP($C92,Контейнеры!$B$16:$AB$104,13,0)</f>
        <v>17.0477609029237</v>
      </c>
      <c r="AJ92" s="215">
        <f>VLOOKUP($C92,Контейнеры!$B$16:$AB$104,18,0)</f>
        <v>0.96832686298646</v>
      </c>
      <c r="AK92" s="231"/>
      <c r="AL92" s="170"/>
      <c r="AM92" s="170"/>
      <c r="AN92" s="232"/>
      <c r="AO92" s="261">
        <f>VLOOKUP($C92,Обработка!$B$16:$L$104,6,0)</f>
        <v>0.319</v>
      </c>
      <c r="AP92" s="259">
        <f t="shared" si="11"/>
        <v>-0.224</v>
      </c>
      <c r="AQ92" s="251">
        <f>VLOOKUP($C92,Обработка!$B$16:$L$104,7,0)</f>
        <v>0.3</v>
      </c>
      <c r="AR92" s="252">
        <f t="shared" si="12"/>
        <v>-0.507</v>
      </c>
      <c r="AS92" s="253">
        <f>VLOOKUP($C92,Утилизация!$B$16:$L$104,6,0)</f>
        <v>0.025</v>
      </c>
      <c r="AT92" s="251">
        <f t="shared" si="13"/>
        <v>-0.114</v>
      </c>
      <c r="AU92" s="251">
        <f>VLOOKUP($C92,Утилизация!$B$16:$L$104,7,0)</f>
        <v>0.025</v>
      </c>
      <c r="AV92" s="254">
        <f t="shared" si="14"/>
        <v>-0.261</v>
      </c>
      <c r="AW92" s="279" t="str">
        <f>VLOOKUP(C92,Захоронение!$B$16:$Q$104,16,0)</f>
        <v>765 приказ</v>
      </c>
      <c r="AX92" s="231"/>
      <c r="AY92" s="170"/>
      <c r="AZ92" s="170"/>
      <c r="BA92" s="171"/>
      <c r="BB92" s="280" t="str">
        <f>VLOOKUP(C92,'ДК ИП'!$B$16:$S$104,5,0)</f>
        <v>существенное</v>
      </c>
      <c r="BC92" s="327">
        <f>VLOOKUP(C92,'Радар олд'!$B$3:$E$87,4,0)</f>
        <v>0.163367776706256</v>
      </c>
      <c r="BD92" s="171"/>
      <c r="BI92" s="9">
        <f t="shared" si="15"/>
        <v>2</v>
      </c>
      <c r="BJ92" s="9">
        <f>VLOOKUP(C92,Штаб!$B$16:$C$104,2)</f>
        <v>1</v>
      </c>
      <c r="BK92" s="9">
        <f>VLOOKUP(C92,'РО - регионы'!$B$16:$C$104,2)</f>
        <v>1</v>
      </c>
      <c r="BL92" s="9">
        <f>VLOOKUP(C92,'РО - регионы'!$B$16:$L$104,11)</f>
        <v>2</v>
      </c>
      <c r="BM92" s="9">
        <f>VLOOKUP(C92,Спецтехника!$B$16:$C$104,2)</f>
        <v>2</v>
      </c>
      <c r="BN92" s="9">
        <f>VLOOKUP($C92,МНО!$B$16:$AB$104,6,0)</f>
        <v>0</v>
      </c>
      <c r="BO92" s="9">
        <f>VLOOKUP($C92,МНО!$B$16:$AB$104,4,0)</f>
        <v>0</v>
      </c>
      <c r="BP92" s="9">
        <f>VLOOKUP($C92,МНО!$B$16:$AB$104,5,0)</f>
        <v>0</v>
      </c>
      <c r="BQ92" s="9">
        <f>VLOOKUP($C92,Контейнеры!$B$16:$G$104,6,0)</f>
        <v>1</v>
      </c>
      <c r="BR92" s="9">
        <f>VLOOKUP($C92,Контейнеры!$B$16:$G$104,4,0)</f>
        <v>0</v>
      </c>
      <c r="BS92" s="9">
        <f>VLOOKUP($C92,Контейнеры!$B$16:$G$104,5,0)</f>
        <v>0</v>
      </c>
      <c r="BT92" s="9">
        <f>VLOOKUP($C92,'ДК МНО'!$B$16:$C$104,2,0)</f>
        <v>2</v>
      </c>
      <c r="BU92" s="9">
        <f>VLOOKUP($C92,Обработка!$B$16:$F$104,5,0)</f>
        <v>2</v>
      </c>
      <c r="BV92" s="9">
        <f>VLOOKUP($C92,Обработка!$B$16:$F$104,4,0)</f>
        <v>1</v>
      </c>
      <c r="BW92" s="9">
        <f>VLOOKUP($C92,Утилизация!$B$16:$F$104,5,0)</f>
        <v>2</v>
      </c>
      <c r="BX92" s="9">
        <f>VLOOKUP($C92,Утилизация!$B$16:$F$104,4,0)</f>
        <v>2</v>
      </c>
      <c r="BY92" s="9">
        <f>VLOOKUP($C92,Захоронение!$B$16:$C$104,2,0)</f>
        <v>2</v>
      </c>
      <c r="BZ92" s="9">
        <f>VLOOKUP($C92,'ДК ИП'!$B$16:$C$104,2,0)</f>
        <v>2</v>
      </c>
      <c r="CA92" s="9">
        <f t="shared" si="16"/>
        <v>1.4</v>
      </c>
    </row>
    <row r="93" ht="30" customHeight="1" spans="1:79">
      <c r="A93" s="6" t="s">
        <v>129</v>
      </c>
      <c r="B93" s="331">
        <f t="shared" si="17"/>
        <v>82</v>
      </c>
      <c r="C93" s="332" t="s">
        <v>157</v>
      </c>
      <c r="D93" s="333" t="str">
        <f>VLOOKUP($C93,Штаб!$B$16:$J$104,6,0)</f>
        <v/>
      </c>
      <c r="E93" s="334" t="str">
        <f>VLOOKUP($C93,Штаб!$B$16:$J$104,7,0)</f>
        <v/>
      </c>
      <c r="F93" s="334" t="str">
        <f>VLOOKUP($C93,Штаб!$B$16:$J$104,8,0)</f>
        <v/>
      </c>
      <c r="G93" s="335" t="str">
        <f>VLOOKUP($C93,Штаб!$B$16:$J$104,9,0)</f>
        <v>✔️</v>
      </c>
      <c r="H93" s="283" t="str">
        <f>VLOOKUP(C93,'РО - регионы'!$B$16:$I$104,8,0)</f>
        <v>0 / 0 / 3 из 3</v>
      </c>
      <c r="I93" s="169"/>
      <c r="J93" s="137"/>
      <c r="K93" s="170"/>
      <c r="L93" s="170"/>
      <c r="M93" s="171"/>
      <c r="N93" s="172">
        <f>VLOOKUP(C93,Спецтехника!$B$16:$J$104,4,0)</f>
        <v>191</v>
      </c>
      <c r="O93" s="173">
        <f>VLOOKUP(C93,Спецтехника!$B$16:$J$104,5,0)</f>
        <v>191</v>
      </c>
      <c r="P93" s="173">
        <f>VLOOKUP(C93,Спецтехника!$B$16:$J$104,6,0)</f>
        <v>0</v>
      </c>
      <c r="Q93" s="196">
        <f>VLOOKUP(C93,Спецтехника!$B$16:$J$104,7,0)</f>
        <v>0</v>
      </c>
      <c r="R93" s="197"/>
      <c r="S93" s="137"/>
      <c r="T93" s="170"/>
      <c r="U93" s="170"/>
      <c r="V93" s="171"/>
      <c r="W93" s="176">
        <f>VLOOKUP($C93,МНО!$B$16:$AB$104,16,0)</f>
        <v>10779</v>
      </c>
      <c r="X93" s="177">
        <f>VLOOKUP($C93,МНО!$B$16:$AB$104,8,0)</f>
        <v>3807</v>
      </c>
      <c r="Y93" s="177">
        <f>VLOOKUP($C93,МНО!$B$16:$AB$104,11,0)</f>
        <v>6972</v>
      </c>
      <c r="Z93" s="217">
        <f>VLOOKUP($C93,МНО!$B$16:$AB$104,17,0)</f>
        <v>0.646813247982188</v>
      </c>
      <c r="AA93" s="213"/>
      <c r="AB93" s="214">
        <f>VLOOKUP($C93,МНО!$B$16:$AB$104,13,0)</f>
        <v>3.84392986268445</v>
      </c>
      <c r="AC93" s="215">
        <f>VLOOKUP($C93,МНО!$B$16:$AB$104,18,0)</f>
        <v>1</v>
      </c>
      <c r="AD93" s="176">
        <f>VLOOKUP($C93,Контейнеры!$B$16:$AB$104,16,0)</f>
        <v>7328</v>
      </c>
      <c r="AE93" s="177">
        <f>VLOOKUP($C93,Контейнеры!$B$16:$AB$104,8,0)</f>
        <v>7328</v>
      </c>
      <c r="AF93" s="177">
        <f>VLOOKUP($C93,Контейнеры!$B$16:$AB$104,11,0)</f>
        <v>0</v>
      </c>
      <c r="AG93" s="217">
        <f>VLOOKUP($C93,Контейнеры!$B$16:$AB$104,17,0)</f>
        <v>0</v>
      </c>
      <c r="AH93" s="213"/>
      <c r="AI93" s="214">
        <f>VLOOKUP($C93,Контейнеры!$B$16:$AB$104,13,0)</f>
        <v>7.53969968783503</v>
      </c>
      <c r="AJ93" s="215">
        <f>VLOOKUP($C93,Контейнеры!$B$16:$AB$104,18,0)</f>
        <v>1</v>
      </c>
      <c r="AK93" s="231"/>
      <c r="AL93" s="170"/>
      <c r="AM93" s="170"/>
      <c r="AN93" s="232"/>
      <c r="AO93" s="249">
        <f>VLOOKUP($C93,Обработка!$B$16:$L$104,6,0)</f>
        <v>0</v>
      </c>
      <c r="AP93" s="251">
        <f t="shared" si="11"/>
        <v>-0.543</v>
      </c>
      <c r="AQ93" s="259">
        <f>VLOOKUP($C93,Обработка!$B$16:$L$104,7,0)</f>
        <v>0.662069</v>
      </c>
      <c r="AR93" s="262">
        <f t="shared" si="12"/>
        <v>-0.144931</v>
      </c>
      <c r="AS93" s="253">
        <f>VLOOKUP($C93,Утилизация!$B$16:$L$104,6,0)</f>
        <v>0</v>
      </c>
      <c r="AT93" s="251">
        <f t="shared" si="13"/>
        <v>-0.139</v>
      </c>
      <c r="AU93" s="259">
        <f>VLOOKUP($C93,Утилизация!$B$16:$L$104,7,0)</f>
        <v>0.271473</v>
      </c>
      <c r="AV93" s="260">
        <f t="shared" si="14"/>
        <v>-0.014527</v>
      </c>
      <c r="AW93" s="279" t="str">
        <f>VLOOKUP(C93,Захоронение!$B$16:$Q$104,16,0)</f>
        <v>свалки</v>
      </c>
      <c r="AX93" s="231"/>
      <c r="AY93" s="170"/>
      <c r="AZ93" s="170"/>
      <c r="BA93" s="171"/>
      <c r="BB93" s="280" t="str">
        <f>VLOOKUP(C93,'ДК ИП'!$B$16:$S$104,5,0)</f>
        <v>среднее</v>
      </c>
      <c r="BC93" s="327">
        <f>VLOOKUP(C93,'Радар олд'!$B$3:$E$87,4,0)</f>
        <v>0.0123466697944897</v>
      </c>
      <c r="BD93" s="171"/>
      <c r="BI93" s="9">
        <f t="shared" si="15"/>
        <v>1</v>
      </c>
      <c r="BJ93" s="9">
        <f>VLOOKUP(C93,Штаб!$B$16:$C$104,2)</f>
        <v>2</v>
      </c>
      <c r="BK93" s="9">
        <f>VLOOKUP(C93,'РО - регионы'!$B$16:$C$104,2)</f>
        <v>0</v>
      </c>
      <c r="BL93" s="9">
        <f>VLOOKUP(C93,'РО - регионы'!$B$16:$L$104,11)</f>
        <v>0</v>
      </c>
      <c r="BM93" s="9">
        <f>VLOOKUP(C93,Спецтехника!$B$16:$C$104,2)</f>
        <v>0</v>
      </c>
      <c r="BN93" s="9">
        <f>VLOOKUP($C93,МНО!$B$16:$AB$104,6,0)</f>
        <v>2</v>
      </c>
      <c r="BO93" s="9">
        <f>VLOOKUP($C93,МНО!$B$16:$AB$104,4,0)</f>
        <v>1</v>
      </c>
      <c r="BP93" s="9">
        <f>VLOOKUP($C93,МНО!$B$16:$AB$104,5,0)</f>
        <v>0</v>
      </c>
      <c r="BQ93" s="9">
        <f>VLOOKUP($C93,Контейнеры!$B$16:$G$104,6,0)</f>
        <v>2</v>
      </c>
      <c r="BR93" s="9">
        <f>VLOOKUP($C93,Контейнеры!$B$16:$G$104,4,0)</f>
        <v>2</v>
      </c>
      <c r="BS93" s="9">
        <f>VLOOKUP($C93,Контейнеры!$B$16:$G$104,5,0)</f>
        <v>0</v>
      </c>
      <c r="BT93" s="9">
        <f>VLOOKUP($C93,'ДК МНО'!$B$16:$C$104,2,0)</f>
        <v>2</v>
      </c>
      <c r="BU93" s="9">
        <f>VLOOKUP($C93,Обработка!$B$16:$F$104,5,0)</f>
        <v>1</v>
      </c>
      <c r="BV93" s="9">
        <f>VLOOKUP($C93,Обработка!$B$16:$F$104,4,0)</f>
        <v>2</v>
      </c>
      <c r="BW93" s="9">
        <f>VLOOKUP($C93,Утилизация!$B$16:$F$104,5,0)</f>
        <v>1</v>
      </c>
      <c r="BX93" s="9">
        <f>VLOOKUP($C93,Утилизация!$B$16:$F$104,4,0)</f>
        <v>2</v>
      </c>
      <c r="BY93" s="9">
        <f>VLOOKUP($C93,Захоронение!$B$16:$C$104,2,0)</f>
        <v>2</v>
      </c>
      <c r="BZ93" s="9">
        <f>VLOOKUP($C93,'ДК ИП'!$B$16:$C$104,2,0)</f>
        <v>1</v>
      </c>
      <c r="CA93" s="9">
        <f t="shared" si="16"/>
        <v>1.25</v>
      </c>
    </row>
    <row r="94" ht="30" customHeight="1" spans="1:79">
      <c r="A94" s="6" t="s">
        <v>104</v>
      </c>
      <c r="B94" s="331">
        <f t="shared" si="17"/>
        <v>83</v>
      </c>
      <c r="C94" s="332" t="s">
        <v>158</v>
      </c>
      <c r="D94" s="333" t="str">
        <f>VLOOKUP($C94,Штаб!$B$16:$J$104,6,0)</f>
        <v>✔️</v>
      </c>
      <c r="E94" s="334" t="str">
        <f>VLOOKUP($C94,Штаб!$B$16:$J$104,7,0)</f>
        <v/>
      </c>
      <c r="F94" s="334" t="str">
        <f>VLOOKUP($C94,Штаб!$B$16:$J$104,8,0)</f>
        <v/>
      </c>
      <c r="G94" s="335" t="str">
        <f>VLOOKUP($C94,Штаб!$B$16:$J$104,9,0)</f>
        <v/>
      </c>
      <c r="H94" s="283" t="str">
        <f>VLOOKUP(C94,'РО - регионы'!$B$16:$I$104,8,0)</f>
        <v>0 / 1 / 0 из 1</v>
      </c>
      <c r="I94" s="169"/>
      <c r="J94" s="137"/>
      <c r="K94" s="170"/>
      <c r="L94" s="170"/>
      <c r="M94" s="171"/>
      <c r="N94" s="176">
        <f>VLOOKUP(C94,Спецтехника!$B$16:$J$104,4,0)</f>
        <v>91</v>
      </c>
      <c r="O94" s="177">
        <f>VLOOKUP(C94,Спецтехника!$B$16:$J$104,5,0)</f>
        <v>36</v>
      </c>
      <c r="P94" s="177">
        <f>VLOOKUP(C94,Спецтехника!$B$16:$J$104,6,0)</f>
        <v>55</v>
      </c>
      <c r="Q94" s="199">
        <f>VLOOKUP(C94,Спецтехника!$B$16:$J$104,7,0)</f>
        <v>0.604395604395604</v>
      </c>
      <c r="R94" s="197"/>
      <c r="S94" s="137"/>
      <c r="T94" s="170"/>
      <c r="U94" s="170"/>
      <c r="V94" s="171"/>
      <c r="W94" s="176">
        <f>VLOOKUP($C94,МНО!$B$16:$AB$104,16,0)</f>
        <v>380</v>
      </c>
      <c r="X94" s="177">
        <f>VLOOKUP($C94,МНО!$B$16:$AB$104,8,0)</f>
        <v>58</v>
      </c>
      <c r="Y94" s="177">
        <f>VLOOKUP($C94,МНО!$B$16:$AB$104,11,0)</f>
        <v>322</v>
      </c>
      <c r="Z94" s="217">
        <f>VLOOKUP($C94,МНО!$B$16:$AB$104,17,0)</f>
        <v>0.847368421052632</v>
      </c>
      <c r="AA94" s="213"/>
      <c r="AB94" s="214">
        <f>VLOOKUP($C94,МНО!$B$16:$AB$104,13,0)</f>
        <v>0.11001100110011</v>
      </c>
      <c r="AC94" s="215">
        <f>VLOOKUP($C94,МНО!$B$16:$AB$104,18,0)</f>
        <v>0.214022140221402</v>
      </c>
      <c r="AD94" s="176">
        <f>VLOOKUP($C94,Контейнеры!$B$16:$AB$104,16,0)</f>
        <v>319</v>
      </c>
      <c r="AE94" s="177">
        <f>VLOOKUP($C94,Контейнеры!$B$16:$AB$104,8,0)</f>
        <v>319</v>
      </c>
      <c r="AF94" s="177">
        <f>VLOOKUP($C94,Контейнеры!$B$16:$AB$104,11,0)</f>
        <v>0</v>
      </c>
      <c r="AG94" s="217">
        <f>VLOOKUP($C94,Контейнеры!$B$16:$AB$104,17,0)</f>
        <v>0</v>
      </c>
      <c r="AH94" s="213"/>
      <c r="AI94" s="214">
        <f>VLOOKUP($C94,Контейнеры!$B$16:$AB$104,13,0)</f>
        <v>0.605060506050605</v>
      </c>
      <c r="AJ94" s="215">
        <f>VLOOKUP($C94,Контейнеры!$B$16:$AB$104,18,0)</f>
        <v>0.228673835125448</v>
      </c>
      <c r="AK94" s="231"/>
      <c r="AL94" s="170"/>
      <c r="AM94" s="170"/>
      <c r="AN94" s="232"/>
      <c r="AO94" s="249">
        <f>VLOOKUP($C94,Обработка!$B$16:$L$104,6,0)</f>
        <v>1</v>
      </c>
      <c r="AP94" s="251">
        <f t="shared" si="11"/>
        <v>0.457</v>
      </c>
      <c r="AQ94" s="250">
        <f>VLOOKUP($C94,Обработка!$B$16:$L$104,7,0)</f>
        <v>1</v>
      </c>
      <c r="AR94" s="255">
        <f t="shared" si="12"/>
        <v>0.193</v>
      </c>
      <c r="AS94" s="253">
        <f>VLOOKUP($C94,Утилизация!$B$16:$L$104,6,0)</f>
        <v>0.35</v>
      </c>
      <c r="AT94" s="251">
        <f t="shared" si="13"/>
        <v>0.211</v>
      </c>
      <c r="AU94" s="250">
        <f>VLOOKUP($C94,Утилизация!$B$16:$L$104,7,0)</f>
        <v>0.5</v>
      </c>
      <c r="AV94" s="256">
        <f t="shared" si="14"/>
        <v>0.214</v>
      </c>
      <c r="AW94" s="279" t="str">
        <f>VLOOKUP(C94,Захоронение!$B$16:$Q$104,16,0)</f>
        <v>свалки</v>
      </c>
      <c r="AX94" s="231"/>
      <c r="AY94" s="170"/>
      <c r="AZ94" s="170"/>
      <c r="BA94" s="171"/>
      <c r="BB94" s="280" t="str">
        <f>VLOOKUP(C94,'ДК ИП'!$B$16:$S$104,5,0)</f>
        <v>существенное</v>
      </c>
      <c r="BC94" s="327">
        <f>VLOOKUP(C94,'Радар олд'!$B$3:$E$87,4,0)</f>
        <v>0.00379348279655552</v>
      </c>
      <c r="BD94" s="171"/>
      <c r="BI94" s="9">
        <f t="shared" si="15"/>
        <v>2</v>
      </c>
      <c r="BJ94" s="9">
        <f>VLOOKUP(C94,Штаб!$B$16:$C$104,2)</f>
        <v>0</v>
      </c>
      <c r="BK94" s="9">
        <f>VLOOKUP(C94,'РО - регионы'!$B$16:$C$104,2)</f>
        <v>1</v>
      </c>
      <c r="BL94" s="9">
        <f>VLOOKUP(C94,'РО - регионы'!$B$16:$L$104,11)</f>
        <v>2</v>
      </c>
      <c r="BM94" s="9">
        <f>VLOOKUP(C94,Спецтехника!$B$16:$C$104,2)</f>
        <v>2</v>
      </c>
      <c r="BN94" s="9">
        <f>VLOOKUP($C94,МНО!$B$16:$AB$104,6,0)</f>
        <v>2</v>
      </c>
      <c r="BO94" s="9">
        <f>VLOOKUP($C94,МНО!$B$16:$AB$104,4,0)</f>
        <v>2</v>
      </c>
      <c r="BP94" s="9">
        <f>VLOOKUP($C94,МНО!$B$16:$AB$104,5,0)</f>
        <v>2</v>
      </c>
      <c r="BQ94" s="9">
        <f>VLOOKUP($C94,Контейнеры!$B$16:$G$104,6,0)</f>
        <v>2</v>
      </c>
      <c r="BR94" s="9">
        <f>VLOOKUP($C94,Контейнеры!$B$16:$G$104,4,0)</f>
        <v>2</v>
      </c>
      <c r="BS94" s="9">
        <f>VLOOKUP($C94,Контейнеры!$B$16:$G$104,5,0)</f>
        <v>2</v>
      </c>
      <c r="BT94" s="9">
        <f>VLOOKUP($C94,'ДК МНО'!$B$16:$C$104,2,0)</f>
        <v>2</v>
      </c>
      <c r="BU94" s="9">
        <f>VLOOKUP($C94,Обработка!$B$16:$F$104,5,0)</f>
        <v>0</v>
      </c>
      <c r="BV94" s="9">
        <f>VLOOKUP($C94,Обработка!$B$16:$F$104,4,0)</f>
        <v>2</v>
      </c>
      <c r="BW94" s="9">
        <f>VLOOKUP($C94,Утилизация!$B$16:$F$104,5,0)</f>
        <v>0</v>
      </c>
      <c r="BX94" s="9">
        <f>VLOOKUP($C94,Утилизация!$B$16:$F$104,4,0)</f>
        <v>2</v>
      </c>
      <c r="BY94" s="9">
        <f>VLOOKUP($C94,Захоронение!$B$16:$C$104,2,0)</f>
        <v>2</v>
      </c>
      <c r="BZ94" s="9">
        <f>VLOOKUP($C94,'ДК ИП'!$B$16:$C$104,2,0)</f>
        <v>2</v>
      </c>
      <c r="CA94" s="9">
        <f t="shared" si="16"/>
        <v>1.6</v>
      </c>
    </row>
    <row r="95" ht="30" customHeight="1" spans="1:79">
      <c r="A95" s="6" t="s">
        <v>129</v>
      </c>
      <c r="B95" s="331">
        <f>B92+1</f>
        <v>82</v>
      </c>
      <c r="C95" s="332" t="s">
        <v>159</v>
      </c>
      <c r="D95" s="333" t="str">
        <f>VLOOKUP($C95,Штаб!$B$16:$J$104,6,0)</f>
        <v/>
      </c>
      <c r="E95" s="334" t="str">
        <f>VLOOKUP($C95,Штаб!$B$16:$J$104,7,0)</f>
        <v>✔️</v>
      </c>
      <c r="F95" s="334" t="str">
        <f>VLOOKUP($C95,Штаб!$B$16:$J$104,8,0)</f>
        <v/>
      </c>
      <c r="G95" s="335" t="str">
        <f>VLOOKUP($C95,Штаб!$B$16:$J$104,9,0)</f>
        <v/>
      </c>
      <c r="H95" s="279" t="str">
        <f>VLOOKUP(C95,'РО - регионы'!$B$16:$I$104,8,0)</f>
        <v>0 / 6 / 6 из 12</v>
      </c>
      <c r="I95" s="169"/>
      <c r="J95" s="137"/>
      <c r="K95" s="170"/>
      <c r="L95" s="170"/>
      <c r="M95" s="171"/>
      <c r="N95" s="174">
        <f>VLOOKUP(C95,Спецтехника!$B$16:$J$104,4,0)</f>
        <v>153</v>
      </c>
      <c r="O95" s="175">
        <f>VLOOKUP(C95,Спецтехника!$B$16:$J$104,5,0)</f>
        <v>138</v>
      </c>
      <c r="P95" s="175">
        <f>VLOOKUP(C95,Спецтехника!$B$16:$J$104,6,0)</f>
        <v>15</v>
      </c>
      <c r="Q95" s="198">
        <f>VLOOKUP(C95,Спецтехника!$B$16:$J$104,7,0)</f>
        <v>0.0980392156862745</v>
      </c>
      <c r="R95" s="197"/>
      <c r="S95" s="137"/>
      <c r="T95" s="170"/>
      <c r="U95" s="170"/>
      <c r="V95" s="171"/>
      <c r="W95" s="176">
        <f>VLOOKUP($C95,МНО!$B$16:$AB$104,16,0)</f>
        <v>9911</v>
      </c>
      <c r="X95" s="177">
        <f>VLOOKUP($C95,МНО!$B$16:$AB$104,8,0)</f>
        <v>4707</v>
      </c>
      <c r="Y95" s="177">
        <f>VLOOKUP($C95,МНО!$B$16:$AB$104,11,0)</f>
        <v>5204</v>
      </c>
      <c r="Z95" s="217">
        <f>VLOOKUP($C95,МНО!$B$16:$AB$104,17,0)</f>
        <v>0.525073151044294</v>
      </c>
      <c r="AA95" s="213"/>
      <c r="AB95" s="214">
        <f>VLOOKUP($C95,МНО!$B$16:$AB$104,13,0)</f>
        <v>3.65691489361702</v>
      </c>
      <c r="AC95" s="215">
        <f>VLOOKUP($C95,МНО!$B$16:$AB$104,18,0)</f>
        <v>0.745958795562599</v>
      </c>
      <c r="AD95" s="176">
        <f>VLOOKUP($C95,Контейнеры!$B$16:$AB$104,16,0)</f>
        <v>10461</v>
      </c>
      <c r="AE95" s="177">
        <f>VLOOKUP($C95,Контейнеры!$B$16:$AB$104,8,0)</f>
        <v>10461</v>
      </c>
      <c r="AF95" s="177">
        <f>VLOOKUP($C95,Контейнеры!$B$16:$AB$104,11,0)</f>
        <v>0</v>
      </c>
      <c r="AG95" s="217">
        <f>VLOOKUP($C95,Контейнеры!$B$16:$AB$104,17,0)</f>
        <v>0</v>
      </c>
      <c r="AH95" s="213"/>
      <c r="AI95" s="214">
        <f>VLOOKUP($C95,Контейнеры!$B$16:$AB$104,13,0)</f>
        <v>10.4436218133027</v>
      </c>
      <c r="AJ95" s="215">
        <f>VLOOKUP($C95,Контейнеры!$B$16:$AB$104,18,0)</f>
        <v>0.732255354892902</v>
      </c>
      <c r="AK95" s="231"/>
      <c r="AL95" s="170"/>
      <c r="AM95" s="170"/>
      <c r="AN95" s="232"/>
      <c r="AO95" s="249">
        <f>VLOOKUP($C95,Обработка!$B$16:$L$104,6,0)</f>
        <v>0</v>
      </c>
      <c r="AP95" s="251">
        <f t="shared" si="11"/>
        <v>-0.543</v>
      </c>
      <c r="AQ95" s="259">
        <f>VLOOKUP($C95,Обработка!$B$16:$L$104,7,0)</f>
        <v>0.49</v>
      </c>
      <c r="AR95" s="262">
        <f t="shared" si="12"/>
        <v>-0.317</v>
      </c>
      <c r="AS95" s="253">
        <f>VLOOKUP($C95,Утилизация!$B$16:$L$104,6,0)</f>
        <v>0.007</v>
      </c>
      <c r="AT95" s="251">
        <f t="shared" si="13"/>
        <v>-0.132</v>
      </c>
      <c r="AU95" s="251">
        <f>VLOOKUP($C95,Утилизация!$B$16:$L$104,7,0)</f>
        <v>0.1</v>
      </c>
      <c r="AV95" s="254">
        <f t="shared" si="14"/>
        <v>-0.186</v>
      </c>
      <c r="AW95" s="279" t="str">
        <f>VLOOKUP(C95,Захоронение!$B$16:$Q$104,16,0)</f>
        <v>белые пятна</v>
      </c>
      <c r="AX95" s="231"/>
      <c r="AY95" s="170"/>
      <c r="AZ95" s="170"/>
      <c r="BA95" s="171"/>
      <c r="BB95" s="280" t="str">
        <f>VLOOKUP(C95,'ДК ИП'!$B$16:$S$104,5,0)</f>
        <v>среднее</v>
      </c>
      <c r="BC95" s="327">
        <f>VLOOKUP(C95,'Радар олд'!$B$3:$E$87,4,0)</f>
        <v>0.0159734202287394</v>
      </c>
      <c r="BD95" s="171"/>
      <c r="BI95" s="9">
        <f t="shared" si="15"/>
        <v>2</v>
      </c>
      <c r="BJ95" s="9">
        <f>VLOOKUP(C95,Штаб!$B$16:$C$104,2)</f>
        <v>1</v>
      </c>
      <c r="BK95" s="9">
        <f>VLOOKUP(C95,'РО - регионы'!$B$16:$C$104,2)</f>
        <v>1</v>
      </c>
      <c r="BL95" s="9">
        <f>VLOOKUP(C95,'РО - регионы'!$B$16:$L$104,11)</f>
        <v>2</v>
      </c>
      <c r="BM95" s="9">
        <f>VLOOKUP(C95,Спецтехника!$B$16:$C$104,2)</f>
        <v>1</v>
      </c>
      <c r="BN95" s="9">
        <f>VLOOKUP($C95,МНО!$B$16:$AB$104,6,0)</f>
        <v>2</v>
      </c>
      <c r="BO95" s="9">
        <f>VLOOKUP($C95,МНО!$B$16:$AB$104,4,0)</f>
        <v>1</v>
      </c>
      <c r="BP95" s="9">
        <f>VLOOKUP($C95,МНО!$B$16:$AB$104,5,0)</f>
        <v>1</v>
      </c>
      <c r="BQ95" s="9">
        <f>VLOOKUP($C95,Контейнеры!$B$16:$G$104,6,0)</f>
        <v>2</v>
      </c>
      <c r="BR95" s="9">
        <f>VLOOKUP($C95,Контейнеры!$B$16:$G$104,4,0)</f>
        <v>0</v>
      </c>
      <c r="BS95" s="9">
        <f>VLOOKUP($C95,Контейнеры!$B$16:$G$104,5,0)</f>
        <v>2</v>
      </c>
      <c r="BT95" s="9">
        <f>VLOOKUP($C95,'ДК МНО'!$B$16:$C$104,2,0)</f>
        <v>2</v>
      </c>
      <c r="BU95" s="9">
        <f>VLOOKUP($C95,Обработка!$B$16:$F$104,5,0)</f>
        <v>1</v>
      </c>
      <c r="BV95" s="9">
        <f>VLOOKUP($C95,Обработка!$B$16:$F$104,4,0)</f>
        <v>2</v>
      </c>
      <c r="BW95" s="9">
        <f>VLOOKUP($C95,Утилизация!$B$16:$F$104,5,0)</f>
        <v>2</v>
      </c>
      <c r="BX95" s="9">
        <f>VLOOKUP($C95,Утилизация!$B$16:$F$104,4,0)</f>
        <v>2</v>
      </c>
      <c r="BY95" s="9">
        <f>VLOOKUP($C95,Захоронение!$B$16:$C$104,2,0)</f>
        <v>2</v>
      </c>
      <c r="BZ95" s="9">
        <f>VLOOKUP($C95,'ДК ИП'!$B$16:$C$104,2,0)</f>
        <v>1</v>
      </c>
      <c r="CA95" s="9">
        <f t="shared" si="16"/>
        <v>1.45</v>
      </c>
    </row>
    <row r="96" ht="30" customHeight="1" spans="2:78">
      <c r="B96" s="331">
        <f>B95+1</f>
        <v>83</v>
      </c>
      <c r="C96" s="332" t="s">
        <v>160</v>
      </c>
      <c r="D96" s="333" t="str">
        <f>VLOOKUP($C96,Штаб!$B$16:$J$104,6,0)</f>
        <v/>
      </c>
      <c r="E96" s="334" t="str">
        <f>VLOOKUP($C96,Штаб!$B$16:$J$104,7,0)</f>
        <v/>
      </c>
      <c r="F96" s="334" t="str">
        <f>VLOOKUP($C96,Штаб!$B$16:$J$104,8,0)</f>
        <v/>
      </c>
      <c r="G96" s="335" t="str">
        <f>VLOOKUP($C96,Штаб!$B$16:$J$104,9,0)</f>
        <v>✔️</v>
      </c>
      <c r="H96" s="283" t="str">
        <f>VLOOKUP(C96,'РО - регионы'!$B$16:$I$104,8,0)</f>
        <v>0 / 1 / 0 из 1</v>
      </c>
      <c r="I96" s="169"/>
      <c r="J96" s="137"/>
      <c r="K96" s="170"/>
      <c r="L96" s="170"/>
      <c r="M96" s="171"/>
      <c r="N96" s="176">
        <f>VLOOKUP(C96,Спецтехника!$B$16:$J$104,4,0)</f>
        <v>415</v>
      </c>
      <c r="O96" s="177">
        <f>VLOOKUP(C96,Спецтехника!$B$16:$J$104,5,0)</f>
        <v>321</v>
      </c>
      <c r="P96" s="177">
        <f>VLOOKUP(C96,Спецтехника!$B$16:$J$104,6,0)</f>
        <v>94</v>
      </c>
      <c r="Q96" s="199">
        <f>VLOOKUP(C96,Спецтехника!$B$16:$J$104,7,0)</f>
        <v>0.226506024096386</v>
      </c>
      <c r="R96" s="197"/>
      <c r="S96" s="137"/>
      <c r="T96" s="170"/>
      <c r="U96" s="170"/>
      <c r="V96" s="171"/>
      <c r="W96" s="172">
        <f>VLOOKUP($C96,МНО!$B$16:$AB$104,16,0)</f>
        <v>0</v>
      </c>
      <c r="X96" s="173">
        <f>VLOOKUP($C96,МНО!$B$16:$AB$104,8,0)</f>
        <v>0</v>
      </c>
      <c r="Y96" s="173">
        <f>VLOOKUP($C96,МНО!$B$16:$AB$104,11,0)</f>
        <v>0</v>
      </c>
      <c r="Z96" s="216">
        <f>VLOOKUP($C96,МНО!$B$16:$AB$104,17,0)</f>
        <v>0</v>
      </c>
      <c r="AA96" s="213"/>
      <c r="AB96" s="214"/>
      <c r="AC96" s="215"/>
      <c r="AD96" s="172">
        <f>VLOOKUP($C96,Контейнеры!$B$16:$AB$104,16,0)</f>
        <v>0</v>
      </c>
      <c r="AE96" s="173">
        <f>VLOOKUP($C96,Контейнеры!$B$16:$AB$104,8,0)</f>
        <v>0</v>
      </c>
      <c r="AF96" s="173">
        <f>VLOOKUP($C96,Контейнеры!$B$16:$AB$104,11,0)</f>
        <v>0</v>
      </c>
      <c r="AG96" s="216">
        <f>VLOOKUP($C96,Контейнеры!$B$16:$AB$104,17,0)</f>
        <v>0</v>
      </c>
      <c r="AH96" s="213"/>
      <c r="AI96" s="214"/>
      <c r="AJ96" s="215"/>
      <c r="AK96" s="231"/>
      <c r="AL96" s="170"/>
      <c r="AM96" s="170"/>
      <c r="AN96" s="232"/>
      <c r="AO96" s="257">
        <f>VLOOKUP($C96,Обработка!$B$16:$L$104,6,0)</f>
        <v>0</v>
      </c>
      <c r="AP96" s="250">
        <f t="shared" si="11"/>
        <v>-0.543</v>
      </c>
      <c r="AQ96" s="250">
        <f>VLOOKUP($C96,Обработка!$B$16:$L$104,7,0)</f>
        <v>0</v>
      </c>
      <c r="AR96" s="255">
        <f t="shared" si="12"/>
        <v>-0.807</v>
      </c>
      <c r="AS96" s="263">
        <f>VLOOKUP($C96,Утилизация!$B$16:$L$104,6,0)</f>
        <v>0</v>
      </c>
      <c r="AT96" s="250">
        <f t="shared" si="13"/>
        <v>-0.139</v>
      </c>
      <c r="AU96" s="250">
        <f>VLOOKUP($C96,Утилизация!$B$16:$L$104,7,0)</f>
        <v>0</v>
      </c>
      <c r="AV96" s="256">
        <f t="shared" si="14"/>
        <v>-0.286</v>
      </c>
      <c r="AW96" s="284"/>
      <c r="AX96" s="231"/>
      <c r="AY96" s="170"/>
      <c r="AZ96" s="170"/>
      <c r="BA96" s="171"/>
      <c r="BB96" s="280" t="str">
        <f>VLOOKUP(C96,'ДК ИП'!$B$16:$S$104,5,0)</f>
        <v>не подписана</v>
      </c>
      <c r="BC96" s="327" t="e">
        <f>VLOOKUP(C96,'Радар олд'!$B$3:$E$87,4,0)</f>
        <v>#N/A</v>
      </c>
      <c r="BD96" s="171"/>
      <c r="BI96" s="9">
        <f t="shared" si="15"/>
        <v>0</v>
      </c>
      <c r="BJ96" s="9">
        <f>VLOOKUP(C96,Штаб!$B$16:$C$104,2)</f>
        <v>2</v>
      </c>
      <c r="BK96" s="9">
        <f>VLOOKUP(C96,'РО - регионы'!$B$16:$C$104,2)</f>
        <v>1</v>
      </c>
      <c r="BL96" s="9">
        <f>VLOOKUP(C96,'РО - регионы'!$B$16:$L$104,11)</f>
        <v>2</v>
      </c>
      <c r="BM96" s="9">
        <f>VLOOKUP(C96,Спецтехника!$B$16:$C$104,2)</f>
        <v>2</v>
      </c>
      <c r="BN96" s="9">
        <f>VLOOKUP($C96,МНО!$B$16:$AB$104,6,0)</f>
        <v>0</v>
      </c>
      <c r="BO96" s="9">
        <f>VLOOKUP($C96,МНО!$B$16:$AB$104,4,0)</f>
        <v>0</v>
      </c>
      <c r="BP96" s="9">
        <f>VLOOKUP($C96,МНО!$B$16:$AB$104,5,0)</f>
        <v>0</v>
      </c>
      <c r="BQ96" s="9">
        <f>VLOOKUP($C96,Контейнеры!$B$16:$G$104,6,0)</f>
        <v>0</v>
      </c>
      <c r="BR96" s="9">
        <f>VLOOKUP($C96,Контейнеры!$B$16:$G$104,4,0)</f>
        <v>0</v>
      </c>
      <c r="BS96" s="9">
        <f>VLOOKUP($C96,Контейнеры!$B$16:$G$104,5,0)</f>
        <v>0</v>
      </c>
      <c r="BT96" s="9">
        <f>VLOOKUP($C96,'ДК МНО'!$B$16:$C$104,2,0)</f>
        <v>2</v>
      </c>
      <c r="BU96" s="9">
        <f>VLOOKUP($C96,Обработка!$B$16:$F$104,5,0)</f>
        <v>0</v>
      </c>
      <c r="BV96" s="9">
        <f>VLOOKUP($C96,Обработка!$B$16:$F$104,4,0)</f>
        <v>0</v>
      </c>
      <c r="BW96" s="9">
        <f>VLOOKUP($C96,Утилизация!$B$16:$F$104,5,0)</f>
        <v>0</v>
      </c>
      <c r="BX96" s="9">
        <f>VLOOKUP($C96,Утилизация!$B$16:$F$104,4,0)</f>
        <v>0</v>
      </c>
      <c r="BY96" s="9">
        <f>VLOOKUP($C96,Захоронение!$B$16:$C$104,2,0)</f>
        <v>0</v>
      </c>
      <c r="BZ96" s="9">
        <f>VLOOKUP($C96,'ДК ИП'!$B$16:$C$104,2,0)</f>
        <v>0</v>
      </c>
    </row>
    <row r="97" ht="30" customHeight="1" spans="2:78">
      <c r="B97" s="331">
        <f>B96+1</f>
        <v>84</v>
      </c>
      <c r="C97" s="332" t="s">
        <v>161</v>
      </c>
      <c r="D97" s="333" t="str">
        <f>VLOOKUP($C97,Штаб!$B$16:$J$104,6,0)</f>
        <v/>
      </c>
      <c r="E97" s="334" t="str">
        <f>VLOOKUP($C97,Штаб!$B$16:$J$104,7,0)</f>
        <v/>
      </c>
      <c r="F97" s="334" t="str">
        <f>VLOOKUP($C97,Штаб!$B$16:$J$104,8,0)</f>
        <v/>
      </c>
      <c r="G97" s="335" t="str">
        <f>VLOOKUP($C97,Штаб!$B$16:$J$104,9,0)</f>
        <v>✔️</v>
      </c>
      <c r="H97" s="284" t="str">
        <f>VLOOKUP(C97,'РО - регионы'!$B$16:$I$104,8,0)</f>
        <v>0 / 1 / 0 из 1</v>
      </c>
      <c r="I97" s="169"/>
      <c r="J97" s="137"/>
      <c r="K97" s="170"/>
      <c r="L97" s="170"/>
      <c r="M97" s="171"/>
      <c r="N97" s="174">
        <f>VLOOKUP(C97,Спецтехника!$B$16:$J$104,4,0)</f>
        <v>71</v>
      </c>
      <c r="O97" s="175">
        <f>VLOOKUP(C97,Спецтехника!$B$16:$J$104,5,0)</f>
        <v>59</v>
      </c>
      <c r="P97" s="175">
        <f>VLOOKUP(C97,Спецтехника!$B$16:$J$104,6,0)</f>
        <v>12</v>
      </c>
      <c r="Q97" s="198">
        <f>VLOOKUP(C97,Спецтехника!$B$16:$J$104,7,0)</f>
        <v>0.169014084507042</v>
      </c>
      <c r="R97" s="197"/>
      <c r="S97" s="137"/>
      <c r="T97" s="170"/>
      <c r="U97" s="170"/>
      <c r="V97" s="171"/>
      <c r="W97" s="172">
        <f>VLOOKUP($C97,МНО!$B$16:$AB$104,16,0)</f>
        <v>0</v>
      </c>
      <c r="X97" s="173">
        <f>VLOOKUP($C97,МНО!$B$16:$AB$104,8,0)</f>
        <v>0</v>
      </c>
      <c r="Y97" s="173">
        <f>VLOOKUP($C97,МНО!$B$16:$AB$104,11,0)</f>
        <v>0</v>
      </c>
      <c r="Z97" s="216">
        <f>VLOOKUP($C97,МНО!$B$16:$AB$104,17,0)</f>
        <v>0</v>
      </c>
      <c r="AA97" s="213"/>
      <c r="AB97" s="214"/>
      <c r="AC97" s="215"/>
      <c r="AD97" s="172">
        <f>VLOOKUP($C97,Контейнеры!$B$16:$AB$104,16,0)</f>
        <v>0</v>
      </c>
      <c r="AE97" s="173">
        <f>VLOOKUP($C97,Контейнеры!$B$16:$AB$104,8,0)</f>
        <v>0</v>
      </c>
      <c r="AF97" s="173">
        <f>VLOOKUP($C97,Контейнеры!$B$16:$AB$104,11,0)</f>
        <v>0</v>
      </c>
      <c r="AG97" s="216">
        <f>VLOOKUP($C97,Контейнеры!$B$16:$AB$104,17,0)</f>
        <v>0</v>
      </c>
      <c r="AH97" s="213"/>
      <c r="AI97" s="214"/>
      <c r="AJ97" s="215"/>
      <c r="AK97" s="231"/>
      <c r="AL97" s="170"/>
      <c r="AM97" s="170"/>
      <c r="AN97" s="232"/>
      <c r="AO97" s="257">
        <f>VLOOKUP($C97,Обработка!$B$16:$L$104,6,0)</f>
        <v>0</v>
      </c>
      <c r="AP97" s="250">
        <f t="shared" si="11"/>
        <v>-0.543</v>
      </c>
      <c r="AQ97" s="250">
        <f>VLOOKUP($C97,Обработка!$B$16:$L$104,7,0)</f>
        <v>0</v>
      </c>
      <c r="AR97" s="255">
        <f t="shared" si="12"/>
        <v>-0.807</v>
      </c>
      <c r="AS97" s="263">
        <f>VLOOKUP($C97,Утилизация!$B$16:$L$104,6,0)</f>
        <v>0</v>
      </c>
      <c r="AT97" s="250">
        <f t="shared" si="13"/>
        <v>-0.139</v>
      </c>
      <c r="AU97" s="250">
        <f>VLOOKUP($C97,Утилизация!$B$16:$L$104,7,0)</f>
        <v>0</v>
      </c>
      <c r="AV97" s="256">
        <f t="shared" si="14"/>
        <v>-0.286</v>
      </c>
      <c r="AW97" s="284"/>
      <c r="AX97" s="231"/>
      <c r="AY97" s="170"/>
      <c r="AZ97" s="170"/>
      <c r="BA97" s="171"/>
      <c r="BB97" s="280" t="str">
        <f>VLOOKUP(C97,'ДК ИП'!$B$16:$S$104,5,0)</f>
        <v>не подписана</v>
      </c>
      <c r="BC97" s="327" t="e">
        <f>VLOOKUP(C97,'Радар олд'!$B$3:$E$87,4,0)</f>
        <v>#N/A</v>
      </c>
      <c r="BD97" s="171"/>
      <c r="BI97" s="9">
        <f t="shared" si="15"/>
        <v>0</v>
      </c>
      <c r="BJ97" s="9">
        <f>VLOOKUP(C97,Штаб!$B$16:$C$104,2)</f>
        <v>2</v>
      </c>
      <c r="BK97" s="9">
        <f>VLOOKUP(C97,'РО - регионы'!$B$16:$C$104,2)</f>
        <v>1</v>
      </c>
      <c r="BL97" s="9">
        <f>VLOOKUP(C97,'РО - регионы'!$B$16:$L$104,11)</f>
        <v>2</v>
      </c>
      <c r="BM97" s="9">
        <f>VLOOKUP(C97,Спецтехника!$B$16:$C$104,2)</f>
        <v>1</v>
      </c>
      <c r="BN97" s="9">
        <f>VLOOKUP($C97,МНО!$B$16:$AB$104,6,0)</f>
        <v>0</v>
      </c>
      <c r="BO97" s="9">
        <f>VLOOKUP($C97,МНО!$B$16:$AB$104,4,0)</f>
        <v>0</v>
      </c>
      <c r="BP97" s="9">
        <f>VLOOKUP($C97,МНО!$B$16:$AB$104,5,0)</f>
        <v>0</v>
      </c>
      <c r="BQ97" s="9">
        <f>VLOOKUP($C97,Контейнеры!$B$16:$G$104,6,0)</f>
        <v>0</v>
      </c>
      <c r="BR97" s="9">
        <f>VLOOKUP($C97,Контейнеры!$B$16:$G$104,4,0)</f>
        <v>0</v>
      </c>
      <c r="BS97" s="9">
        <f>VLOOKUP($C97,Контейнеры!$B$16:$G$104,5,0)</f>
        <v>0</v>
      </c>
      <c r="BT97" s="9">
        <f>VLOOKUP($C97,'ДК МНО'!$B$16:$C$104,2,0)</f>
        <v>2</v>
      </c>
      <c r="BU97" s="9">
        <f>VLOOKUP($C97,Обработка!$B$16:$F$104,5,0)</f>
        <v>0</v>
      </c>
      <c r="BV97" s="9">
        <f>VLOOKUP($C97,Обработка!$B$16:$F$104,4,0)</f>
        <v>0</v>
      </c>
      <c r="BW97" s="9">
        <f>VLOOKUP($C97,Утилизация!$B$16:$F$104,5,0)</f>
        <v>0</v>
      </c>
      <c r="BX97" s="9">
        <f>VLOOKUP($C97,Утилизация!$B$16:$F$104,4,0)</f>
        <v>0</v>
      </c>
      <c r="BY97" s="9">
        <f>VLOOKUP($C97,Захоронение!$B$16:$C$104,2,0)</f>
        <v>0</v>
      </c>
      <c r="BZ97" s="9">
        <f>VLOOKUP($C97,'ДК ИП'!$B$16:$C$104,2,0)</f>
        <v>0</v>
      </c>
    </row>
    <row r="98" ht="30" customHeight="1" spans="2:78">
      <c r="B98" s="331">
        <f>B97+1</f>
        <v>85</v>
      </c>
      <c r="C98" s="332" t="s">
        <v>162</v>
      </c>
      <c r="D98" s="333" t="str">
        <f>VLOOKUP($C98,Штаб!$B$16:$J$104,6,0)</f>
        <v/>
      </c>
      <c r="E98" s="334" t="str">
        <f>VLOOKUP($C98,Штаб!$B$16:$J$104,7,0)</f>
        <v/>
      </c>
      <c r="F98" s="334" t="str">
        <f>VLOOKUP($C98,Штаб!$B$16:$J$104,8,0)</f>
        <v/>
      </c>
      <c r="G98" s="335" t="str">
        <f>VLOOKUP($C98,Штаб!$B$16:$J$104,9,0)</f>
        <v>✔️</v>
      </c>
      <c r="H98" s="284" t="str">
        <f>VLOOKUP(C98,'РО - регионы'!$B$16:$I$104,8,0)</f>
        <v>0 / 0 / 0 из 0</v>
      </c>
      <c r="I98" s="169"/>
      <c r="J98" s="137"/>
      <c r="K98" s="170"/>
      <c r="L98" s="170"/>
      <c r="M98" s="171"/>
      <c r="N98" s="176">
        <f>VLOOKUP(C98,Спецтехника!$B$16:$J$104,4,0)</f>
        <v>532</v>
      </c>
      <c r="O98" s="177">
        <f>VLOOKUP(C98,Спецтехника!$B$16:$J$104,5,0)</f>
        <v>344</v>
      </c>
      <c r="P98" s="177">
        <f>VLOOKUP(C98,Спецтехника!$B$16:$J$104,6,0)</f>
        <v>188</v>
      </c>
      <c r="Q98" s="199">
        <f>VLOOKUP(C98,Спецтехника!$B$16:$J$104,7,0)</f>
        <v>0.353383458646617</v>
      </c>
      <c r="R98" s="197"/>
      <c r="S98" s="137"/>
      <c r="T98" s="170"/>
      <c r="U98" s="170"/>
      <c r="V98" s="171"/>
      <c r="W98" s="172">
        <f>VLOOKUP($C98,МНО!$B$16:$AB$104,16,0)</f>
        <v>5695</v>
      </c>
      <c r="X98" s="173">
        <f>VLOOKUP($C98,МНО!$B$16:$AB$104,8,0)</f>
        <v>0</v>
      </c>
      <c r="Y98" s="173">
        <f>VLOOKUP($C98,МНО!$B$16:$AB$104,11,0)</f>
        <v>5695</v>
      </c>
      <c r="Z98" s="216">
        <f>VLOOKUP($C98,МНО!$B$16:$AB$104,17,0)</f>
        <v>0</v>
      </c>
      <c r="AA98" s="213"/>
      <c r="AB98" s="214"/>
      <c r="AC98" s="215"/>
      <c r="AD98" s="172">
        <f>VLOOKUP($C98,Контейнеры!$B$16:$AB$104,16,0)</f>
        <v>13829</v>
      </c>
      <c r="AE98" s="173">
        <f>VLOOKUP($C98,Контейнеры!$B$16:$AB$104,8,0)</f>
        <v>0</v>
      </c>
      <c r="AF98" s="173">
        <f>VLOOKUP($C98,Контейнеры!$B$16:$AB$104,11,0)</f>
        <v>13829</v>
      </c>
      <c r="AG98" s="216">
        <f>VLOOKUP($C98,Контейнеры!$B$16:$AB$104,17,0)</f>
        <v>0</v>
      </c>
      <c r="AH98" s="213"/>
      <c r="AI98" s="214"/>
      <c r="AJ98" s="215"/>
      <c r="AK98" s="231"/>
      <c r="AL98" s="170"/>
      <c r="AM98" s="170"/>
      <c r="AN98" s="232"/>
      <c r="AO98" s="257">
        <f>VLOOKUP($C98,Обработка!$B$16:$L$104,6,0)</f>
        <v>0</v>
      </c>
      <c r="AP98" s="250">
        <f t="shared" si="11"/>
        <v>-0.543</v>
      </c>
      <c r="AQ98" s="250">
        <f>VLOOKUP($C98,Обработка!$B$16:$L$104,7,0)</f>
        <v>0</v>
      </c>
      <c r="AR98" s="255">
        <f t="shared" si="12"/>
        <v>-0.807</v>
      </c>
      <c r="AS98" s="263">
        <f>VLOOKUP($C98,Утилизация!$B$16:$L$104,6,0)</f>
        <v>0</v>
      </c>
      <c r="AT98" s="250">
        <f t="shared" si="13"/>
        <v>-0.139</v>
      </c>
      <c r="AU98" s="250">
        <f>VLOOKUP($C98,Утилизация!$B$16:$L$104,7,0)</f>
        <v>0</v>
      </c>
      <c r="AV98" s="256">
        <f t="shared" si="14"/>
        <v>-0.286</v>
      </c>
      <c r="AW98" s="284"/>
      <c r="AX98" s="231"/>
      <c r="AY98" s="170"/>
      <c r="AZ98" s="170"/>
      <c r="BA98" s="171"/>
      <c r="BB98" s="280" t="str">
        <f>VLOOKUP(C98,'ДК ИП'!$B$16:$S$104,5,0)</f>
        <v>нет</v>
      </c>
      <c r="BC98" s="327" t="e">
        <f>VLOOKUP(C98,'Радар олд'!$B$3:$E$87,4,0)</f>
        <v>#N/A</v>
      </c>
      <c r="BD98" s="171"/>
      <c r="BI98" s="9">
        <f t="shared" si="15"/>
        <v>0</v>
      </c>
      <c r="BJ98" s="9">
        <f>VLOOKUP(C98,Штаб!$B$16:$C$104,2)</f>
        <v>2</v>
      </c>
      <c r="BK98" s="9">
        <f>VLOOKUP(C98,'РО - регионы'!$B$16:$C$104,2)</f>
        <v>0</v>
      </c>
      <c r="BL98" s="9">
        <f>VLOOKUP(C98,'РО - регионы'!$B$16:$L$104,11)</f>
        <v>0</v>
      </c>
      <c r="BM98" s="9">
        <f>VLOOKUP(C98,Спецтехника!$B$16:$C$104,2)</f>
        <v>2</v>
      </c>
      <c r="BN98" s="9">
        <f>VLOOKUP($C98,МНО!$B$16:$AB$104,6,0)</f>
        <v>0</v>
      </c>
      <c r="BO98" s="9">
        <f>VLOOKUP($C98,МНО!$B$16:$AB$104,4,0)</f>
        <v>0</v>
      </c>
      <c r="BP98" s="9">
        <f>VLOOKUP($C98,МНО!$B$16:$AB$104,5,0)</f>
        <v>0</v>
      </c>
      <c r="BQ98" s="9">
        <f>VLOOKUP($C98,Контейнеры!$B$16:$G$104,6,0)</f>
        <v>0</v>
      </c>
      <c r="BR98" s="9">
        <f>VLOOKUP($C98,Контейнеры!$B$16:$G$104,4,0)</f>
        <v>0</v>
      </c>
      <c r="BS98" s="9">
        <f>VLOOKUP($C98,Контейнеры!$B$16:$G$104,5,0)</f>
        <v>0</v>
      </c>
      <c r="BT98" s="9">
        <f>VLOOKUP($C98,'ДК МНО'!$B$16:$C$104,2,0)</f>
        <v>2</v>
      </c>
      <c r="BU98" s="9">
        <f>VLOOKUP($C98,Обработка!$B$16:$F$104,5,0)</f>
        <v>0</v>
      </c>
      <c r="BV98" s="9">
        <f>VLOOKUP($C98,Обработка!$B$16:$F$104,4,0)</f>
        <v>0</v>
      </c>
      <c r="BW98" s="9">
        <f>VLOOKUP($C98,Утилизация!$B$16:$F$104,5,0)</f>
        <v>0</v>
      </c>
      <c r="BX98" s="9">
        <f>VLOOKUP($C98,Утилизация!$B$16:$F$104,4,0)</f>
        <v>0</v>
      </c>
      <c r="BY98" s="9">
        <f>VLOOKUP($C98,Захоронение!$B$16:$C$104,2,0)</f>
        <v>0</v>
      </c>
      <c r="BZ98" s="9">
        <f>VLOOKUP($C98,'ДК ИП'!$B$16:$C$104,2,0)</f>
        <v>0</v>
      </c>
    </row>
    <row r="99" ht="30" customHeight="1" spans="2:78">
      <c r="B99" s="342">
        <f>B98+1</f>
        <v>86</v>
      </c>
      <c r="C99" s="343" t="s">
        <v>163</v>
      </c>
      <c r="D99" s="344" t="str">
        <f>VLOOKUP($C99,Штаб!$B$16:$J$104,6,0)</f>
        <v/>
      </c>
      <c r="E99" s="345" t="str">
        <f>VLOOKUP($C99,Штаб!$B$16:$J$104,7,0)</f>
        <v/>
      </c>
      <c r="F99" s="345" t="str">
        <f>VLOOKUP($C99,Штаб!$B$16:$J$104,8,0)</f>
        <v/>
      </c>
      <c r="G99" s="346" t="str">
        <f>VLOOKUP($C99,Штаб!$B$16:$J$104,9,0)</f>
        <v>✔️</v>
      </c>
      <c r="H99" s="347" t="str">
        <f>VLOOKUP(C99,'РО - регионы'!$B$16:$I$104,8,0)</f>
        <v>0 / 1 / 0 из 1</v>
      </c>
      <c r="I99" s="295"/>
      <c r="J99" s="296"/>
      <c r="K99" s="297"/>
      <c r="L99" s="297"/>
      <c r="M99" s="298"/>
      <c r="N99" s="348">
        <f>VLOOKUP(C99,Спецтехника!$B$16:$J$104,4,0)</f>
        <v>50</v>
      </c>
      <c r="O99" s="349">
        <f>VLOOKUP(C99,Спецтехника!$B$16:$J$104,5,0)</f>
        <v>42</v>
      </c>
      <c r="P99" s="349">
        <f>VLOOKUP(C99,Спецтехника!$B$16:$J$104,6,0)</f>
        <v>8</v>
      </c>
      <c r="Q99" s="350">
        <f>VLOOKUP(C99,Спецтехника!$B$16:$J$104,7,0)</f>
        <v>0.16</v>
      </c>
      <c r="R99" s="302"/>
      <c r="S99" s="296"/>
      <c r="T99" s="297"/>
      <c r="U99" s="297"/>
      <c r="V99" s="298"/>
      <c r="W99" s="299">
        <f>VLOOKUP($C99,МНО!$B$16:$AB$104,16,0)</f>
        <v>0</v>
      </c>
      <c r="X99" s="300">
        <f>VLOOKUP($C99,МНО!$B$16:$AB$104,8,0)</f>
        <v>0</v>
      </c>
      <c r="Y99" s="300">
        <f>VLOOKUP($C99,МНО!$B$16:$AB$104,11,0)</f>
        <v>0</v>
      </c>
      <c r="Z99" s="303">
        <f>VLOOKUP($C99,МНО!$B$16:$AB$104,17,0)</f>
        <v>0</v>
      </c>
      <c r="AA99" s="304"/>
      <c r="AB99" s="305"/>
      <c r="AC99" s="306"/>
      <c r="AD99" s="299">
        <f>VLOOKUP($C99,Контейнеры!$B$16:$AB$104,16,0)</f>
        <v>0</v>
      </c>
      <c r="AE99" s="300">
        <f>VLOOKUP($C99,Контейнеры!$B$16:$AB$104,8,0)</f>
        <v>0</v>
      </c>
      <c r="AF99" s="300">
        <f>VLOOKUP($C99,Контейнеры!$B$16:$AB$104,11,0)</f>
        <v>0</v>
      </c>
      <c r="AG99" s="303">
        <f>VLOOKUP($C99,Контейнеры!$B$16:$AB$104,17,0)</f>
        <v>0</v>
      </c>
      <c r="AH99" s="304"/>
      <c r="AI99" s="305"/>
      <c r="AJ99" s="306"/>
      <c r="AK99" s="307"/>
      <c r="AL99" s="297"/>
      <c r="AM99" s="297"/>
      <c r="AN99" s="308"/>
      <c r="AO99" s="309">
        <f>VLOOKUP($C99,Обработка!$B$16:$L$104,6,0)</f>
        <v>0</v>
      </c>
      <c r="AP99" s="310">
        <f t="shared" si="11"/>
        <v>-0.543</v>
      </c>
      <c r="AQ99" s="310">
        <f>VLOOKUP($C99,Обработка!$B$16:$L$104,7,0)</f>
        <v>0</v>
      </c>
      <c r="AR99" s="351">
        <f t="shared" si="12"/>
        <v>-0.807</v>
      </c>
      <c r="AS99" s="352">
        <f>VLOOKUP($C99,Утилизация!$B$16:$L$104,6,0)</f>
        <v>0</v>
      </c>
      <c r="AT99" s="310">
        <f t="shared" si="13"/>
        <v>-0.139</v>
      </c>
      <c r="AU99" s="310">
        <f>VLOOKUP($C99,Утилизация!$B$16:$L$104,7,0)</f>
        <v>0</v>
      </c>
      <c r="AV99" s="353">
        <f t="shared" si="14"/>
        <v>-0.286</v>
      </c>
      <c r="AW99" s="316"/>
      <c r="AX99" s="307"/>
      <c r="AY99" s="297"/>
      <c r="AZ99" s="297"/>
      <c r="BA99" s="298"/>
      <c r="BB99" s="317" t="str">
        <f>VLOOKUP(C99,'ДК ИП'!$B$16:$S$104,5,0)</f>
        <v>не подписана</v>
      </c>
      <c r="BC99" s="327" t="e">
        <f>VLOOKUP(C99,'Радар олд'!$B$3:$E$87,4,0)</f>
        <v>#N/A</v>
      </c>
      <c r="BD99" s="298"/>
      <c r="BI99" s="9">
        <f t="shared" si="15"/>
        <v>0</v>
      </c>
      <c r="BJ99" s="9">
        <f>VLOOKUP(C99,Штаб!$B$16:$C$104,2)</f>
        <v>2</v>
      </c>
      <c r="BK99" s="9">
        <f>VLOOKUP(C99,'РО - регионы'!$B$16:$C$104,2)</f>
        <v>1</v>
      </c>
      <c r="BL99" s="9">
        <f>VLOOKUP(C99,'РО - регионы'!$B$16:$L$104,11)</f>
        <v>2</v>
      </c>
      <c r="BM99" s="9">
        <f>VLOOKUP(C99,Спецтехника!$B$16:$C$104,2)</f>
        <v>1</v>
      </c>
      <c r="BN99" s="9">
        <f>VLOOKUP($C99,МНО!$B$16:$AB$104,6,0)</f>
        <v>0</v>
      </c>
      <c r="BO99" s="9">
        <f>VLOOKUP($C99,МНО!$B$16:$AB$104,4,0)</f>
        <v>0</v>
      </c>
      <c r="BP99" s="9">
        <f>VLOOKUP($C99,МНО!$B$16:$AB$104,5,0)</f>
        <v>0</v>
      </c>
      <c r="BQ99" s="9">
        <f>VLOOKUP($C99,Контейнеры!$B$16:$G$104,6,0)</f>
        <v>0</v>
      </c>
      <c r="BR99" s="9">
        <f>VLOOKUP($C99,Контейнеры!$B$16:$G$104,4,0)</f>
        <v>0</v>
      </c>
      <c r="BS99" s="9">
        <f>VLOOKUP($C99,Контейнеры!$B$16:$G$104,5,0)</f>
        <v>0</v>
      </c>
      <c r="BT99" s="9">
        <f>VLOOKUP($C99,'ДК МНО'!$B$16:$C$104,2,0)</f>
        <v>2</v>
      </c>
      <c r="BU99" s="9">
        <f>VLOOKUP($C99,Обработка!$B$16:$F$104,5,0)</f>
        <v>0</v>
      </c>
      <c r="BV99" s="9">
        <f>VLOOKUP($C99,Обработка!$B$16:$F$104,4,0)</f>
        <v>0</v>
      </c>
      <c r="BW99" s="9">
        <f>VLOOKUP($C99,Утилизация!$B$16:$F$104,5,0)</f>
        <v>0</v>
      </c>
      <c r="BX99" s="9">
        <f>VLOOKUP($C99,Утилизация!$B$16:$F$104,4,0)</f>
        <v>0</v>
      </c>
      <c r="BY99" s="9">
        <f>VLOOKUP($C99,Захоронение!$B$16:$C$104,2,0)</f>
        <v>0</v>
      </c>
      <c r="BZ99" s="9">
        <f>VLOOKUP($C99,'ДК ИП'!$B$16:$C$104,2,0)</f>
        <v>0</v>
      </c>
    </row>
  </sheetData>
  <mergeCells count="28">
    <mergeCell ref="D5:G5"/>
    <mergeCell ref="H5:M5"/>
    <mergeCell ref="N5:V5"/>
    <mergeCell ref="W5:AN5"/>
    <mergeCell ref="AO5:BA5"/>
    <mergeCell ref="BC5:BD5"/>
    <mergeCell ref="J6:M6"/>
    <mergeCell ref="N6:R6"/>
    <mergeCell ref="S6:V6"/>
    <mergeCell ref="W6:AC6"/>
    <mergeCell ref="AD6:AJ6"/>
    <mergeCell ref="AK6:AN6"/>
    <mergeCell ref="AO6:AR6"/>
    <mergeCell ref="AS6:AV6"/>
    <mergeCell ref="AX6:BA6"/>
    <mergeCell ref="N9:Q9"/>
    <mergeCell ref="W9:AC9"/>
    <mergeCell ref="AD9:AJ9"/>
    <mergeCell ref="AO9:AR9"/>
    <mergeCell ref="AS9:AV9"/>
    <mergeCell ref="B5:B7"/>
    <mergeCell ref="C5:C7"/>
    <mergeCell ref="D6:D7"/>
    <mergeCell ref="E6:E7"/>
    <mergeCell ref="F6:F7"/>
    <mergeCell ref="G6:G7"/>
    <mergeCell ref="H6:H7"/>
    <mergeCell ref="I6:I7"/>
  </mergeCells>
  <conditionalFormatting sqref="AI11:AJ99">
    <cfRule type="colorScale" priority="1">
      <colorScale>
        <cfvo type="formula" val="$BN$11=0"/>
        <cfvo type="formula" val="$BN$11=1"/>
        <cfvo type="formula" val="$BN$11=2"/>
        <color theme="9" tint="0.799981688894314"/>
        <color theme="7" tint="0.799981688894314"/>
        <color theme="5" tint="0.799981688894314"/>
      </colorScale>
    </cfRule>
  </conditionalFormatting>
  <pageMargins left="0.17" right="0.31" top="0.22" bottom="0.33" header="0.21" footer="0.31496062992126"/>
  <pageSetup paperSize="8" scale="31" fitToHeight="0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>
    <pageSetUpPr fitToPage="1"/>
  </sheetPr>
  <dimension ref="A1:CC99"/>
  <sheetViews>
    <sheetView tabSelected="1" zoomScale="80" zoomScaleNormal="80" workbookViewId="0">
      <pane xSplit="3" ySplit="10" topLeftCell="W11" activePane="bottomRight" state="frozen"/>
      <selection/>
      <selection pane="topRight"/>
      <selection pane="bottomLeft"/>
      <selection pane="bottomRight" activeCell="C11" sqref="C11:C99"/>
    </sheetView>
  </sheetViews>
  <sheetFormatPr defaultColWidth="10.8583333333333" defaultRowHeight="15"/>
  <cols>
    <col min="1" max="1" width="10.8583333333333" style="6"/>
    <col min="2" max="2" width="5" style="9" customWidth="1"/>
    <col min="3" max="3" width="33.3583333333333" style="6" customWidth="1"/>
    <col min="4" max="7" width="3.64166666666667" style="9" customWidth="1"/>
    <col min="8" max="9" width="17.3583333333333" style="9" customWidth="1"/>
    <col min="10" max="13" width="12.3583333333333" style="9" customWidth="1"/>
    <col min="14" max="16" width="11.5" style="62" customWidth="1"/>
    <col min="17" max="17" width="11.5" style="97" customWidth="1"/>
    <col min="18" max="18" width="11.5" style="97" hidden="1" customWidth="1"/>
    <col min="19" max="22" width="12.3583333333333" style="9" hidden="1" customWidth="1"/>
    <col min="23" max="25" width="11.5" style="62" customWidth="1"/>
    <col min="26" max="27" width="11.5" style="97" customWidth="1"/>
    <col min="28" max="29" width="12.8583333333333" style="9" customWidth="1"/>
    <col min="30" max="32" width="11.5" style="62" customWidth="1"/>
    <col min="33" max="34" width="11.5" style="97" customWidth="1"/>
    <col min="35" max="36" width="12.8583333333333" style="9" customWidth="1"/>
    <col min="37" max="40" width="12.3583333333333" style="9" hidden="1" customWidth="1"/>
    <col min="41" max="41" width="12.8583333333333" style="9" customWidth="1"/>
    <col min="42" max="42" width="12.8583333333333" style="9" hidden="1" customWidth="1"/>
    <col min="43" max="43" width="12.8583333333333" style="9" customWidth="1"/>
    <col min="44" max="44" width="12.8583333333333" style="9" hidden="1" customWidth="1"/>
    <col min="45" max="47" width="14.7083333333333" style="9" customWidth="1"/>
    <col min="48" max="48" width="12.8583333333333" style="9" hidden="1" customWidth="1"/>
    <col min="49" max="49" width="15" style="9" customWidth="1"/>
    <col min="50" max="53" width="12.3583333333333" style="9" hidden="1" customWidth="1"/>
    <col min="54" max="54" width="14.1416666666667" style="9" hidden="1" customWidth="1"/>
    <col min="55" max="55" width="14.1416666666667" style="9" customWidth="1"/>
    <col min="56" max="56" width="14.1416666666667" style="9" hidden="1" customWidth="1"/>
    <col min="57" max="60" width="14.1416666666667" style="9" customWidth="1"/>
    <col min="61" max="61" width="12.6416666666667" style="9" customWidth="1"/>
    <col min="62" max="65" width="11.6416666666667" style="9" customWidth="1"/>
    <col min="66" max="79" width="12.6416666666667" style="9" customWidth="1"/>
    <col min="80" max="80" width="11.8583333333333" style="9" customWidth="1"/>
    <col min="81" max="16384" width="10.8583333333333" style="6"/>
  </cols>
  <sheetData>
    <row r="1" spans="1:81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Z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T1" s="6">
        <f t="shared" si="1"/>
        <v>72</v>
      </c>
      <c r="BU1" s="6">
        <f t="shared" si="1"/>
        <v>73</v>
      </c>
      <c r="BV1" s="6">
        <f t="shared" si="1"/>
        <v>74</v>
      </c>
      <c r="BW1" s="6">
        <f t="shared" si="1"/>
        <v>75</v>
      </c>
      <c r="BX1" s="6">
        <f t="shared" si="1"/>
        <v>76</v>
      </c>
      <c r="BY1" s="6">
        <f t="shared" si="1"/>
        <v>77</v>
      </c>
      <c r="BZ1" s="6">
        <f t="shared" si="1"/>
        <v>78</v>
      </c>
      <c r="CA1" s="6">
        <f t="shared" ref="CA1" si="2">BZ1+1</f>
        <v>79</v>
      </c>
      <c r="CB1" s="6">
        <f t="shared" ref="CB1" si="3">CA1+1</f>
        <v>80</v>
      </c>
      <c r="CC1" s="6">
        <f t="shared" ref="CC1" si="4">CB1+1</f>
        <v>81</v>
      </c>
    </row>
    <row r="2" ht="15.6" spans="3:3">
      <c r="C2" s="4" t="s">
        <v>0</v>
      </c>
    </row>
    <row r="3" ht="15.6" spans="3:3">
      <c r="C3" s="98">
        <v>45566</v>
      </c>
    </row>
    <row r="4" ht="15.75" spans="10:60">
      <c r="J4" s="6"/>
      <c r="K4" s="6"/>
      <c r="L4" s="6"/>
      <c r="S4" s="6"/>
      <c r="T4" s="6"/>
      <c r="U4" s="6"/>
      <c r="AK4" s="6"/>
      <c r="AL4" s="6"/>
      <c r="AM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B4" s="6"/>
      <c r="BC4" s="6"/>
      <c r="BD4" s="6"/>
      <c r="BE4" s="6"/>
      <c r="BF4" s="6"/>
      <c r="BG4" s="6"/>
      <c r="BH4" s="6"/>
    </row>
    <row r="5" s="94" customFormat="1" ht="37" customHeight="1" spans="2:80">
      <c r="B5" s="99" t="s">
        <v>1</v>
      </c>
      <c r="C5" s="100" t="s">
        <v>2</v>
      </c>
      <c r="D5" s="101" t="s">
        <v>3</v>
      </c>
      <c r="E5" s="102"/>
      <c r="F5" s="102"/>
      <c r="G5" s="103"/>
      <c r="H5" s="101" t="s">
        <v>4</v>
      </c>
      <c r="I5" s="101"/>
      <c r="J5" s="102"/>
      <c r="K5" s="102"/>
      <c r="L5" s="102"/>
      <c r="M5" s="141"/>
      <c r="N5" s="142" t="s">
        <v>5</v>
      </c>
      <c r="O5" s="143"/>
      <c r="P5" s="143"/>
      <c r="Q5" s="143"/>
      <c r="R5" s="143"/>
      <c r="S5" s="143"/>
      <c r="T5" s="143"/>
      <c r="U5" s="143"/>
      <c r="V5" s="178"/>
      <c r="W5" s="179" t="s">
        <v>6</v>
      </c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3"/>
      <c r="AO5" s="101" t="s">
        <v>7</v>
      </c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264"/>
      <c r="BC5" s="179" t="s">
        <v>8</v>
      </c>
      <c r="BD5" s="103"/>
      <c r="BE5" s="95"/>
      <c r="BF5" s="95"/>
      <c r="BG5" s="95"/>
      <c r="BH5" s="95"/>
      <c r="BI5" s="286"/>
      <c r="BJ5" s="286">
        <v>0</v>
      </c>
      <c r="BK5" s="286">
        <v>0.2</v>
      </c>
      <c r="BL5" s="286">
        <v>0</v>
      </c>
      <c r="BM5" s="286">
        <v>0.05</v>
      </c>
      <c r="BN5" s="286">
        <v>0.05</v>
      </c>
      <c r="BO5" s="286">
        <v>0.05</v>
      </c>
      <c r="BP5" s="286"/>
      <c r="BQ5" s="286">
        <v>0.05</v>
      </c>
      <c r="BR5" s="286">
        <v>0.05</v>
      </c>
      <c r="BS5" s="286"/>
      <c r="BT5" s="286">
        <v>0</v>
      </c>
      <c r="BU5" s="286">
        <v>0.05</v>
      </c>
      <c r="BV5" s="286">
        <v>0.05</v>
      </c>
      <c r="BW5" s="286">
        <v>0.05</v>
      </c>
      <c r="BX5" s="286">
        <v>0.05</v>
      </c>
      <c r="BY5" s="286">
        <v>0.25</v>
      </c>
      <c r="BZ5" s="286">
        <v>0.1</v>
      </c>
      <c r="CA5" s="286" t="s">
        <v>164</v>
      </c>
      <c r="CB5" s="286">
        <f>SUM(BJ5:BZ5)</f>
        <v>1</v>
      </c>
    </row>
    <row r="6" s="95" customFormat="1" ht="37" customHeight="1" spans="2:80">
      <c r="B6" s="104"/>
      <c r="C6" s="105"/>
      <c r="D6" s="106" t="s">
        <v>9</v>
      </c>
      <c r="E6" s="107" t="s">
        <v>10</v>
      </c>
      <c r="F6" s="107" t="s">
        <v>11</v>
      </c>
      <c r="G6" s="108" t="s">
        <v>12</v>
      </c>
      <c r="H6" s="109" t="s">
        <v>13</v>
      </c>
      <c r="I6" s="109" t="s">
        <v>165</v>
      </c>
      <c r="J6" s="99" t="s">
        <v>15</v>
      </c>
      <c r="K6" s="144"/>
      <c r="L6" s="144"/>
      <c r="M6" s="100"/>
      <c r="N6" s="145" t="s">
        <v>16</v>
      </c>
      <c r="O6" s="146"/>
      <c r="P6" s="146"/>
      <c r="Q6" s="146"/>
      <c r="R6" s="180"/>
      <c r="S6" s="99" t="s">
        <v>17</v>
      </c>
      <c r="T6" s="144"/>
      <c r="U6" s="144"/>
      <c r="V6" s="100"/>
      <c r="W6" s="181" t="s">
        <v>18</v>
      </c>
      <c r="X6" s="182"/>
      <c r="Y6" s="182"/>
      <c r="Z6" s="182"/>
      <c r="AA6" s="182"/>
      <c r="AB6" s="182"/>
      <c r="AC6" s="200"/>
      <c r="AD6" s="201" t="s">
        <v>19</v>
      </c>
      <c r="AE6" s="202"/>
      <c r="AF6" s="202"/>
      <c r="AG6" s="202"/>
      <c r="AH6" s="202"/>
      <c r="AI6" s="202"/>
      <c r="AJ6" s="218"/>
      <c r="AK6" s="219" t="s">
        <v>17</v>
      </c>
      <c r="AL6" s="220"/>
      <c r="AM6" s="220"/>
      <c r="AN6" s="221"/>
      <c r="AO6" s="99" t="s">
        <v>20</v>
      </c>
      <c r="AP6" s="144"/>
      <c r="AQ6" s="144"/>
      <c r="AR6" s="100"/>
      <c r="AS6" s="219" t="s">
        <v>166</v>
      </c>
      <c r="AT6" s="220"/>
      <c r="AU6" s="220"/>
      <c r="AV6" s="221"/>
      <c r="AW6" s="113" t="s">
        <v>22</v>
      </c>
      <c r="AX6" s="219" t="s">
        <v>23</v>
      </c>
      <c r="AY6" s="220"/>
      <c r="AZ6" s="220"/>
      <c r="BA6" s="220"/>
      <c r="BB6" s="221" t="s">
        <v>24</v>
      </c>
      <c r="BC6" s="265" t="s">
        <v>25</v>
      </c>
      <c r="BD6" s="266" t="s">
        <v>26</v>
      </c>
      <c r="BE6" s="94"/>
      <c r="BF6" s="94"/>
      <c r="BG6" s="94"/>
      <c r="BH6" s="94"/>
      <c r="BI6" s="94" t="s">
        <v>27</v>
      </c>
      <c r="BJ6" s="94" t="s">
        <v>28</v>
      </c>
      <c r="BK6" s="94" t="s">
        <v>29</v>
      </c>
      <c r="BL6" s="94" t="s">
        <v>30</v>
      </c>
      <c r="BM6" s="94" t="s">
        <v>31</v>
      </c>
      <c r="BN6" s="94" t="s">
        <v>32</v>
      </c>
      <c r="BO6" s="94" t="s">
        <v>33</v>
      </c>
      <c r="BP6" s="94" t="s">
        <v>34</v>
      </c>
      <c r="BQ6" s="94" t="s">
        <v>35</v>
      </c>
      <c r="BR6" s="94" t="s">
        <v>36</v>
      </c>
      <c r="BS6" s="94" t="s">
        <v>34</v>
      </c>
      <c r="BT6" s="94" t="s">
        <v>37</v>
      </c>
      <c r="BU6" s="94" t="s">
        <v>38</v>
      </c>
      <c r="BV6" s="94" t="s">
        <v>39</v>
      </c>
      <c r="BW6" s="94" t="s">
        <v>40</v>
      </c>
      <c r="BX6" s="94" t="s">
        <v>41</v>
      </c>
      <c r="BY6" s="94" t="s">
        <v>42</v>
      </c>
      <c r="BZ6" s="94" t="s">
        <v>43</v>
      </c>
      <c r="CA6" s="94" t="s">
        <v>167</v>
      </c>
      <c r="CB6" s="94" t="s">
        <v>44</v>
      </c>
    </row>
    <row r="7" s="5" customFormat="1" ht="43" customHeight="1" spans="2:80">
      <c r="B7" s="104"/>
      <c r="C7" s="105"/>
      <c r="D7" s="110"/>
      <c r="E7" s="111"/>
      <c r="F7" s="111"/>
      <c r="G7" s="112"/>
      <c r="H7" s="113"/>
      <c r="I7" s="113"/>
      <c r="J7" s="147" t="s">
        <v>45</v>
      </c>
      <c r="K7" s="148" t="s">
        <v>46</v>
      </c>
      <c r="L7" s="148" t="s">
        <v>47</v>
      </c>
      <c r="M7" s="149" t="s">
        <v>48</v>
      </c>
      <c r="N7" s="150" t="s">
        <v>49</v>
      </c>
      <c r="O7" s="151" t="s">
        <v>50</v>
      </c>
      <c r="P7" s="151" t="s">
        <v>51</v>
      </c>
      <c r="Q7" s="183" t="s">
        <v>52</v>
      </c>
      <c r="R7" s="184" t="s">
        <v>165</v>
      </c>
      <c r="S7" s="147" t="s">
        <v>45</v>
      </c>
      <c r="T7" s="148" t="s">
        <v>46</v>
      </c>
      <c r="U7" s="148" t="s">
        <v>47</v>
      </c>
      <c r="V7" s="149" t="s">
        <v>48</v>
      </c>
      <c r="W7" s="150" t="s">
        <v>54</v>
      </c>
      <c r="X7" s="151" t="s">
        <v>55</v>
      </c>
      <c r="Y7" s="151" t="s">
        <v>51</v>
      </c>
      <c r="Z7" s="203" t="s">
        <v>52</v>
      </c>
      <c r="AA7" s="184" t="s">
        <v>165</v>
      </c>
      <c r="AB7" s="148" t="s">
        <v>56</v>
      </c>
      <c r="AC7" s="149" t="s">
        <v>57</v>
      </c>
      <c r="AD7" s="150" t="s">
        <v>54</v>
      </c>
      <c r="AE7" s="151" t="s">
        <v>55</v>
      </c>
      <c r="AF7" s="151" t="s">
        <v>51</v>
      </c>
      <c r="AG7" s="203" t="s">
        <v>52</v>
      </c>
      <c r="AH7" s="184" t="s">
        <v>165</v>
      </c>
      <c r="AI7" s="148" t="s">
        <v>56</v>
      </c>
      <c r="AJ7" s="100" t="s">
        <v>57</v>
      </c>
      <c r="AK7" s="222" t="s">
        <v>45</v>
      </c>
      <c r="AL7" s="148" t="s">
        <v>46</v>
      </c>
      <c r="AM7" s="148" t="s">
        <v>47</v>
      </c>
      <c r="AN7" s="223" t="s">
        <v>48</v>
      </c>
      <c r="AO7" s="147" t="s">
        <v>58</v>
      </c>
      <c r="AP7" s="148" t="s">
        <v>59</v>
      </c>
      <c r="AQ7" s="148" t="s">
        <v>60</v>
      </c>
      <c r="AR7" s="149" t="s">
        <v>61</v>
      </c>
      <c r="AS7" s="222" t="s">
        <v>58</v>
      </c>
      <c r="AT7" s="148" t="s">
        <v>59</v>
      </c>
      <c r="AU7" s="148" t="s">
        <v>60</v>
      </c>
      <c r="AV7" s="223" t="s">
        <v>61</v>
      </c>
      <c r="AW7" s="267" t="s">
        <v>62</v>
      </c>
      <c r="AX7" s="222" t="s">
        <v>45</v>
      </c>
      <c r="AY7" s="148" t="s">
        <v>46</v>
      </c>
      <c r="AZ7" s="148" t="s">
        <v>47</v>
      </c>
      <c r="BA7" s="148" t="s">
        <v>48</v>
      </c>
      <c r="BB7" s="223" t="s">
        <v>63</v>
      </c>
      <c r="BC7" s="147" t="s">
        <v>56</v>
      </c>
      <c r="BD7" s="149" t="s">
        <v>64</v>
      </c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</row>
    <row r="8" s="21" customFormat="1" ht="15.75" spans="2:60">
      <c r="B8" s="114">
        <v>1</v>
      </c>
      <c r="C8" s="115">
        <f>B8+1</f>
        <v>2</v>
      </c>
      <c r="D8" s="116">
        <f t="shared" ref="D8:BD8" si="5">C8+1</f>
        <v>3</v>
      </c>
      <c r="E8" s="117">
        <f t="shared" si="5"/>
        <v>4</v>
      </c>
      <c r="F8" s="117">
        <f t="shared" si="5"/>
        <v>5</v>
      </c>
      <c r="G8" s="115">
        <f t="shared" si="5"/>
        <v>6</v>
      </c>
      <c r="H8" s="118">
        <f t="shared" si="5"/>
        <v>7</v>
      </c>
      <c r="I8" s="118">
        <f t="shared" si="5"/>
        <v>8</v>
      </c>
      <c r="J8" s="152">
        <f t="shared" si="5"/>
        <v>9</v>
      </c>
      <c r="K8" s="117">
        <f t="shared" si="5"/>
        <v>10</v>
      </c>
      <c r="L8" s="117">
        <f t="shared" si="5"/>
        <v>11</v>
      </c>
      <c r="M8" s="115">
        <f t="shared" si="5"/>
        <v>12</v>
      </c>
      <c r="N8" s="152">
        <f t="shared" si="5"/>
        <v>13</v>
      </c>
      <c r="O8" s="117">
        <f t="shared" si="5"/>
        <v>14</v>
      </c>
      <c r="P8" s="117">
        <f t="shared" si="5"/>
        <v>15</v>
      </c>
      <c r="Q8" s="115">
        <f t="shared" si="5"/>
        <v>16</v>
      </c>
      <c r="R8" s="152">
        <f t="shared" si="5"/>
        <v>17</v>
      </c>
      <c r="S8" s="152">
        <f t="shared" si="5"/>
        <v>18</v>
      </c>
      <c r="T8" s="117">
        <f t="shared" si="5"/>
        <v>19</v>
      </c>
      <c r="U8" s="117">
        <f t="shared" si="5"/>
        <v>20</v>
      </c>
      <c r="V8" s="115">
        <f t="shared" si="5"/>
        <v>21</v>
      </c>
      <c r="W8" s="152">
        <f t="shared" si="5"/>
        <v>22</v>
      </c>
      <c r="X8" s="117">
        <f t="shared" si="5"/>
        <v>23</v>
      </c>
      <c r="Y8" s="117">
        <f t="shared" si="5"/>
        <v>24</v>
      </c>
      <c r="Z8" s="117">
        <f t="shared" si="5"/>
        <v>25</v>
      </c>
      <c r="AA8" s="117"/>
      <c r="AB8" s="117">
        <f>Z8+1</f>
        <v>26</v>
      </c>
      <c r="AC8" s="115">
        <f t="shared" si="5"/>
        <v>27</v>
      </c>
      <c r="AD8" s="152">
        <f t="shared" si="5"/>
        <v>28</v>
      </c>
      <c r="AE8" s="117">
        <f t="shared" si="5"/>
        <v>29</v>
      </c>
      <c r="AF8" s="117">
        <f t="shared" si="5"/>
        <v>30</v>
      </c>
      <c r="AG8" s="117">
        <f t="shared" si="5"/>
        <v>31</v>
      </c>
      <c r="AH8" s="117">
        <f t="shared" si="5"/>
        <v>32</v>
      </c>
      <c r="AI8" s="117">
        <f t="shared" si="5"/>
        <v>33</v>
      </c>
      <c r="AJ8" s="115">
        <f t="shared" si="5"/>
        <v>34</v>
      </c>
      <c r="AK8" s="116">
        <f t="shared" si="5"/>
        <v>35</v>
      </c>
      <c r="AL8" s="117">
        <f t="shared" si="5"/>
        <v>36</v>
      </c>
      <c r="AM8" s="117">
        <f t="shared" si="5"/>
        <v>37</v>
      </c>
      <c r="AN8" s="224">
        <f t="shared" si="5"/>
        <v>38</v>
      </c>
      <c r="AO8" s="152">
        <f t="shared" si="5"/>
        <v>39</v>
      </c>
      <c r="AP8" s="117">
        <f t="shared" si="5"/>
        <v>40</v>
      </c>
      <c r="AQ8" s="117">
        <f t="shared" si="5"/>
        <v>41</v>
      </c>
      <c r="AR8" s="115">
        <f t="shared" si="5"/>
        <v>42</v>
      </c>
      <c r="AS8" s="116">
        <f t="shared" si="5"/>
        <v>43</v>
      </c>
      <c r="AT8" s="117">
        <f t="shared" si="5"/>
        <v>44</v>
      </c>
      <c r="AU8" s="117">
        <f t="shared" si="5"/>
        <v>45</v>
      </c>
      <c r="AV8" s="224">
        <f t="shared" si="5"/>
        <v>46</v>
      </c>
      <c r="AW8" s="118">
        <f t="shared" si="5"/>
        <v>47</v>
      </c>
      <c r="AX8" s="116">
        <f t="shared" si="5"/>
        <v>48</v>
      </c>
      <c r="AY8" s="117">
        <f t="shared" si="5"/>
        <v>49</v>
      </c>
      <c r="AZ8" s="117">
        <f t="shared" si="5"/>
        <v>50</v>
      </c>
      <c r="BA8" s="117">
        <f t="shared" si="5"/>
        <v>51</v>
      </c>
      <c r="BB8" s="224">
        <f t="shared" si="5"/>
        <v>52</v>
      </c>
      <c r="BC8" s="152">
        <f t="shared" si="5"/>
        <v>53</v>
      </c>
      <c r="BD8" s="115">
        <f t="shared" si="5"/>
        <v>54</v>
      </c>
      <c r="BE8" s="94"/>
      <c r="BF8" s="94"/>
      <c r="BG8" s="94"/>
      <c r="BH8" s="94"/>
    </row>
    <row r="9" s="96" customFormat="1" ht="16" customHeight="1" spans="2:80">
      <c r="B9" s="119"/>
      <c r="C9" s="120" t="s">
        <v>65</v>
      </c>
      <c r="D9" s="121"/>
      <c r="E9" s="122"/>
      <c r="F9" s="122"/>
      <c r="G9" s="123"/>
      <c r="H9" s="124" t="str">
        <f>_xlfn.TEXTJOIN(,0,COUNTIF('РО - регионы'!$D$16:$D$104,2)," / ",COUNTIF('РО - регионы'!$D$16:$D$104,1)," / ",COUNTIF('РО - регионы'!$D$16:$D$104,0)," из ",COUNTIF('РО - регионы'!$D$16:$D$104,"&lt;&gt;"""))</f>
        <v>4 / 40 / 45 из 89</v>
      </c>
      <c r="I9" s="153"/>
      <c r="J9" s="154"/>
      <c r="K9" s="122"/>
      <c r="L9" s="122"/>
      <c r="M9" s="155"/>
      <c r="N9" s="156" t="str">
        <f>_xlfn.TEXTJOIN(,0,COUNTIF(Спецтехника!$D$16:$D$104,2)," / ",COUNTIF(Спецтехника!$D$16:$D$104,1)," / ",COUNTIF(Спецтехника!$D$16:$D$104,0)," из ",COUNTIF(Спецтехника!$D$16:$D$104,"&lt;&gt;"""))</f>
        <v>17 / 21 / 51 из 89</v>
      </c>
      <c r="O9" s="157"/>
      <c r="P9" s="157"/>
      <c r="Q9" s="185"/>
      <c r="R9" s="186"/>
      <c r="S9" s="154"/>
      <c r="T9" s="122"/>
      <c r="U9" s="122"/>
      <c r="V9" s="187"/>
      <c r="W9" s="188" t="str">
        <f>_xlfn.TEXTJOIN(,0,COUNTIF(МНО!$D$16:$D$104,2)," / ",COUNTIF(МНО!$D$16:$D$104,1)," / ",COUNTIF(МНО!$D$16:$D$104,0)," из ",COUNTIF(МНО!$D$16:$D$104,"&lt;&gt;"""))</f>
        <v>22 / 21 / 46 из 89</v>
      </c>
      <c r="X9" s="189"/>
      <c r="Y9" s="189"/>
      <c r="Z9" s="189"/>
      <c r="AA9" s="189"/>
      <c r="AB9" s="189"/>
      <c r="AC9" s="204"/>
      <c r="AD9" s="188" t="str">
        <f>_xlfn.TEXTJOIN(,0,COUNTIF(Контейнеры!$D$16:$D$104,2)," / ",COUNTIF(Контейнеры!$D$16:$D$104,1)," / ",COUNTIF(Контейнеры!$D$16:$D$104,0)," из ",COUNTIF(Контейнеры!$D$16:$D$104,"&lt;&gt;"""))</f>
        <v>23 / 24 / 42 из 89</v>
      </c>
      <c r="AE9" s="189"/>
      <c r="AF9" s="189"/>
      <c r="AG9" s="189"/>
      <c r="AH9" s="189"/>
      <c r="AI9" s="189"/>
      <c r="AJ9" s="204"/>
      <c r="AK9" s="121"/>
      <c r="AL9" s="122"/>
      <c r="AM9" s="122"/>
      <c r="AN9" s="187"/>
      <c r="AO9" s="233" t="str">
        <f>_xlfn.TEXTJOIN(,0,COUNTIF(Обработка!$D$16:$D$104,2)," / ",COUNTIF(Обработка!$D$16:$D$104,1)," / ",COUNTIF(Обработка!$D$16:$D$104,0)," из ",COUNTIF(Обработка!$D$16:$D$104,"&lt;&gt;"""))</f>
        <v>4 / 23 / 23 из 89</v>
      </c>
      <c r="AP9" s="234"/>
      <c r="AQ9" s="234"/>
      <c r="AR9" s="235"/>
      <c r="AS9" s="236" t="str">
        <f>_xlfn.TEXTJOIN(,0,COUNTIF(Утилизация!$D$16:$D$104,2)," / ",COUNTIF(Утилизация!$D$16:$D$104,1)," / ",COUNTIF(Утилизация!$D$16:$D$104,0)," из ",COUNTIF(Утилизация!$D$16:$D$104,"&lt;&gt;"""))</f>
        <v>25 / 29 / 6 из 89</v>
      </c>
      <c r="AT9" s="234"/>
      <c r="AU9" s="234"/>
      <c r="AV9" s="237"/>
      <c r="AW9" s="268" t="str">
        <f>_xlfn.TEXTJOIN(,0,COUNTIF(Захоронение!$D$16:$D$104,2),"/",COUNTIF(Захоронение!$D$16:$D$104,1),"/",COUNTIF(Захоронение!$D$16:$D$104,0)," из ",COUNTIF(Захоронение!$D$16:$D$104,"&lt;&gt;"""))</f>
        <v>29/16/44 из 89</v>
      </c>
      <c r="AX9" s="269"/>
      <c r="AY9" s="270"/>
      <c r="AZ9" s="270"/>
      <c r="BA9" s="187"/>
      <c r="BB9" s="271" t="str">
        <f>'ДК ИП'!F15</f>
        <v>14 / 19 / 13</v>
      </c>
      <c r="BC9" s="154"/>
      <c r="BD9" s="123"/>
      <c r="BE9" s="287"/>
      <c r="BF9" s="287"/>
      <c r="BG9" s="287"/>
      <c r="BH9" s="287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</row>
    <row r="10" s="96" customFormat="1" ht="16" customHeight="1" spans="2:80">
      <c r="B10" s="125"/>
      <c r="C10" s="126" t="s">
        <v>66</v>
      </c>
      <c r="D10" s="127">
        <f>Штаб!G15</f>
        <v>36</v>
      </c>
      <c r="E10" s="128">
        <f>Штаб!H15</f>
        <v>14</v>
      </c>
      <c r="F10" s="128">
        <f>Штаб!I15</f>
        <v>15</v>
      </c>
      <c r="G10" s="129">
        <f>Штаб!J15</f>
        <v>24</v>
      </c>
      <c r="H10" s="130" t="str">
        <f>_xlfn.TEXTJOIN(,0,'РО - регионы'!I15," из ",'РО - регионы'!H15)</f>
        <v>4/97/159 из 260</v>
      </c>
      <c r="I10" s="158"/>
      <c r="J10" s="159"/>
      <c r="K10" s="160"/>
      <c r="L10" s="160"/>
      <c r="M10" s="161"/>
      <c r="N10" s="162">
        <f>Спецтехника!E15</f>
        <v>25984</v>
      </c>
      <c r="O10" s="163">
        <f>Спецтехника!F15</f>
        <v>23597</v>
      </c>
      <c r="P10" s="163">
        <f>Спецтехника!G15</f>
        <v>2387</v>
      </c>
      <c r="Q10" s="190">
        <f>Спецтехника!H15</f>
        <v>0.091864224137931</v>
      </c>
      <c r="R10" s="191"/>
      <c r="S10" s="159"/>
      <c r="T10" s="160"/>
      <c r="U10" s="160"/>
      <c r="V10" s="161"/>
      <c r="W10" s="162">
        <f>МНО!Q15</f>
        <v>1201872</v>
      </c>
      <c r="X10" s="163">
        <f>МНО!I15</f>
        <v>980980</v>
      </c>
      <c r="Y10" s="163">
        <f>МНО!L15</f>
        <v>220892</v>
      </c>
      <c r="Z10" s="205">
        <f>МНО!R15</f>
        <v>0.1837899543379</v>
      </c>
      <c r="AA10" s="205"/>
      <c r="AB10" s="206">
        <f>МНО!N15</f>
        <v>5.9442443379488</v>
      </c>
      <c r="AC10" s="207">
        <f>МНО!S15</f>
        <v>0.673922183414993</v>
      </c>
      <c r="AD10" s="162">
        <f>Контейнеры!Q15</f>
        <v>2366240</v>
      </c>
      <c r="AE10" s="163">
        <f>Контейнеры!I15</f>
        <v>2005049</v>
      </c>
      <c r="AF10" s="163">
        <f>Контейнеры!L15</f>
        <v>361191</v>
      </c>
      <c r="AG10" s="205">
        <f>Контейнеры!R15</f>
        <v>0.152643434309284</v>
      </c>
      <c r="AH10" s="205"/>
      <c r="AI10" s="206">
        <f>Контейнеры!N15</f>
        <v>13.7190432820722</v>
      </c>
      <c r="AJ10" s="225">
        <f>Контейнеры!S15</f>
        <v>0.817968346826422</v>
      </c>
      <c r="AK10" s="226"/>
      <c r="AL10" s="160"/>
      <c r="AM10" s="160"/>
      <c r="AN10" s="227"/>
      <c r="AO10" s="238">
        <f>Обработка!G15</f>
        <v>0.543</v>
      </c>
      <c r="AP10" s="239">
        <v>0</v>
      </c>
      <c r="AQ10" s="239">
        <f>Обработка!H15</f>
        <v>0.807</v>
      </c>
      <c r="AR10" s="240">
        <v>0</v>
      </c>
      <c r="AS10" s="241">
        <f>Утилизация!G15</f>
        <v>0.139</v>
      </c>
      <c r="AT10" s="239">
        <v>0</v>
      </c>
      <c r="AU10" s="239">
        <f>Утилизация!H15</f>
        <v>0.286</v>
      </c>
      <c r="AV10" s="242">
        <v>0</v>
      </c>
      <c r="AW10" s="272"/>
      <c r="AX10" s="226"/>
      <c r="AY10" s="160"/>
      <c r="AZ10" s="160"/>
      <c r="BA10" s="161"/>
      <c r="BB10" s="273"/>
      <c r="BC10" s="274">
        <f>Радар!G15</f>
        <v>0.103879014980891</v>
      </c>
      <c r="BD10" s="161"/>
      <c r="BE10" s="287"/>
      <c r="BF10" s="289"/>
      <c r="BG10" s="287"/>
      <c r="BH10" s="287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</row>
    <row r="11" spans="1:80">
      <c r="A11" s="6" t="s">
        <v>108</v>
      </c>
      <c r="B11" s="131">
        <f t="shared" ref="B11:B74" si="6">B10+1</f>
        <v>1</v>
      </c>
      <c r="C11" s="132" t="s">
        <v>146</v>
      </c>
      <c r="D11" s="133" t="str">
        <f>VLOOKUP($C11,Штаб!$B$16:$J$104,6,0)</f>
        <v>✔️</v>
      </c>
      <c r="E11" s="134" t="str">
        <f>VLOOKUP($C11,Штаб!$B$16:$J$104,7,0)</f>
        <v/>
      </c>
      <c r="F11" s="134" t="str">
        <f>VLOOKUP($C11,Штаб!$B$16:$J$104,8,0)</f>
        <v/>
      </c>
      <c r="G11" s="135" t="str">
        <f>VLOOKUP($C11,Штаб!$B$16:$J$104,9,0)</f>
        <v/>
      </c>
      <c r="H11" s="136" t="str">
        <f>VLOOKUP(C11,'РО - регионы'!$B$16:$I$104,8,0)</f>
        <v>0 / 4 / 3 из 7</v>
      </c>
      <c r="I11" s="164"/>
      <c r="J11" s="131"/>
      <c r="K11" s="165"/>
      <c r="L11" s="165"/>
      <c r="M11" s="166"/>
      <c r="N11" s="167">
        <f>VLOOKUP(C11,Спецтехника!$B$16:$J$104,4,0)</f>
        <v>401</v>
      </c>
      <c r="O11" s="168">
        <f>VLOOKUP(C11,Спецтехника!$B$16:$J$104,5,0)</f>
        <v>352</v>
      </c>
      <c r="P11" s="168">
        <f>VLOOKUP(C11,Спецтехника!$B$16:$J$104,6,0)</f>
        <v>49</v>
      </c>
      <c r="Q11" s="192">
        <f>VLOOKUP(C11,Спецтехника!$B$16:$J$104,7,0)</f>
        <v>0.122194513715711</v>
      </c>
      <c r="R11" s="193"/>
      <c r="S11" s="131"/>
      <c r="T11" s="165"/>
      <c r="U11" s="165"/>
      <c r="V11" s="166"/>
      <c r="W11" s="194">
        <f>VLOOKUP($C11,МНО!$B$16:$AB$104,16,0)</f>
        <v>38081</v>
      </c>
      <c r="X11" s="195">
        <f>VLOOKUP($C11,МНО!$B$16:$AB$104,8,0)</f>
        <v>20660</v>
      </c>
      <c r="Y11" s="195">
        <f>VLOOKUP($C11,МНО!$B$16:$AB$104,11,0)</f>
        <v>17421</v>
      </c>
      <c r="Z11" s="208">
        <f>VLOOKUP($C11,МНО!$B$16:$AB$104,17,0)</f>
        <v>0.457472230246054</v>
      </c>
      <c r="AA11" s="209"/>
      <c r="AB11" s="210">
        <f>VLOOKUP($C11,МНО!$B$16:$AB$104,13,0)</f>
        <v>8.17091411747131</v>
      </c>
      <c r="AC11" s="211">
        <f>VLOOKUP($C11,МНО!$B$16:$AB$104,18,0)</f>
        <v>1</v>
      </c>
      <c r="AD11" s="167">
        <f>VLOOKUP($C11,Контейнеры!$B$16:$AB$104,16,0)</f>
        <v>46247</v>
      </c>
      <c r="AE11" s="168">
        <f>VLOOKUP($C11,Контейнеры!$B$16:$AB$104,8,0)</f>
        <v>34946</v>
      </c>
      <c r="AF11" s="168">
        <f>VLOOKUP($C11,Контейнеры!$B$16:$AB$104,11,0)</f>
        <v>11301</v>
      </c>
      <c r="AG11" s="228">
        <f>VLOOKUP($C11,Контейнеры!$B$16:$AB$104,17,0)</f>
        <v>0.24436179644085</v>
      </c>
      <c r="AH11" s="209"/>
      <c r="AI11" s="210">
        <f>VLOOKUP($C11,Контейнеры!$B$16:$AB$104,13,0)</f>
        <v>16.5205256161278</v>
      </c>
      <c r="AJ11" s="211">
        <f>VLOOKUP($C11,Контейнеры!$B$16:$AB$104,18,0)</f>
        <v>1</v>
      </c>
      <c r="AK11" s="229"/>
      <c r="AL11" s="165"/>
      <c r="AM11" s="165"/>
      <c r="AN11" s="230"/>
      <c r="AO11" s="243">
        <f>VLOOKUP($C11,Обработка!$B$16:$L$104,6,0)</f>
        <v>0</v>
      </c>
      <c r="AP11" s="244">
        <f t="shared" ref="AP11:AP74" si="7">AO11-$AO$10</f>
        <v>-0.543</v>
      </c>
      <c r="AQ11" s="245">
        <f>VLOOKUP($C11,Обработка!$B$16:$L$104,7,0)</f>
        <v>1</v>
      </c>
      <c r="AR11" s="246">
        <f t="shared" ref="AR11:AR74" si="8">AQ11-$AQ$10</f>
        <v>0.193</v>
      </c>
      <c r="AS11" s="247">
        <f>VLOOKUP($C11,Утилизация!$B$16:$L$104,6,0)</f>
        <v>0</v>
      </c>
      <c r="AT11" s="244">
        <f t="shared" ref="AT11:AT74" si="9">AS11-$AS$10</f>
        <v>-0.139</v>
      </c>
      <c r="AU11" s="245">
        <f>VLOOKUP($C11,Утилизация!$B$16:$L$104,7,0)</f>
        <v>0.47</v>
      </c>
      <c r="AV11" s="248">
        <f t="shared" ref="AV11:AV74" si="10">AU11-$AU$10</f>
        <v>0.184</v>
      </c>
      <c r="AW11" s="275" t="str">
        <f>VLOOKUP(C11,Захоронение!$B$16:$Q$104,16,0)</f>
        <v>765 приказ</v>
      </c>
      <c r="AX11" s="229"/>
      <c r="AY11" s="165"/>
      <c r="AZ11" s="165"/>
      <c r="BA11" s="166"/>
      <c r="BB11" s="276" t="str">
        <f>VLOOKUP(C11,'ДК ИП'!$B$16:$JO$104,5,0)</f>
        <v>небольшое</v>
      </c>
      <c r="BC11" s="277">
        <f>VLOOKUP(C11,Радар!$B$16:$G$104,6,0)</f>
        <v>0.0208007533654673</v>
      </c>
      <c r="BD11" s="278"/>
      <c r="BF11" s="290">
        <f t="shared" ref="BF11:BF74" si="11">(BU11+BV11+BW11+BX11+BY11*4+BZ11)/12</f>
        <v>1</v>
      </c>
      <c r="BI11" s="9">
        <f t="shared" ref="BI11:BI74" si="12">IF(CB11&gt;=1.3,2,IF(CB11&gt;=0.8,1,0))</f>
        <v>1</v>
      </c>
      <c r="BJ11" s="9">
        <f>VLOOKUP(C11,Штаб!$B$16:$C$104,2)</f>
        <v>0</v>
      </c>
      <c r="BK11" s="9">
        <f>VLOOKUP(C11,'РО - регионы'!$B$16:$C$104,2)</f>
        <v>1</v>
      </c>
      <c r="BL11" s="9">
        <f>VLOOKUP(C11,'РО - регионы'!$B$16:$L$104,11)</f>
        <v>2</v>
      </c>
      <c r="BM11" s="9">
        <f>VLOOKUP(C11,Спецтехника!$B$16:$C$104,2)</f>
        <v>1</v>
      </c>
      <c r="BN11" s="9">
        <f>VLOOKUP($C11,МНО!$B$16:$AB$104,6,0)</f>
        <v>2</v>
      </c>
      <c r="BO11" s="9">
        <f>VLOOKUP($C11,МНО!$B$16:$AB$104,4,0)</f>
        <v>0</v>
      </c>
      <c r="BP11" s="9">
        <f>VLOOKUP($C11,МНО!$B$16:$AB$104,5,0)</f>
        <v>0</v>
      </c>
      <c r="BQ11" s="9">
        <f>VLOOKUP($C11,Контейнеры!$B$16:$G$104,6,0)</f>
        <v>1</v>
      </c>
      <c r="BR11" s="9">
        <f>VLOOKUP($C11,Контейнеры!$B$16:$G$104,4,0)</f>
        <v>2</v>
      </c>
      <c r="BS11" s="9">
        <f>VLOOKUP($C11,Контейнеры!$B$16:$G$104,5,0)</f>
        <v>0</v>
      </c>
      <c r="BT11" s="9">
        <f>VLOOKUP($C11,'ДК МНО'!$B$16:$C$104,2,0)</f>
        <v>2</v>
      </c>
      <c r="BU11" s="9">
        <f>VLOOKUP($C11,Обработка!$B$16:$F$104,5,0)</f>
        <v>0</v>
      </c>
      <c r="BV11" s="9">
        <f>VLOOKUP($C11,Обработка!$B$16:$F$104,4,0)</f>
        <v>2</v>
      </c>
      <c r="BW11" s="9">
        <f>VLOOKUP($C11,Утилизация!$B$16:$F$104,5,0)</f>
        <v>0</v>
      </c>
      <c r="BX11" s="9">
        <f>VLOOKUP($C11,Утилизация!$B$16:$F$104,4,0)</f>
        <v>2</v>
      </c>
      <c r="BY11" s="9">
        <f>VLOOKUP($C11,Захоронение!$B$16:$C$104,2,0)</f>
        <v>2</v>
      </c>
      <c r="BZ11" s="9">
        <f>VLOOKUP($C11,'ДК ИП'!$B$16:$C$104,2,0)</f>
        <v>0</v>
      </c>
      <c r="CA11" s="9">
        <f>VLOOKUP(C11,Радар!$B$16:$G$104,2,0)</f>
        <v>0</v>
      </c>
      <c r="CB11" s="9">
        <f>SUMPRODUCT(BJ11:BZ11,$BJ$5:$BZ$5)</f>
        <v>1.2</v>
      </c>
    </row>
    <row r="12" ht="15.75" spans="1:80">
      <c r="A12" s="6" t="s">
        <v>129</v>
      </c>
      <c r="B12" s="137">
        <f t="shared" si="6"/>
        <v>2</v>
      </c>
      <c r="C12" s="3" t="s">
        <v>150</v>
      </c>
      <c r="D12" s="133" t="str">
        <f>VLOOKUP($C12,Штаб!$B$16:$J$104,6,0)</f>
        <v>✔️</v>
      </c>
      <c r="E12" s="134" t="str">
        <f>VLOOKUP($C12,Штаб!$B$16:$J$104,7,0)</f>
        <v/>
      </c>
      <c r="F12" s="134" t="str">
        <f>VLOOKUP($C12,Штаб!$B$16:$J$104,8,0)</f>
        <v/>
      </c>
      <c r="G12" s="135" t="str">
        <f>VLOOKUP($C12,Штаб!$B$16:$J$104,9,0)</f>
        <v/>
      </c>
      <c r="H12" s="138" t="str">
        <f>VLOOKUP(C12,'РО - регионы'!$B$16:$I$104,8,0)</f>
        <v>0 / 3 / 2 из 5</v>
      </c>
      <c r="I12" s="169"/>
      <c r="J12" s="137"/>
      <c r="K12" s="170"/>
      <c r="L12" s="170"/>
      <c r="M12" s="171"/>
      <c r="N12" s="172">
        <f>VLOOKUP(C12,Спецтехника!$B$16:$J$104,4,0)</f>
        <v>260</v>
      </c>
      <c r="O12" s="173">
        <f>VLOOKUP(C12,Спецтехника!$B$16:$J$104,5,0)</f>
        <v>260</v>
      </c>
      <c r="P12" s="173">
        <f>VLOOKUP(C12,Спецтехника!$B$16:$J$104,6,0)</f>
        <v>0</v>
      </c>
      <c r="Q12" s="196">
        <f>VLOOKUP(C12,Спецтехника!$B$16:$J$104,7,0)</f>
        <v>0</v>
      </c>
      <c r="R12" s="197"/>
      <c r="S12" s="137"/>
      <c r="T12" s="170"/>
      <c r="U12" s="170"/>
      <c r="V12" s="171"/>
      <c r="W12" s="174">
        <f>VLOOKUP($C12,МНО!$B$16:$AB$104,16,0)</f>
        <v>17035</v>
      </c>
      <c r="X12" s="175">
        <f>VLOOKUP($C12,МНО!$B$16:$AB$104,8,0)</f>
        <v>13606</v>
      </c>
      <c r="Y12" s="175">
        <f>VLOOKUP($C12,МНО!$B$16:$AB$104,11,0)</f>
        <v>3429</v>
      </c>
      <c r="Z12" s="212">
        <f>VLOOKUP($C12,МНО!$B$16:$AB$104,17,0)</f>
        <v>0.201291458761374</v>
      </c>
      <c r="AA12" s="213"/>
      <c r="AB12" s="214">
        <f>VLOOKUP($C12,МНО!$B$16:$AB$104,13,0)</f>
        <v>16.4395140271143</v>
      </c>
      <c r="AC12" s="215">
        <f>VLOOKUP($C12,МНО!$B$16:$AB$104,18,0)</f>
        <v>1</v>
      </c>
      <c r="AD12" s="172">
        <f>VLOOKUP($C12,Контейнеры!$B$16:$AB$104,16,0)</f>
        <v>28111</v>
      </c>
      <c r="AE12" s="173">
        <f>VLOOKUP($C12,Контейнеры!$B$16:$AB$104,8,0)</f>
        <v>23969</v>
      </c>
      <c r="AF12" s="173">
        <f>VLOOKUP($C12,Контейнеры!$B$16:$AB$104,11,0)</f>
        <v>4142</v>
      </c>
      <c r="AG12" s="216">
        <f>VLOOKUP($C12,Контейнеры!$B$16:$AB$104,17,0)</f>
        <v>0.14734445590694</v>
      </c>
      <c r="AH12" s="213"/>
      <c r="AI12" s="214">
        <f>VLOOKUP($C12,Контейнеры!$B$16:$AB$104,13,0)</f>
        <v>31.9551302989136</v>
      </c>
      <c r="AJ12" s="215">
        <f>VLOOKUP($C12,Контейнеры!$B$16:$AB$104,18,0)</f>
        <v>1</v>
      </c>
      <c r="AK12" s="231"/>
      <c r="AL12" s="170"/>
      <c r="AM12" s="170"/>
      <c r="AN12" s="232"/>
      <c r="AO12" s="249">
        <f>VLOOKUP($C12,Обработка!$B$16:$L$104,6,0)</f>
        <v>0.001</v>
      </c>
      <c r="AP12" s="250">
        <f t="shared" si="7"/>
        <v>-0.542</v>
      </c>
      <c r="AQ12" s="251">
        <f>VLOOKUP($C12,Обработка!$B$16:$L$104,7,0)</f>
        <v>0.237</v>
      </c>
      <c r="AR12" s="252">
        <f t="shared" si="8"/>
        <v>-0.57</v>
      </c>
      <c r="AS12" s="253">
        <f>VLOOKUP($C12,Утилизация!$B$16:$L$104,6,0)</f>
        <v>0</v>
      </c>
      <c r="AT12" s="251">
        <f t="shared" si="9"/>
        <v>-0.139</v>
      </c>
      <c r="AU12" s="251">
        <f>VLOOKUP($C12,Утилизация!$B$16:$L$104,7,0)</f>
        <v>0.1</v>
      </c>
      <c r="AV12" s="254">
        <f t="shared" si="10"/>
        <v>-0.186</v>
      </c>
      <c r="AW12" s="279" t="str">
        <f>VLOOKUP(C12,Захоронение!$B$16:$Q$104,16,0)</f>
        <v>белые пятна</v>
      </c>
      <c r="AX12" s="231"/>
      <c r="AY12" s="170"/>
      <c r="AZ12" s="170"/>
      <c r="BA12" s="171"/>
      <c r="BB12" s="280" t="str">
        <f>VLOOKUP(C12,'ДК ИП'!$B$16:$S$104,5,0)</f>
        <v>среднее</v>
      </c>
      <c r="BC12" s="281">
        <f>VLOOKUP(C12,Радар!$B$16:$G$104,6,0)</f>
        <v>4.69681355263351</v>
      </c>
      <c r="BD12" s="171"/>
      <c r="BF12" s="290">
        <f t="shared" si="11"/>
        <v>1.41666666666667</v>
      </c>
      <c r="BI12" s="9">
        <f t="shared" si="12"/>
        <v>1</v>
      </c>
      <c r="BJ12" s="9">
        <f>VLOOKUP(C12,Штаб!$B$16:$C$104,2)</f>
        <v>0</v>
      </c>
      <c r="BK12" s="9">
        <f>VLOOKUP(C12,'РО - регионы'!$B$16:$C$104,2)</f>
        <v>1</v>
      </c>
      <c r="BL12" s="9">
        <f>VLOOKUP(C12,'РО - регионы'!$B$16:$L$104,11)</f>
        <v>2</v>
      </c>
      <c r="BM12" s="9">
        <f>VLOOKUP(C12,Спецтехника!$B$16:$C$104,2)</f>
        <v>0</v>
      </c>
      <c r="BN12" s="9">
        <f>VLOOKUP($C12,МНО!$B$16:$AB$104,6,0)</f>
        <v>1</v>
      </c>
      <c r="BO12" s="9">
        <f>VLOOKUP($C12,МНО!$B$16:$AB$104,4,0)</f>
        <v>0</v>
      </c>
      <c r="BP12" s="9">
        <f>VLOOKUP($C12,МНО!$B$16:$AB$104,5,0)</f>
        <v>0</v>
      </c>
      <c r="BQ12" s="9">
        <f>VLOOKUP($C12,Контейнеры!$B$16:$G$104,6,0)</f>
        <v>0</v>
      </c>
      <c r="BR12" s="9">
        <f>VLOOKUP($C12,Контейнеры!$B$16:$G$104,4,0)</f>
        <v>0</v>
      </c>
      <c r="BS12" s="9">
        <f>VLOOKUP($C12,Контейнеры!$B$16:$G$104,5,0)</f>
        <v>0</v>
      </c>
      <c r="BT12" s="9">
        <f>VLOOKUP($C12,'ДК МНО'!$B$16:$C$104,2,0)</f>
        <v>2</v>
      </c>
      <c r="BU12" s="9">
        <f>VLOOKUP($C12,Обработка!$B$16:$F$104,5,0)</f>
        <v>2</v>
      </c>
      <c r="BV12" s="9">
        <f>VLOOKUP($C12,Обработка!$B$16:$F$104,4,0)</f>
        <v>2</v>
      </c>
      <c r="BW12" s="9">
        <f>VLOOKUP($C12,Утилизация!$B$16:$F$104,5,0)</f>
        <v>2</v>
      </c>
      <c r="BX12" s="9">
        <f>VLOOKUP($C12,Утилизация!$B$16:$F$104,4,0)</f>
        <v>2</v>
      </c>
      <c r="BY12" s="9">
        <f>VLOOKUP($C12,Захоронение!$B$16:$C$104,2,0)</f>
        <v>2</v>
      </c>
      <c r="BZ12" s="9">
        <f>VLOOKUP($C12,'ДК ИП'!$B$16:$C$104,2,0)</f>
        <v>1</v>
      </c>
      <c r="CA12" s="9">
        <f>VLOOKUP(C12,Радар!$B$16:$G$104,2,0)</f>
        <v>2</v>
      </c>
      <c r="CB12" s="9">
        <f>SUMPRODUCT(BJ12:BZ12,$BJ$5:$BZ$5)</f>
        <v>1.25</v>
      </c>
    </row>
    <row r="13" ht="15.75" spans="1:80">
      <c r="A13" s="6" t="s">
        <v>70</v>
      </c>
      <c r="B13" s="131">
        <f t="shared" si="6"/>
        <v>3</v>
      </c>
      <c r="C13" s="3" t="s">
        <v>133</v>
      </c>
      <c r="D13" s="133" t="str">
        <f>VLOOKUP($C13,Штаб!$B$16:$J$104,6,0)</f>
        <v>✔️</v>
      </c>
      <c r="E13" s="134" t="str">
        <f>VLOOKUP($C13,Штаб!$B$16:$J$104,7,0)</f>
        <v/>
      </c>
      <c r="F13" s="134" t="str">
        <f>VLOOKUP($C13,Штаб!$B$16:$J$104,8,0)</f>
        <v/>
      </c>
      <c r="G13" s="135" t="str">
        <f>VLOOKUP($C13,Штаб!$B$16:$J$104,9,0)</f>
        <v/>
      </c>
      <c r="H13" s="138" t="str">
        <f>VLOOKUP(C13,'РО - регионы'!$B$16:$I$104,8,0)</f>
        <v>0 / 1 / 0 из 1</v>
      </c>
      <c r="I13" s="169"/>
      <c r="J13" s="137"/>
      <c r="K13" s="170"/>
      <c r="L13" s="170"/>
      <c r="M13" s="171"/>
      <c r="N13" s="174">
        <f>VLOOKUP(C13,Спецтехника!$B$16:$J$104,4,0)</f>
        <v>256</v>
      </c>
      <c r="O13" s="175">
        <f>VLOOKUP(C13,Спецтехника!$B$16:$J$104,5,0)</f>
        <v>224</v>
      </c>
      <c r="P13" s="175">
        <f>VLOOKUP(C13,Спецтехника!$B$16:$J$104,6,0)</f>
        <v>32</v>
      </c>
      <c r="Q13" s="198">
        <f>VLOOKUP(C13,Спецтехника!$B$16:$J$104,7,0)</f>
        <v>0.125</v>
      </c>
      <c r="R13" s="197"/>
      <c r="S13" s="137"/>
      <c r="T13" s="170"/>
      <c r="U13" s="170"/>
      <c r="V13" s="171"/>
      <c r="W13" s="172">
        <f>VLOOKUP($C13,МНО!$B$16:$AB$104,16,0)</f>
        <v>12496</v>
      </c>
      <c r="X13" s="173">
        <f>VLOOKUP($C13,МНО!$B$16:$AB$104,8,0)</f>
        <v>11033</v>
      </c>
      <c r="Y13" s="173">
        <f>VLOOKUP($C13,МНО!$B$16:$AB$104,11,0)</f>
        <v>1463</v>
      </c>
      <c r="Z13" s="216">
        <f>VLOOKUP($C13,МНО!$B$16:$AB$104,17,0)</f>
        <v>0.117077464788732</v>
      </c>
      <c r="AA13" s="213"/>
      <c r="AB13" s="214">
        <f>VLOOKUP($C13,МНО!$B$16:$AB$104,13,0)</f>
        <v>10.5560716766683</v>
      </c>
      <c r="AC13" s="215">
        <f>VLOOKUP($C13,МНО!$B$16:$AB$104,18,0)</f>
        <v>1</v>
      </c>
      <c r="AD13" s="172">
        <f>VLOOKUP($C13,Контейнеры!$B$16:$AB$104,16,0)</f>
        <v>28980</v>
      </c>
      <c r="AE13" s="173">
        <f>VLOOKUP($C13,Контейнеры!$B$16:$AB$104,8,0)</f>
        <v>25191</v>
      </c>
      <c r="AF13" s="173">
        <f>VLOOKUP($C13,Контейнеры!$B$16:$AB$104,11,0)</f>
        <v>3789</v>
      </c>
      <c r="AG13" s="216">
        <f>VLOOKUP($C13,Контейнеры!$B$16:$AB$104,17,0)</f>
        <v>0.130745341614907</v>
      </c>
      <c r="AH13" s="213"/>
      <c r="AI13" s="214">
        <f>VLOOKUP($C13,Контейнеры!$B$16:$AB$104,13,0)</f>
        <v>26.354608682552</v>
      </c>
      <c r="AJ13" s="215">
        <f>VLOOKUP($C13,Контейнеры!$B$16:$AB$104,18,0)</f>
        <v>1</v>
      </c>
      <c r="AK13" s="231"/>
      <c r="AL13" s="170"/>
      <c r="AM13" s="170"/>
      <c r="AN13" s="232"/>
      <c r="AO13" s="249">
        <f>VLOOKUP($C13,Обработка!$B$16:$L$104,6,0)</f>
        <v>0.099</v>
      </c>
      <c r="AP13" s="250">
        <f t="shared" si="7"/>
        <v>-0.444</v>
      </c>
      <c r="AQ13" s="250">
        <f>VLOOKUP($C13,Обработка!$B$16:$L$104,7,0)</f>
        <v>1</v>
      </c>
      <c r="AR13" s="255">
        <f t="shared" si="8"/>
        <v>0.193</v>
      </c>
      <c r="AS13" s="253">
        <f>VLOOKUP($C13,Утилизация!$B$16:$L$104,6,0)</f>
        <v>0.003</v>
      </c>
      <c r="AT13" s="251">
        <f t="shared" si="9"/>
        <v>-0.136</v>
      </c>
      <c r="AU13" s="250">
        <f>VLOOKUP($C13,Утилизация!$B$16:$L$104,7,0)</f>
        <v>0.55</v>
      </c>
      <c r="AV13" s="256">
        <f t="shared" si="10"/>
        <v>0.264</v>
      </c>
      <c r="AW13" s="279" t="str">
        <f>VLOOKUP(C13,Захоронение!$B$16:$Q$104,16,0)</f>
        <v>765 приказ</v>
      </c>
      <c r="AX13" s="231"/>
      <c r="AY13" s="170"/>
      <c r="AZ13" s="170"/>
      <c r="BA13" s="171"/>
      <c r="BB13" s="280" t="str">
        <f>VLOOKUP(C13,'ДК ИП'!$B$16:$S$104,5,0)</f>
        <v>небольшое</v>
      </c>
      <c r="BC13" s="282">
        <f>VLOOKUP(C13,Радар!$B$16:$G$104,6,0)</f>
        <v>0.0177852545593023</v>
      </c>
      <c r="BD13" s="171"/>
      <c r="BF13" s="290">
        <f t="shared" si="11"/>
        <v>1</v>
      </c>
      <c r="BI13" s="9">
        <f t="shared" si="12"/>
        <v>1</v>
      </c>
      <c r="BJ13" s="9">
        <f>VLOOKUP(C13,Штаб!$B$16:$C$104,2)</f>
        <v>0</v>
      </c>
      <c r="BK13" s="9">
        <f>VLOOKUP(C13,'РО - регионы'!$B$16:$C$104,2)</f>
        <v>1</v>
      </c>
      <c r="BL13" s="9">
        <f>VLOOKUP(C13,'РО - регионы'!$B$16:$L$104,11)</f>
        <v>2</v>
      </c>
      <c r="BM13" s="9">
        <f>VLOOKUP(C13,Спецтехника!$B$16:$C$104,2)</f>
        <v>1</v>
      </c>
      <c r="BN13" s="9">
        <f>VLOOKUP($C13,МНО!$B$16:$AB$104,6,0)</f>
        <v>0</v>
      </c>
      <c r="BO13" s="9">
        <f>VLOOKUP($C13,МНО!$B$16:$AB$104,4,0)</f>
        <v>0</v>
      </c>
      <c r="BP13" s="9">
        <f>VLOOKUP($C13,МНО!$B$16:$AB$104,5,0)</f>
        <v>0</v>
      </c>
      <c r="BQ13" s="9">
        <f>VLOOKUP($C13,Контейнеры!$B$16:$G$104,6,0)</f>
        <v>0</v>
      </c>
      <c r="BR13" s="9">
        <f>VLOOKUP($C13,Контейнеры!$B$16:$G$104,4,0)</f>
        <v>0</v>
      </c>
      <c r="BS13" s="9">
        <f>VLOOKUP($C13,Контейнеры!$B$16:$G$104,5,0)</f>
        <v>0</v>
      </c>
      <c r="BT13" s="9">
        <f>VLOOKUP($C13,'ДК МНО'!$B$16:$C$104,2,0)</f>
        <v>2</v>
      </c>
      <c r="BU13" s="9">
        <f>VLOOKUP($C13,Обработка!$B$16:$F$104,5,0)</f>
        <v>0</v>
      </c>
      <c r="BV13" s="9">
        <f>VLOOKUP($C13,Обработка!$B$16:$F$104,4,0)</f>
        <v>2</v>
      </c>
      <c r="BW13" s="9">
        <f>VLOOKUP($C13,Утилизация!$B$16:$F$104,5,0)</f>
        <v>0</v>
      </c>
      <c r="BX13" s="9">
        <f>VLOOKUP($C13,Утилизация!$B$16:$F$104,4,0)</f>
        <v>2</v>
      </c>
      <c r="BY13" s="9">
        <f>VLOOKUP($C13,Захоронение!$B$16:$C$104,2,0)</f>
        <v>2</v>
      </c>
      <c r="BZ13" s="9">
        <f>VLOOKUP($C13,'ДК ИП'!$B$16:$C$104,2,0)</f>
        <v>0</v>
      </c>
      <c r="CA13" s="9">
        <f>VLOOKUP(C13,Радар!$B$16:$G$104,2,0)</f>
        <v>1</v>
      </c>
      <c r="CB13" s="9">
        <f>SUMPRODUCT(BJ13:BZ13,$BJ$5:$BZ$5)</f>
        <v>0.95</v>
      </c>
    </row>
    <row r="14" ht="15.75" spans="1:80">
      <c r="A14" s="6" t="s">
        <v>85</v>
      </c>
      <c r="B14" s="137">
        <f t="shared" si="6"/>
        <v>4</v>
      </c>
      <c r="C14" s="3" t="s">
        <v>121</v>
      </c>
      <c r="D14" s="133" t="str">
        <f>VLOOKUP($C14,Штаб!$B$16:$J$104,6,0)</f>
        <v/>
      </c>
      <c r="E14" s="134" t="str">
        <f>VLOOKUP($C14,Штаб!$B$16:$J$104,7,0)</f>
        <v/>
      </c>
      <c r="F14" s="134" t="str">
        <f>VLOOKUP($C14,Штаб!$B$16:$J$104,8,0)</f>
        <v>✔️</v>
      </c>
      <c r="G14" s="135" t="str">
        <f>VLOOKUP($C14,Штаб!$B$16:$J$104,9,0)</f>
        <v/>
      </c>
      <c r="H14" s="139" t="str">
        <f>VLOOKUP(C14,'РО - регионы'!$B$16:$I$104,8,0)</f>
        <v>0 / 0 / 2 из 2</v>
      </c>
      <c r="I14" s="169"/>
      <c r="J14" s="137"/>
      <c r="K14" s="170"/>
      <c r="L14" s="170"/>
      <c r="M14" s="171"/>
      <c r="N14" s="172">
        <f>VLOOKUP(C14,Спецтехника!$B$16:$J$104,4,0)</f>
        <v>127</v>
      </c>
      <c r="O14" s="173">
        <f>VLOOKUP(C14,Спецтехника!$B$16:$J$104,5,0)</f>
        <v>127</v>
      </c>
      <c r="P14" s="173">
        <f>VLOOKUP(C14,Спецтехника!$B$16:$J$104,6,0)</f>
        <v>0</v>
      </c>
      <c r="Q14" s="196">
        <f>VLOOKUP(C14,Спецтехника!$B$16:$J$104,7,0)</f>
        <v>0</v>
      </c>
      <c r="R14" s="197"/>
      <c r="S14" s="137"/>
      <c r="T14" s="170"/>
      <c r="U14" s="170"/>
      <c r="V14" s="171"/>
      <c r="W14" s="172">
        <f>VLOOKUP($C14,МНО!$B$16:$AB$104,16,0)</f>
        <v>4217</v>
      </c>
      <c r="X14" s="173">
        <f>VLOOKUP($C14,МНО!$B$16:$AB$104,8,0)</f>
        <v>4098</v>
      </c>
      <c r="Y14" s="173">
        <f>VLOOKUP($C14,МНО!$B$16:$AB$104,11,0)</f>
        <v>119</v>
      </c>
      <c r="Z14" s="216">
        <f>VLOOKUP($C14,МНО!$B$16:$AB$104,17,0)</f>
        <v>0.0282191131135879</v>
      </c>
      <c r="AA14" s="213"/>
      <c r="AB14" s="214">
        <f>VLOOKUP($C14,МНО!$B$16:$AB$104,13,0)</f>
        <v>4.28241315513367</v>
      </c>
      <c r="AC14" s="215">
        <f>VLOOKUP($C14,МНО!$B$16:$AB$104,18,0)</f>
        <v>0.314553269880258</v>
      </c>
      <c r="AD14" s="174">
        <f>VLOOKUP($C14,Контейнеры!$B$16:$AB$104,16,0)</f>
        <v>8364</v>
      </c>
      <c r="AE14" s="175">
        <f>VLOOKUP($C14,Контейнеры!$B$16:$AB$104,8,0)</f>
        <v>6951</v>
      </c>
      <c r="AF14" s="175">
        <f>VLOOKUP($C14,Контейнеры!$B$16:$AB$104,11,0)</f>
        <v>1413</v>
      </c>
      <c r="AG14" s="212">
        <f>VLOOKUP($C14,Контейнеры!$B$16:$AB$104,17,0)</f>
        <v>0.168938307030129</v>
      </c>
      <c r="AH14" s="213"/>
      <c r="AI14" s="214">
        <f>VLOOKUP($C14,Контейнеры!$B$16:$AB$104,13,0)</f>
        <v>7.34444950440022</v>
      </c>
      <c r="AJ14" s="215">
        <f>VLOOKUP($C14,Контейнеры!$B$16:$AB$104,18,0)</f>
        <v>0.297127468581688</v>
      </c>
      <c r="AK14" s="231"/>
      <c r="AL14" s="170"/>
      <c r="AM14" s="170"/>
      <c r="AN14" s="232"/>
      <c r="AO14" s="257">
        <f>VLOOKUP($C14,Обработка!$B$16:$L$104,6,0)</f>
        <v>0.721</v>
      </c>
      <c r="AP14" s="250">
        <f t="shared" si="7"/>
        <v>0.178</v>
      </c>
      <c r="AQ14" s="250">
        <f>VLOOKUP($C14,Обработка!$B$16:$L$104,7,0)</f>
        <v>0.9</v>
      </c>
      <c r="AR14" s="255">
        <f t="shared" si="8"/>
        <v>0.093</v>
      </c>
      <c r="AS14" s="258">
        <f>VLOOKUP($C14,Утилизация!$B$16:$L$104,6,0)</f>
        <v>0.13</v>
      </c>
      <c r="AT14" s="259">
        <f t="shared" si="9"/>
        <v>-0.00900000000000001</v>
      </c>
      <c r="AU14" s="259">
        <f>VLOOKUP($C14,Утилизация!$B$16:$L$104,7,0)</f>
        <v>0.251</v>
      </c>
      <c r="AV14" s="260">
        <f t="shared" si="10"/>
        <v>-0.035</v>
      </c>
      <c r="AW14" s="283" t="str">
        <f>VLOOKUP(C14,Захоронение!$B$16:$Q$104,16,0)</f>
        <v>перегруз</v>
      </c>
      <c r="AX14" s="231"/>
      <c r="AY14" s="170"/>
      <c r="AZ14" s="170"/>
      <c r="BA14" s="171"/>
      <c r="BB14" s="280" t="str">
        <f>VLOOKUP(C14,'ДК ИП'!$B$16:$S$104,5,0)</f>
        <v>существенное</v>
      </c>
      <c r="BC14" s="281">
        <f>VLOOKUP(C14,Радар!$B$16:$G$104,6,0)</f>
        <v>0.148981064612348</v>
      </c>
      <c r="BD14" s="171"/>
      <c r="BF14" s="291">
        <f t="shared" si="11"/>
        <v>0.666666666666667</v>
      </c>
      <c r="BI14" s="9">
        <f t="shared" si="12"/>
        <v>0</v>
      </c>
      <c r="BJ14" s="9">
        <f>VLOOKUP(C14,Штаб!$B$16:$C$104,2)</f>
        <v>1</v>
      </c>
      <c r="BK14" s="9">
        <f>VLOOKUP(C14,'РО - регионы'!$B$16:$C$104,2)</f>
        <v>0</v>
      </c>
      <c r="BL14" s="9">
        <f>VLOOKUP(C14,'РО - регионы'!$B$16:$L$104,11)</f>
        <v>0</v>
      </c>
      <c r="BM14" s="9">
        <f>VLOOKUP(C14,Спецтехника!$B$16:$C$104,2)</f>
        <v>0</v>
      </c>
      <c r="BN14" s="9">
        <f>VLOOKUP($C14,МНО!$B$16:$AB$104,6,0)</f>
        <v>0</v>
      </c>
      <c r="BO14" s="9">
        <f>VLOOKUP($C14,МНО!$B$16:$AB$104,4,0)</f>
        <v>1</v>
      </c>
      <c r="BP14" s="9">
        <f>VLOOKUP($C14,МНО!$B$16:$AB$104,5,0)</f>
        <v>2</v>
      </c>
      <c r="BQ14" s="9">
        <f>VLOOKUP($C14,Контейнеры!$B$16:$G$104,6,0)</f>
        <v>1</v>
      </c>
      <c r="BR14" s="9">
        <f>VLOOKUP($C14,Контейнеры!$B$16:$G$104,4,0)</f>
        <v>0</v>
      </c>
      <c r="BS14" s="9">
        <f>VLOOKUP($C14,Контейнеры!$B$16:$G$104,5,0)</f>
        <v>2</v>
      </c>
      <c r="BT14" s="9">
        <f>VLOOKUP($C14,'ДК МНО'!$B$16:$C$104,2,0)</f>
        <v>2</v>
      </c>
      <c r="BU14" s="9">
        <f>VLOOKUP($C14,Обработка!$B$16:$F$104,5,0)</f>
        <v>0</v>
      </c>
      <c r="BV14" s="9">
        <f>VLOOKUP($C14,Обработка!$B$16:$F$104,4,0)</f>
        <v>0</v>
      </c>
      <c r="BW14" s="9">
        <f>VLOOKUP($C14,Утилизация!$B$16:$F$104,5,0)</f>
        <v>1</v>
      </c>
      <c r="BX14" s="9">
        <f>VLOOKUP($C14,Утилизация!$B$16:$F$104,4,0)</f>
        <v>1</v>
      </c>
      <c r="BY14" s="9">
        <f>VLOOKUP($C14,Захоронение!$B$16:$C$104,2,0)</f>
        <v>1</v>
      </c>
      <c r="BZ14" s="9">
        <f>VLOOKUP($C14,'ДК ИП'!$B$16:$C$104,2,0)</f>
        <v>2</v>
      </c>
      <c r="CA14" s="9">
        <f>VLOOKUP(C14,Радар!$B$16:$G$104,2,0)</f>
        <v>2</v>
      </c>
      <c r="CB14" s="9">
        <f>SUMPRODUCT(BJ14:BZ14,$BJ$5:$BZ$5)</f>
        <v>0.65</v>
      </c>
    </row>
    <row r="15" ht="15.75" spans="1:80">
      <c r="A15" s="6" t="s">
        <v>67</v>
      </c>
      <c r="B15" s="131">
        <f t="shared" si="6"/>
        <v>5</v>
      </c>
      <c r="C15" s="3" t="s">
        <v>106</v>
      </c>
      <c r="D15" s="133" t="str">
        <f>VLOOKUP($C15,Штаб!$B$16:$J$104,6,0)</f>
        <v/>
      </c>
      <c r="E15" s="134" t="str">
        <f>VLOOKUP($C15,Штаб!$B$16:$J$104,7,0)</f>
        <v/>
      </c>
      <c r="F15" s="134" t="str">
        <f>VLOOKUP($C15,Штаб!$B$16:$J$104,8,0)</f>
        <v/>
      </c>
      <c r="G15" s="135" t="str">
        <f>VLOOKUP($C15,Штаб!$B$16:$J$104,9,0)</f>
        <v>✔️</v>
      </c>
      <c r="H15" s="139" t="str">
        <f>VLOOKUP(C15,'РО - регионы'!$B$16:$I$104,8,0)</f>
        <v>0 / 0 / 1 из 1</v>
      </c>
      <c r="I15" s="169"/>
      <c r="J15" s="137"/>
      <c r="K15" s="170"/>
      <c r="L15" s="170"/>
      <c r="M15" s="171"/>
      <c r="N15" s="172">
        <f>VLOOKUP(C15,Спецтехника!$B$16:$J$104,4,0)</f>
        <v>242</v>
      </c>
      <c r="O15" s="173">
        <f>VLOOKUP(C15,Спецтехника!$B$16:$J$104,5,0)</f>
        <v>223</v>
      </c>
      <c r="P15" s="173">
        <f>VLOOKUP(C15,Спецтехника!$B$16:$J$104,6,0)</f>
        <v>19</v>
      </c>
      <c r="Q15" s="196">
        <f>VLOOKUP(C15,Спецтехника!$B$16:$J$104,7,0)</f>
        <v>0.0785123966942149</v>
      </c>
      <c r="R15" s="197"/>
      <c r="S15" s="137"/>
      <c r="T15" s="170"/>
      <c r="U15" s="170"/>
      <c r="V15" s="171"/>
      <c r="W15" s="172">
        <f>VLOOKUP($C15,МНО!$B$16:$AB$104,16,0)</f>
        <v>25727</v>
      </c>
      <c r="X15" s="173">
        <f>VLOOKUP($C15,МНО!$B$16:$AB$104,8,0)</f>
        <v>23354</v>
      </c>
      <c r="Y15" s="173">
        <f>VLOOKUP($C15,МНО!$B$16:$AB$104,11,0)</f>
        <v>2373</v>
      </c>
      <c r="Z15" s="216">
        <f>VLOOKUP($C15,МНО!$B$16:$AB$104,17,0)</f>
        <v>0.0922377269016986</v>
      </c>
      <c r="AA15" s="213"/>
      <c r="AB15" s="214">
        <f>VLOOKUP($C15,МНО!$B$16:$AB$104,13,0)</f>
        <v>15.2326411263318</v>
      </c>
      <c r="AC15" s="215">
        <f>VLOOKUP($C15,МНО!$B$16:$AB$104,18,0)</f>
        <v>1</v>
      </c>
      <c r="AD15" s="174">
        <f>VLOOKUP($C15,Контейнеры!$B$16:$AB$104,16,0)</f>
        <v>44882</v>
      </c>
      <c r="AE15" s="175">
        <f>VLOOKUP($C15,Контейнеры!$B$16:$AB$104,8,0)</f>
        <v>35519</v>
      </c>
      <c r="AF15" s="175">
        <f>VLOOKUP($C15,Контейнеры!$B$16:$AB$104,11,0)</f>
        <v>9363</v>
      </c>
      <c r="AG15" s="212">
        <f>VLOOKUP($C15,Контейнеры!$B$16:$AB$104,17,0)</f>
        <v>0.208613698141794</v>
      </c>
      <c r="AH15" s="213"/>
      <c r="AI15" s="214">
        <f>VLOOKUP($C15,Контейнеры!$B$16:$AB$104,13,0)</f>
        <v>23.6689347813194</v>
      </c>
      <c r="AJ15" s="215">
        <f>VLOOKUP($C15,Контейнеры!$B$16:$AB$104,18,0)</f>
        <v>1</v>
      </c>
      <c r="AK15" s="231"/>
      <c r="AL15" s="170"/>
      <c r="AM15" s="170"/>
      <c r="AN15" s="232"/>
      <c r="AO15" s="257">
        <f>VLOOKUP($C15,Обработка!$B$16:$L$104,6,0)</f>
        <v>0.673</v>
      </c>
      <c r="AP15" s="250">
        <f t="shared" si="7"/>
        <v>0.13</v>
      </c>
      <c r="AQ15" s="251">
        <f>VLOOKUP($C15,Обработка!$B$16:$L$104,7,0)</f>
        <v>0.32</v>
      </c>
      <c r="AR15" s="252">
        <f t="shared" si="8"/>
        <v>-0.487</v>
      </c>
      <c r="AS15" s="253">
        <f>VLOOKUP($C15,Утилизация!$B$16:$L$104,6,0)</f>
        <v>0.064</v>
      </c>
      <c r="AT15" s="251">
        <f t="shared" si="9"/>
        <v>-0.075</v>
      </c>
      <c r="AU15" s="251">
        <f>VLOOKUP($C15,Утилизация!$B$16:$L$104,7,0)</f>
        <v>0.046</v>
      </c>
      <c r="AV15" s="254">
        <f t="shared" si="10"/>
        <v>-0.24</v>
      </c>
      <c r="AW15" s="283" t="str">
        <f>VLOOKUP(C15,Захоронение!$B$16:$Q$104,16,0)</f>
        <v>перегруз</v>
      </c>
      <c r="AX15" s="231"/>
      <c r="AY15" s="170"/>
      <c r="AZ15" s="170"/>
      <c r="BA15" s="171"/>
      <c r="BB15" s="280" t="str">
        <f>VLOOKUP(C15,'ДК ИП'!$B$16:$S$104,5,0)</f>
        <v>не подписана</v>
      </c>
      <c r="BC15" s="281">
        <f>VLOOKUP(C15,Радар!$B$16:$G$104,6,0)</f>
        <v>0.297869136159514</v>
      </c>
      <c r="BD15" s="171"/>
      <c r="BF15" s="291">
        <f t="shared" si="11"/>
        <v>0.833333333333333</v>
      </c>
      <c r="BI15" s="9">
        <f t="shared" si="12"/>
        <v>0</v>
      </c>
      <c r="BJ15" s="9">
        <f>VLOOKUP(C15,Штаб!$B$16:$C$104,2)</f>
        <v>2</v>
      </c>
      <c r="BK15" s="9">
        <f>VLOOKUP(C15,'РО - регионы'!$B$16:$C$104,2)</f>
        <v>0</v>
      </c>
      <c r="BL15" s="9">
        <f>VLOOKUP(C15,'РО - регионы'!$B$16:$L$104,11)</f>
        <v>0</v>
      </c>
      <c r="BM15" s="9">
        <f>VLOOKUP(C15,Спецтехника!$B$16:$C$104,2)</f>
        <v>0</v>
      </c>
      <c r="BN15" s="9">
        <f>VLOOKUP($C15,МНО!$B$16:$AB$104,6,0)</f>
        <v>0</v>
      </c>
      <c r="BO15" s="9">
        <f>VLOOKUP($C15,МНО!$B$16:$AB$104,4,0)</f>
        <v>0</v>
      </c>
      <c r="BP15" s="9">
        <f>VLOOKUP($C15,МНО!$B$16:$AB$104,5,0)</f>
        <v>0</v>
      </c>
      <c r="BQ15" s="9">
        <f>VLOOKUP($C15,Контейнеры!$B$16:$G$104,6,0)</f>
        <v>1</v>
      </c>
      <c r="BR15" s="9">
        <f>VLOOKUP($C15,Контейнеры!$B$16:$G$104,4,0)</f>
        <v>0</v>
      </c>
      <c r="BS15" s="9">
        <f>VLOOKUP($C15,Контейнеры!$B$16:$G$104,5,0)</f>
        <v>0</v>
      </c>
      <c r="BT15" s="9">
        <f>VLOOKUP($C15,'ДК МНО'!$B$16:$C$104,2,0)</f>
        <v>2</v>
      </c>
      <c r="BU15" s="9">
        <f>VLOOKUP($C15,Обработка!$B$16:$F$104,5,0)</f>
        <v>2</v>
      </c>
      <c r="BV15" s="9">
        <f>VLOOKUP($C15,Обработка!$B$16:$F$104,4,0)</f>
        <v>0</v>
      </c>
      <c r="BW15" s="9">
        <f>VLOOKUP($C15,Утилизация!$B$16:$F$104,5,0)</f>
        <v>2</v>
      </c>
      <c r="BX15" s="9">
        <f>VLOOKUP($C15,Утилизация!$B$16:$F$104,4,0)</f>
        <v>2</v>
      </c>
      <c r="BY15" s="9">
        <f>VLOOKUP($C15,Захоронение!$B$16:$C$104,2,0)</f>
        <v>1</v>
      </c>
      <c r="BZ15" s="9">
        <f>VLOOKUP($C15,'ДК ИП'!$B$16:$C$104,2,0)</f>
        <v>0</v>
      </c>
      <c r="CA15" s="9">
        <f>VLOOKUP(C15,Радар!$B$16:$G$104,2,0)</f>
        <v>2</v>
      </c>
      <c r="CB15" s="9">
        <f>SUMPRODUCT(BJ15:BZ15,$BJ$5:$BZ$5)</f>
        <v>0.6</v>
      </c>
    </row>
    <row r="16" ht="15.75" spans="1:80">
      <c r="A16" s="6" t="s">
        <v>67</v>
      </c>
      <c r="B16" s="137">
        <f t="shared" si="6"/>
        <v>6</v>
      </c>
      <c r="C16" s="3" t="s">
        <v>91</v>
      </c>
      <c r="D16" s="133" t="str">
        <f>VLOOKUP($C16,Штаб!$B$16:$J$104,6,0)</f>
        <v>✔️</v>
      </c>
      <c r="E16" s="134" t="str">
        <f>VLOOKUP($C16,Штаб!$B$16:$J$104,7,0)</f>
        <v/>
      </c>
      <c r="F16" s="134" t="str">
        <f>VLOOKUP($C16,Штаб!$B$16:$J$104,8,0)</f>
        <v/>
      </c>
      <c r="G16" s="135" t="str">
        <f>VLOOKUP($C16,Штаб!$B$16:$J$104,9,0)</f>
        <v/>
      </c>
      <c r="H16" s="139" t="str">
        <f>VLOOKUP(C16,'РО - регионы'!$B$16:$I$104,8,0)</f>
        <v>0 / 0 / 2 из 2</v>
      </c>
      <c r="I16" s="169"/>
      <c r="J16" s="137"/>
      <c r="K16" s="170"/>
      <c r="L16" s="170"/>
      <c r="M16" s="171"/>
      <c r="N16" s="172">
        <f>VLOOKUP(C16,Спецтехника!$B$16:$J$104,4,0)</f>
        <v>234</v>
      </c>
      <c r="O16" s="173">
        <f>VLOOKUP(C16,Спецтехника!$B$16:$J$104,5,0)</f>
        <v>227</v>
      </c>
      <c r="P16" s="173">
        <f>VLOOKUP(C16,Спецтехника!$B$16:$J$104,6,0)</f>
        <v>7</v>
      </c>
      <c r="Q16" s="196">
        <f>VLOOKUP(C16,Спецтехника!$B$16:$J$104,7,0)</f>
        <v>0.0299145299145299</v>
      </c>
      <c r="R16" s="197"/>
      <c r="S16" s="137"/>
      <c r="T16" s="170"/>
      <c r="U16" s="170"/>
      <c r="V16" s="171"/>
      <c r="W16" s="174">
        <f>VLOOKUP($C16,МНО!$B$16:$AB$104,16,0)</f>
        <v>9792</v>
      </c>
      <c r="X16" s="175">
        <f>VLOOKUP($C16,МНО!$B$16:$AB$104,8,0)</f>
        <v>6622</v>
      </c>
      <c r="Y16" s="175">
        <f>VLOOKUP($C16,МНО!$B$16:$AB$104,11,0)</f>
        <v>3170</v>
      </c>
      <c r="Z16" s="212">
        <f>VLOOKUP($C16,МНО!$B$16:$AB$104,17,0)</f>
        <v>0.323733660130719</v>
      </c>
      <c r="AA16" s="213"/>
      <c r="AB16" s="214">
        <f>VLOOKUP($C16,МНО!$B$16:$AB$104,13,0)</f>
        <v>3.99333335667592</v>
      </c>
      <c r="AC16" s="215">
        <f>VLOOKUP($C16,МНО!$B$16:$AB$104,18,0)</f>
        <v>1</v>
      </c>
      <c r="AD16" s="172">
        <f>VLOOKUP($C16,Контейнеры!$B$16:$AB$104,16,0)</f>
        <v>12742</v>
      </c>
      <c r="AE16" s="173">
        <f>VLOOKUP($C16,Контейнеры!$B$16:$AB$104,8,0)</f>
        <v>11721</v>
      </c>
      <c r="AF16" s="173">
        <f>VLOOKUP($C16,Контейнеры!$B$16:$AB$104,11,0)</f>
        <v>1021</v>
      </c>
      <c r="AG16" s="216">
        <f>VLOOKUP($C16,Контейнеры!$B$16:$AB$104,17,0)</f>
        <v>0.0801287082090724</v>
      </c>
      <c r="AH16" s="213"/>
      <c r="AI16" s="214">
        <f>VLOOKUP($C16,Контейнеры!$B$16:$AB$104,13,0)</f>
        <v>10.2599430674262</v>
      </c>
      <c r="AJ16" s="215">
        <f>VLOOKUP($C16,Контейнеры!$B$16:$AB$104,18,0)</f>
        <v>0.914274570982839</v>
      </c>
      <c r="AK16" s="231"/>
      <c r="AL16" s="170"/>
      <c r="AM16" s="170"/>
      <c r="AN16" s="232"/>
      <c r="AO16" s="257">
        <f>VLOOKUP($C16,Обработка!$B$16:$L$104,6,0)</f>
        <v>0.613</v>
      </c>
      <c r="AP16" s="250">
        <f t="shared" si="7"/>
        <v>0.07</v>
      </c>
      <c r="AQ16" s="250">
        <f>VLOOKUP($C16,Обработка!$B$16:$L$104,7,0)</f>
        <v>0.85</v>
      </c>
      <c r="AR16" s="255">
        <f t="shared" si="8"/>
        <v>0.0429999999999999</v>
      </c>
      <c r="AS16" s="253">
        <f>VLOOKUP($C16,Утилизация!$B$16:$L$104,6,0)</f>
        <v>0.037</v>
      </c>
      <c r="AT16" s="251">
        <f t="shared" si="9"/>
        <v>-0.102</v>
      </c>
      <c r="AU16" s="250">
        <f>VLOOKUP($C16,Утилизация!$B$16:$L$104,7,0)</f>
        <v>0.344</v>
      </c>
      <c r="AV16" s="256">
        <f t="shared" si="10"/>
        <v>0.058</v>
      </c>
      <c r="AW16" s="283" t="str">
        <f>VLOOKUP(C16,Захоронение!$B$16:$Q$104,16,0)</f>
        <v>765 приказ</v>
      </c>
      <c r="AX16" s="231"/>
      <c r="AY16" s="170"/>
      <c r="AZ16" s="170"/>
      <c r="BA16" s="171"/>
      <c r="BB16" s="280" t="str">
        <f>VLOOKUP(C16,'ДК ИП'!$B$16:$S$104,5,0)</f>
        <v>небольшое</v>
      </c>
      <c r="BC16" s="281">
        <f>VLOOKUP(C16,Радар!$B$16:$G$104,6,0)</f>
        <v>0.0962881782626812</v>
      </c>
      <c r="BD16" s="171"/>
      <c r="BF16" s="291">
        <f t="shared" si="11"/>
        <v>0.5</v>
      </c>
      <c r="BI16" s="9">
        <f t="shared" si="12"/>
        <v>0</v>
      </c>
      <c r="BJ16" s="9">
        <f>VLOOKUP(C16,Штаб!$B$16:$C$104,2)</f>
        <v>0</v>
      </c>
      <c r="BK16" s="9">
        <f>VLOOKUP(C16,'РО - регионы'!$B$16:$C$104,2)</f>
        <v>0</v>
      </c>
      <c r="BL16" s="9">
        <f>VLOOKUP(C16,'РО - регионы'!$B$16:$L$104,11)</f>
        <v>0</v>
      </c>
      <c r="BM16" s="9">
        <f>VLOOKUP(C16,Спецтехника!$B$16:$C$104,2)</f>
        <v>0</v>
      </c>
      <c r="BN16" s="9">
        <f>VLOOKUP($C16,МНО!$B$16:$AB$104,6,0)</f>
        <v>1</v>
      </c>
      <c r="BO16" s="9">
        <f>VLOOKUP($C16,МНО!$B$16:$AB$104,4,0)</f>
        <v>1</v>
      </c>
      <c r="BP16" s="9">
        <f>VLOOKUP($C16,МНО!$B$16:$AB$104,5,0)</f>
        <v>0</v>
      </c>
      <c r="BQ16" s="9">
        <f>VLOOKUP($C16,Контейнеры!$B$16:$G$104,6,0)</f>
        <v>0</v>
      </c>
      <c r="BR16" s="9">
        <f>VLOOKUP($C16,Контейнеры!$B$16:$G$104,4,0)</f>
        <v>0</v>
      </c>
      <c r="BS16" s="9">
        <f>VLOOKUP($C16,Контейнеры!$B$16:$G$104,5,0)</f>
        <v>0</v>
      </c>
      <c r="BT16" s="9">
        <f>VLOOKUP($C16,'ДК МНО'!$B$16:$C$104,2,0)</f>
        <v>2</v>
      </c>
      <c r="BU16" s="9">
        <f>VLOOKUP($C16,Обработка!$B$16:$F$104,5,0)</f>
        <v>0</v>
      </c>
      <c r="BV16" s="9">
        <f>VLOOKUP($C16,Обработка!$B$16:$F$104,4,0)</f>
        <v>0</v>
      </c>
      <c r="BW16" s="9">
        <f>VLOOKUP($C16,Утилизация!$B$16:$F$104,5,0)</f>
        <v>0</v>
      </c>
      <c r="BX16" s="9">
        <f>VLOOKUP($C16,Утилизация!$B$16:$F$104,4,0)</f>
        <v>2</v>
      </c>
      <c r="BY16" s="9">
        <f>VLOOKUP($C16,Захоронение!$B$16:$C$104,2,0)</f>
        <v>1</v>
      </c>
      <c r="BZ16" s="9">
        <f>VLOOKUP($C16,'ДК ИП'!$B$16:$C$104,2,0)</f>
        <v>0</v>
      </c>
      <c r="CA16" s="9">
        <f>VLOOKUP(C16,Радар!$B$16:$G$104,2,0)</f>
        <v>2</v>
      </c>
      <c r="CB16" s="9">
        <f>SUMPRODUCT(BJ16:BZ16,$BJ$5:$BZ$5)</f>
        <v>0.45</v>
      </c>
    </row>
    <row r="17" ht="15.75" spans="1:80">
      <c r="A17" s="6" t="s">
        <v>67</v>
      </c>
      <c r="B17" s="131">
        <f t="shared" si="6"/>
        <v>7</v>
      </c>
      <c r="C17" s="3" t="s">
        <v>113</v>
      </c>
      <c r="D17" s="133" t="str">
        <f>VLOOKUP($C17,Штаб!$B$16:$J$104,6,0)</f>
        <v>✔️</v>
      </c>
      <c r="E17" s="134" t="str">
        <f>VLOOKUP($C17,Штаб!$B$16:$J$104,7,0)</f>
        <v/>
      </c>
      <c r="F17" s="134" t="str">
        <f>VLOOKUP($C17,Штаб!$B$16:$J$104,8,0)</f>
        <v/>
      </c>
      <c r="G17" s="135" t="str">
        <f>VLOOKUP($C17,Штаб!$B$16:$J$104,9,0)</f>
        <v/>
      </c>
      <c r="H17" s="138" t="str">
        <f>VLOOKUP(C17,'РО - регионы'!$B$16:$I$104,8,0)</f>
        <v>0 / 1 / 2 из 3</v>
      </c>
      <c r="I17" s="169"/>
      <c r="J17" s="137"/>
      <c r="K17" s="170"/>
      <c r="L17" s="170"/>
      <c r="M17" s="171"/>
      <c r="N17" s="172">
        <f>VLOOKUP(C17,Спецтехника!$B$16:$J$104,4,0)</f>
        <v>258</v>
      </c>
      <c r="O17" s="173">
        <f>VLOOKUP(C17,Спецтехника!$B$16:$J$104,5,0)</f>
        <v>249</v>
      </c>
      <c r="P17" s="173">
        <f>VLOOKUP(C17,Спецтехника!$B$16:$J$104,6,0)</f>
        <v>9</v>
      </c>
      <c r="Q17" s="196">
        <f>VLOOKUP(C17,Спецтехника!$B$16:$J$104,7,0)</f>
        <v>0.0348837209302326</v>
      </c>
      <c r="R17" s="197"/>
      <c r="S17" s="137"/>
      <c r="T17" s="170"/>
      <c r="U17" s="170"/>
      <c r="V17" s="171"/>
      <c r="W17" s="172">
        <f>VLOOKUP($C17,МНО!$B$16:$AB$104,16,0)</f>
        <v>11895</v>
      </c>
      <c r="X17" s="173">
        <f>VLOOKUP($C17,МНО!$B$16:$AB$104,8,0)</f>
        <v>11298</v>
      </c>
      <c r="Y17" s="173">
        <f>VLOOKUP($C17,МНО!$B$16:$AB$104,11,0)</f>
        <v>597</v>
      </c>
      <c r="Z17" s="216">
        <f>VLOOKUP($C17,МНО!$B$16:$AB$104,17,0)</f>
        <v>0.0501891551071879</v>
      </c>
      <c r="AA17" s="213"/>
      <c r="AB17" s="214">
        <f>VLOOKUP($C17,МНО!$B$16:$AB$104,13,0)</f>
        <v>7.92248817123201</v>
      </c>
      <c r="AC17" s="215">
        <f>VLOOKUP($C17,МНО!$B$16:$AB$104,18,0)</f>
        <v>1</v>
      </c>
      <c r="AD17" s="172">
        <f>VLOOKUP($C17,Контейнеры!$B$16:$AB$104,16,0)</f>
        <v>26723</v>
      </c>
      <c r="AE17" s="173">
        <f>VLOOKUP($C17,Контейнеры!$B$16:$AB$104,8,0)</f>
        <v>25352</v>
      </c>
      <c r="AF17" s="173">
        <f>VLOOKUP($C17,Контейнеры!$B$16:$AB$104,11,0)</f>
        <v>1371</v>
      </c>
      <c r="AG17" s="216">
        <f>VLOOKUP($C17,Контейнеры!$B$16:$AB$104,17,0)</f>
        <v>0.051304120046402</v>
      </c>
      <c r="AH17" s="213"/>
      <c r="AI17" s="214">
        <f>VLOOKUP($C17,Контейнеры!$B$16:$AB$104,13,0)</f>
        <v>19.3535286295118</v>
      </c>
      <c r="AJ17" s="215">
        <f>VLOOKUP($C17,Контейнеры!$B$16:$AB$104,18,0)</f>
        <v>1</v>
      </c>
      <c r="AK17" s="231"/>
      <c r="AL17" s="170"/>
      <c r="AM17" s="170"/>
      <c r="AN17" s="232"/>
      <c r="AO17" s="261">
        <f>VLOOKUP($C17,Обработка!$B$16:$L$104,6,0)</f>
        <v>0.365</v>
      </c>
      <c r="AP17" s="250">
        <f t="shared" si="7"/>
        <v>-0.178</v>
      </c>
      <c r="AQ17" s="251">
        <f>VLOOKUP($C17,Обработка!$B$16:$L$104,7,0)</f>
        <v>0.277</v>
      </c>
      <c r="AR17" s="252">
        <f t="shared" si="8"/>
        <v>-0.53</v>
      </c>
      <c r="AS17" s="253">
        <f>VLOOKUP($C17,Утилизация!$B$16:$L$104,6,0)</f>
        <v>0.015</v>
      </c>
      <c r="AT17" s="251">
        <f t="shared" si="9"/>
        <v>-0.124</v>
      </c>
      <c r="AU17" s="251">
        <f>VLOOKUP($C17,Утилизация!$B$16:$L$104,7,0)</f>
        <v>0.016</v>
      </c>
      <c r="AV17" s="254">
        <f t="shared" si="10"/>
        <v>-0.27</v>
      </c>
      <c r="AW17" s="284" t="str">
        <f>VLOOKUP(C17,Захоронение!$B$16:$Q$104,16,0)</f>
        <v/>
      </c>
      <c r="AX17" s="231"/>
      <c r="AY17" s="170"/>
      <c r="AZ17" s="170"/>
      <c r="BA17" s="171"/>
      <c r="BB17" s="280" t="str">
        <f>VLOOKUP(C17,'ДК ИП'!$B$16:$S$104,5,0)</f>
        <v>среднее</v>
      </c>
      <c r="BC17" s="281">
        <f>VLOOKUP(C17,Радар!$B$16:$G$104,6,0)</f>
        <v>0.310700779118465</v>
      </c>
      <c r="BD17" s="171"/>
      <c r="BF17" s="291">
        <f t="shared" si="11"/>
        <v>0.666666666666667</v>
      </c>
      <c r="BI17" s="9">
        <f t="shared" si="12"/>
        <v>0</v>
      </c>
      <c r="BJ17" s="9">
        <f>VLOOKUP(C17,Штаб!$B$16:$C$104,2)</f>
        <v>0</v>
      </c>
      <c r="BK17" s="9">
        <f>VLOOKUP(C17,'РО - регионы'!$B$16:$C$104,2)</f>
        <v>1</v>
      </c>
      <c r="BL17" s="9">
        <f>VLOOKUP(C17,'РО - регионы'!$B$16:$L$104,11)</f>
        <v>2</v>
      </c>
      <c r="BM17" s="9">
        <f>VLOOKUP(C17,Спецтехника!$B$16:$C$104,2)</f>
        <v>0</v>
      </c>
      <c r="BN17" s="9">
        <f>VLOOKUP($C17,МНО!$B$16:$AB$104,6,0)</f>
        <v>0</v>
      </c>
      <c r="BO17" s="9">
        <f>VLOOKUP($C17,МНО!$B$16:$AB$104,4,0)</f>
        <v>0</v>
      </c>
      <c r="BP17" s="9">
        <f>VLOOKUP($C17,МНО!$B$16:$AB$104,5,0)</f>
        <v>0</v>
      </c>
      <c r="BQ17" s="9">
        <f>VLOOKUP($C17,Контейнеры!$B$16:$G$104,6,0)</f>
        <v>0</v>
      </c>
      <c r="BR17" s="9">
        <f>VLOOKUP($C17,Контейнеры!$B$16:$G$104,4,0)</f>
        <v>0</v>
      </c>
      <c r="BS17" s="9">
        <f>VLOOKUP($C17,Контейнеры!$B$16:$G$104,5,0)</f>
        <v>0</v>
      </c>
      <c r="BT17" s="9">
        <f>VLOOKUP($C17,'ДК МНО'!$B$16:$C$104,2,0)</f>
        <v>2</v>
      </c>
      <c r="BU17" s="9">
        <f>VLOOKUP($C17,Обработка!$B$16:$F$104,5,0)</f>
        <v>2</v>
      </c>
      <c r="BV17" s="9">
        <f>VLOOKUP($C17,Обработка!$B$16:$F$104,4,0)</f>
        <v>1</v>
      </c>
      <c r="BW17" s="9">
        <f>VLOOKUP($C17,Утилизация!$B$16:$F$104,5,0)</f>
        <v>2</v>
      </c>
      <c r="BX17" s="9">
        <f>VLOOKUP($C17,Утилизация!$B$16:$F$104,4,0)</f>
        <v>2</v>
      </c>
      <c r="BY17" s="9">
        <f>VLOOKUP($C17,Захоронение!$B$16:$C$104,2,0)</f>
        <v>0</v>
      </c>
      <c r="BZ17" s="9">
        <f>VLOOKUP($C17,'ДК ИП'!$B$16:$C$104,2,0)</f>
        <v>1</v>
      </c>
      <c r="CA17" s="9">
        <f>VLOOKUP(C17,Радар!$B$16:$G$104,2,0)</f>
        <v>2</v>
      </c>
      <c r="CB17" s="9">
        <f>SUMPRODUCT(BJ17:BZ17,$BJ$5:$BZ$5)</f>
        <v>0.65</v>
      </c>
    </row>
    <row r="18" ht="15.75" spans="1:80">
      <c r="A18" s="6" t="s">
        <v>85</v>
      </c>
      <c r="B18" s="137">
        <f t="shared" si="6"/>
        <v>8</v>
      </c>
      <c r="C18" s="3" t="s">
        <v>86</v>
      </c>
      <c r="D18" s="133" t="str">
        <f>VLOOKUP($C18,Штаб!$B$16:$J$104,6,0)</f>
        <v/>
      </c>
      <c r="E18" s="134" t="str">
        <f>VLOOKUP($C18,Штаб!$B$16:$J$104,7,0)</f>
        <v/>
      </c>
      <c r="F18" s="134" t="str">
        <f>VLOOKUP($C18,Штаб!$B$16:$J$104,8,0)</f>
        <v>✔️</v>
      </c>
      <c r="G18" s="135" t="str">
        <f>VLOOKUP($C18,Штаб!$B$16:$J$104,9,0)</f>
        <v/>
      </c>
      <c r="H18" s="139" t="str">
        <f>VLOOKUP(C18,'РО - регионы'!$B$16:$I$104,8,0)</f>
        <v>0 / 0 / 1 из 1</v>
      </c>
      <c r="I18" s="169"/>
      <c r="J18" s="137"/>
      <c r="K18" s="170"/>
      <c r="L18" s="170"/>
      <c r="M18" s="171"/>
      <c r="N18" s="172">
        <f>VLOOKUP(C18,Спецтехника!$B$16:$J$104,4,0)</f>
        <v>244</v>
      </c>
      <c r="O18" s="173">
        <f>VLOOKUP(C18,Спецтехника!$B$16:$J$104,5,0)</f>
        <v>231</v>
      </c>
      <c r="P18" s="173">
        <f>VLOOKUP(C18,Спецтехника!$B$16:$J$104,6,0)</f>
        <v>13</v>
      </c>
      <c r="Q18" s="196">
        <f>VLOOKUP(C18,Спецтехника!$B$16:$J$104,7,0)</f>
        <v>0.0532786885245902</v>
      </c>
      <c r="R18" s="197"/>
      <c r="S18" s="137"/>
      <c r="T18" s="170"/>
      <c r="U18" s="170"/>
      <c r="V18" s="171"/>
      <c r="W18" s="174">
        <f>VLOOKUP($C18,МНО!$B$16:$AB$104,16,0)</f>
        <v>26057</v>
      </c>
      <c r="X18" s="175">
        <f>VLOOKUP($C18,МНО!$B$16:$AB$104,8,0)</f>
        <v>20660</v>
      </c>
      <c r="Y18" s="175">
        <f>VLOOKUP($C18,МНО!$B$16:$AB$104,11,0)</f>
        <v>5397</v>
      </c>
      <c r="Z18" s="212">
        <f>VLOOKUP($C18,МНО!$B$16:$AB$104,17,0)</f>
        <v>0.207122846068235</v>
      </c>
      <c r="AA18" s="213"/>
      <c r="AB18" s="214">
        <f>VLOOKUP($C18,МНО!$B$16:$AB$104,13,0)</f>
        <v>8.14092517292895</v>
      </c>
      <c r="AC18" s="215">
        <f>VLOOKUP($C18,МНО!$B$16:$AB$104,18,0)</f>
        <v>1</v>
      </c>
      <c r="AD18" s="176">
        <f>VLOOKUP($C18,Контейнеры!$B$16:$AB$104,16,0)</f>
        <v>49272</v>
      </c>
      <c r="AE18" s="177">
        <f>VLOOKUP($C18,Контейнеры!$B$16:$AB$104,8,0)</f>
        <v>32010</v>
      </c>
      <c r="AF18" s="177">
        <f>VLOOKUP($C18,Контейнеры!$B$16:$AB$104,11,0)</f>
        <v>17262</v>
      </c>
      <c r="AG18" s="217">
        <f>VLOOKUP($C18,Контейнеры!$B$16:$AB$104,17,0)</f>
        <v>0.35034096444228</v>
      </c>
      <c r="AH18" s="213"/>
      <c r="AI18" s="214">
        <f>VLOOKUP($C18,Контейнеры!$B$16:$AB$104,13,0)</f>
        <v>13.0445519740429</v>
      </c>
      <c r="AJ18" s="215">
        <f>VLOOKUP($C18,Контейнеры!$B$16:$AB$104,18,0)</f>
        <v>1</v>
      </c>
      <c r="AK18" s="231"/>
      <c r="AL18" s="170"/>
      <c r="AM18" s="170"/>
      <c r="AN18" s="232"/>
      <c r="AO18" s="257">
        <f>VLOOKUP($C18,Обработка!$B$16:$L$104,6,0)</f>
        <v>0.802</v>
      </c>
      <c r="AP18" s="250">
        <f t="shared" si="7"/>
        <v>0.259</v>
      </c>
      <c r="AQ18" s="259">
        <f>VLOOKUP($C18,Обработка!$B$16:$L$104,7,0)</f>
        <v>0.8</v>
      </c>
      <c r="AR18" s="262">
        <f t="shared" si="8"/>
        <v>-0.00700000000000001</v>
      </c>
      <c r="AS18" s="253">
        <f>VLOOKUP($C18,Утилизация!$B$16:$L$104,6,0)</f>
        <v>0.048</v>
      </c>
      <c r="AT18" s="251">
        <f t="shared" si="9"/>
        <v>-0.091</v>
      </c>
      <c r="AU18" s="251">
        <f>VLOOKUP($C18,Утилизация!$B$16:$L$104,7,0)</f>
        <v>0.047</v>
      </c>
      <c r="AV18" s="254">
        <f t="shared" si="10"/>
        <v>-0.239</v>
      </c>
      <c r="AW18" s="284" t="str">
        <f>VLOOKUP(C18,Захоронение!$B$16:$Q$104,16,0)</f>
        <v/>
      </c>
      <c r="AX18" s="231"/>
      <c r="AY18" s="170"/>
      <c r="AZ18" s="170"/>
      <c r="BA18" s="171"/>
      <c r="BB18" s="280" t="str">
        <f>VLOOKUP(C18,'ДК ИП'!$B$16:$S$104,5,0)</f>
        <v>не подписана</v>
      </c>
      <c r="BC18" s="282">
        <f>VLOOKUP(C18,Радар!$B$16:$G$104,6,0)</f>
        <v>0.0721301374384754</v>
      </c>
      <c r="BD18" s="171"/>
      <c r="BF18" s="292">
        <f t="shared" si="11"/>
        <v>0.416666666666667</v>
      </c>
      <c r="BI18" s="9">
        <f t="shared" si="12"/>
        <v>0</v>
      </c>
      <c r="BJ18" s="9">
        <f>VLOOKUP(C18,Штаб!$B$16:$C$104,2)</f>
        <v>1</v>
      </c>
      <c r="BK18" s="9">
        <f>VLOOKUP(C18,'РО - регионы'!$B$16:$C$104,2)</f>
        <v>0</v>
      </c>
      <c r="BL18" s="9">
        <f>VLOOKUP(C18,'РО - регионы'!$B$16:$L$104,11)</f>
        <v>0</v>
      </c>
      <c r="BM18" s="9">
        <f>VLOOKUP(C18,Спецтехника!$B$16:$C$104,2)</f>
        <v>0</v>
      </c>
      <c r="BN18" s="9">
        <f>VLOOKUP($C18,МНО!$B$16:$AB$104,6,0)</f>
        <v>1</v>
      </c>
      <c r="BO18" s="9">
        <f>VLOOKUP($C18,МНО!$B$16:$AB$104,4,0)</f>
        <v>0</v>
      </c>
      <c r="BP18" s="9">
        <f>VLOOKUP($C18,МНО!$B$16:$AB$104,5,0)</f>
        <v>0</v>
      </c>
      <c r="BQ18" s="9">
        <f>VLOOKUP($C18,Контейнеры!$B$16:$G$104,6,0)</f>
        <v>2</v>
      </c>
      <c r="BR18" s="9">
        <f>VLOOKUP($C18,Контейнеры!$B$16:$G$104,4,0)</f>
        <v>0</v>
      </c>
      <c r="BS18" s="9">
        <f>VLOOKUP($C18,Контейнеры!$B$16:$G$104,5,0)</f>
        <v>0</v>
      </c>
      <c r="BT18" s="9">
        <f>VLOOKUP($C18,'ДК МНО'!$B$16:$C$104,2,0)</f>
        <v>2</v>
      </c>
      <c r="BU18" s="9">
        <f>VLOOKUP($C18,Обработка!$B$16:$F$104,5,0)</f>
        <v>1</v>
      </c>
      <c r="BV18" s="9">
        <f>VLOOKUP($C18,Обработка!$B$16:$F$104,4,0)</f>
        <v>0</v>
      </c>
      <c r="BW18" s="9">
        <f>VLOOKUP($C18,Утилизация!$B$16:$F$104,5,0)</f>
        <v>2</v>
      </c>
      <c r="BX18" s="9">
        <f>VLOOKUP($C18,Утилизация!$B$16:$F$104,4,0)</f>
        <v>2</v>
      </c>
      <c r="BY18" s="9">
        <f>VLOOKUP($C18,Захоронение!$B$16:$C$104,2,0)</f>
        <v>0</v>
      </c>
      <c r="BZ18" s="9">
        <f>VLOOKUP($C18,'ДК ИП'!$B$16:$C$104,2,0)</f>
        <v>0</v>
      </c>
      <c r="CA18" s="9">
        <f>VLOOKUP(C18,Радар!$B$16:$G$104,2,0)</f>
        <v>1</v>
      </c>
      <c r="CB18" s="9">
        <f>SUMPRODUCT(BJ18:BZ18,$BJ$5:$BZ$5)</f>
        <v>0.4</v>
      </c>
    </row>
    <row r="19" ht="15.75" spans="1:80">
      <c r="A19" s="6" t="s">
        <v>70</v>
      </c>
      <c r="B19" s="131">
        <f t="shared" si="6"/>
        <v>9</v>
      </c>
      <c r="C19" s="3" t="s">
        <v>107</v>
      </c>
      <c r="D19" s="133" t="str">
        <f>VLOOKUP($C19,Штаб!$B$16:$J$104,6,0)</f>
        <v/>
      </c>
      <c r="E19" s="134" t="str">
        <f>VLOOKUP($C19,Штаб!$B$16:$J$104,7,0)</f>
        <v/>
      </c>
      <c r="F19" s="134" t="str">
        <f>VLOOKUP($C19,Штаб!$B$16:$J$104,8,0)</f>
        <v>✔️</v>
      </c>
      <c r="G19" s="135" t="str">
        <f>VLOOKUP($C19,Штаб!$B$16:$J$104,9,0)</f>
        <v/>
      </c>
      <c r="H19" s="138" t="str">
        <f>VLOOKUP(C19,'РО - регионы'!$B$16:$I$104,8,0)</f>
        <v>0 / 2 / 0 из 2</v>
      </c>
      <c r="I19" s="169"/>
      <c r="J19" s="137"/>
      <c r="K19" s="170"/>
      <c r="L19" s="170"/>
      <c r="M19" s="171"/>
      <c r="N19" s="172">
        <f>VLOOKUP(C19,Спецтехника!$B$16:$J$104,4,0)</f>
        <v>212</v>
      </c>
      <c r="O19" s="173">
        <f>VLOOKUP(C19,Спецтехника!$B$16:$J$104,5,0)</f>
        <v>203</v>
      </c>
      <c r="P19" s="173">
        <f>VLOOKUP(C19,Спецтехника!$B$16:$J$104,6,0)</f>
        <v>9</v>
      </c>
      <c r="Q19" s="196">
        <f>VLOOKUP(C19,Спецтехника!$B$16:$J$104,7,0)</f>
        <v>0.0424528301886792</v>
      </c>
      <c r="R19" s="197"/>
      <c r="S19" s="137"/>
      <c r="T19" s="170"/>
      <c r="U19" s="170"/>
      <c r="V19" s="171"/>
      <c r="W19" s="174">
        <f>VLOOKUP($C19,МНО!$B$16:$AB$104,16,0)</f>
        <v>20214</v>
      </c>
      <c r="X19" s="175">
        <f>VLOOKUP($C19,МНО!$B$16:$AB$104,8,0)</f>
        <v>14936</v>
      </c>
      <c r="Y19" s="175">
        <f>VLOOKUP($C19,МНО!$B$16:$AB$104,11,0)</f>
        <v>5278</v>
      </c>
      <c r="Z19" s="212">
        <f>VLOOKUP($C19,МНО!$B$16:$AB$104,17,0)</f>
        <v>0.261106164044721</v>
      </c>
      <c r="AA19" s="213"/>
      <c r="AB19" s="214">
        <f>VLOOKUP($C19,МНО!$B$16:$AB$104,13,0)</f>
        <v>12.8408524421163</v>
      </c>
      <c r="AC19" s="215">
        <f>VLOOKUP($C19,МНО!$B$16:$AB$104,18,0)</f>
        <v>1</v>
      </c>
      <c r="AD19" s="172">
        <f>VLOOKUP($C19,Контейнеры!$B$16:$AB$104,16,0)</f>
        <v>34913</v>
      </c>
      <c r="AE19" s="173">
        <f>VLOOKUP($C19,Контейнеры!$B$16:$AB$104,8,0)</f>
        <v>31272</v>
      </c>
      <c r="AF19" s="173">
        <f>VLOOKUP($C19,Контейнеры!$B$16:$AB$104,11,0)</f>
        <v>3641</v>
      </c>
      <c r="AG19" s="216">
        <f>VLOOKUP($C19,Контейнеры!$B$16:$AB$104,17,0)</f>
        <v>0.104287801105605</v>
      </c>
      <c r="AH19" s="213"/>
      <c r="AI19" s="214">
        <f>VLOOKUP($C19,Контейнеры!$B$16:$AB$104,13,0)</f>
        <v>27.8879878859546</v>
      </c>
      <c r="AJ19" s="215">
        <f>VLOOKUP($C19,Контейнеры!$B$16:$AB$104,18,0)</f>
        <v>1</v>
      </c>
      <c r="AK19" s="231"/>
      <c r="AL19" s="170"/>
      <c r="AM19" s="170"/>
      <c r="AN19" s="232"/>
      <c r="AO19" s="257">
        <f>VLOOKUP($C19,Обработка!$B$16:$L$104,6,0)</f>
        <v>0.56</v>
      </c>
      <c r="AP19" s="250">
        <f t="shared" si="7"/>
        <v>0.017</v>
      </c>
      <c r="AQ19" s="259">
        <f>VLOOKUP($C19,Обработка!$B$16:$L$104,7,0)</f>
        <v>0.7</v>
      </c>
      <c r="AR19" s="262">
        <f t="shared" si="8"/>
        <v>-0.107</v>
      </c>
      <c r="AS19" s="253">
        <f>VLOOKUP($C19,Утилизация!$B$16:$L$104,6,0)</f>
        <v>0.063</v>
      </c>
      <c r="AT19" s="251">
        <f t="shared" si="9"/>
        <v>-0.076</v>
      </c>
      <c r="AU19" s="251">
        <f>VLOOKUP($C19,Утилизация!$B$16:$L$104,7,0)</f>
        <v>0.099</v>
      </c>
      <c r="AV19" s="254">
        <f t="shared" si="10"/>
        <v>-0.187</v>
      </c>
      <c r="AW19" s="284" t="str">
        <f>VLOOKUP(C19,Захоронение!$B$16:$Q$104,16,0)</f>
        <v/>
      </c>
      <c r="AX19" s="231"/>
      <c r="AY19" s="170"/>
      <c r="AZ19" s="170"/>
      <c r="BA19" s="171"/>
      <c r="BB19" s="280" t="str">
        <f>VLOOKUP(C19,'ДК ИП'!$B$16:$S$104,5,0)</f>
        <v>среднее</v>
      </c>
      <c r="BC19" s="285">
        <f>VLOOKUP(C19,Радар!$B$16:$G$104,6,0)</f>
        <v>0.0517236920371376</v>
      </c>
      <c r="BD19" s="171"/>
      <c r="BF19" s="291">
        <f t="shared" si="11"/>
        <v>0.5</v>
      </c>
      <c r="BI19" s="9">
        <f t="shared" si="12"/>
        <v>0</v>
      </c>
      <c r="BJ19" s="9">
        <f>VLOOKUP(C19,Штаб!$B$16:$C$104,2)</f>
        <v>1</v>
      </c>
      <c r="BK19" s="9">
        <f>VLOOKUP(C19,'РО - регионы'!$B$16:$C$104,2)</f>
        <v>1</v>
      </c>
      <c r="BL19" s="9">
        <f>VLOOKUP(C19,'РО - регионы'!$B$16:$L$104,11)</f>
        <v>2</v>
      </c>
      <c r="BM19" s="9">
        <f>VLOOKUP(C19,Спецтехника!$B$16:$C$104,2)</f>
        <v>0</v>
      </c>
      <c r="BN19" s="9">
        <f>VLOOKUP($C19,МНО!$B$16:$AB$104,6,0)</f>
        <v>1</v>
      </c>
      <c r="BO19" s="9">
        <f>VLOOKUP($C19,МНО!$B$16:$AB$104,4,0)</f>
        <v>0</v>
      </c>
      <c r="BP19" s="9">
        <f>VLOOKUP($C19,МНО!$B$16:$AB$104,5,0)</f>
        <v>0</v>
      </c>
      <c r="BQ19" s="9">
        <f>VLOOKUP($C19,Контейнеры!$B$16:$G$104,6,0)</f>
        <v>0</v>
      </c>
      <c r="BR19" s="9">
        <f>VLOOKUP($C19,Контейнеры!$B$16:$G$104,4,0)</f>
        <v>0</v>
      </c>
      <c r="BS19" s="9">
        <f>VLOOKUP($C19,Контейнеры!$B$16:$G$104,5,0)</f>
        <v>0</v>
      </c>
      <c r="BT19" s="9">
        <f>VLOOKUP($C19,'ДК МНО'!$B$16:$C$104,2,0)</f>
        <v>2</v>
      </c>
      <c r="BU19" s="9">
        <f>VLOOKUP($C19,Обработка!$B$16:$F$104,5,0)</f>
        <v>1</v>
      </c>
      <c r="BV19" s="9">
        <f>VLOOKUP($C19,Обработка!$B$16:$F$104,4,0)</f>
        <v>0</v>
      </c>
      <c r="BW19" s="9">
        <f>VLOOKUP($C19,Утилизация!$B$16:$F$104,5,0)</f>
        <v>2</v>
      </c>
      <c r="BX19" s="9">
        <f>VLOOKUP($C19,Утилизация!$B$16:$F$104,4,0)</f>
        <v>2</v>
      </c>
      <c r="BY19" s="9">
        <f>VLOOKUP($C19,Захоронение!$B$16:$C$104,2,0)</f>
        <v>0</v>
      </c>
      <c r="BZ19" s="9">
        <f>VLOOKUP($C19,'ДК ИП'!$B$16:$C$104,2,0)</f>
        <v>1</v>
      </c>
      <c r="CA19" s="9">
        <f>VLOOKUP(C19,Радар!$B$16:$G$104,2,0)</f>
        <v>0</v>
      </c>
      <c r="CB19" s="9">
        <f>SUMPRODUCT(BJ19:BZ19,$BJ$5:$BZ$5)</f>
        <v>0.6</v>
      </c>
    </row>
    <row r="20" ht="15.75" spans="1:80">
      <c r="A20" s="6" t="s">
        <v>67</v>
      </c>
      <c r="B20" s="137">
        <f t="shared" si="6"/>
        <v>10</v>
      </c>
      <c r="C20" s="3" t="s">
        <v>137</v>
      </c>
      <c r="D20" s="133" t="str">
        <f>VLOOKUP($C20,Штаб!$B$16:$J$104,6,0)</f>
        <v>✔️</v>
      </c>
      <c r="E20" s="134" t="str">
        <f>VLOOKUP($C20,Штаб!$B$16:$J$104,7,0)</f>
        <v/>
      </c>
      <c r="F20" s="134" t="str">
        <f>VLOOKUP($C20,Штаб!$B$16:$J$104,8,0)</f>
        <v/>
      </c>
      <c r="G20" s="135" t="str">
        <f>VLOOKUP($C20,Штаб!$B$16:$J$104,9,0)</f>
        <v/>
      </c>
      <c r="H20" s="138" t="str">
        <f>VLOOKUP(C20,'РО - регионы'!$B$16:$I$104,8,0)</f>
        <v>0 / 1 / 7 из 8</v>
      </c>
      <c r="I20" s="169"/>
      <c r="J20" s="137"/>
      <c r="K20" s="170"/>
      <c r="L20" s="170"/>
      <c r="M20" s="171"/>
      <c r="N20" s="172">
        <f>VLOOKUP(C20,Спецтехника!$B$16:$J$104,4,0)</f>
        <v>535</v>
      </c>
      <c r="O20" s="173">
        <f>VLOOKUP(C20,Спецтехника!$B$16:$J$104,5,0)</f>
        <v>516</v>
      </c>
      <c r="P20" s="173">
        <f>VLOOKUP(C20,Спецтехника!$B$16:$J$104,6,0)</f>
        <v>19</v>
      </c>
      <c r="Q20" s="196">
        <f>VLOOKUP(C20,Спецтехника!$B$16:$J$104,7,0)</f>
        <v>0.0355140186915888</v>
      </c>
      <c r="R20" s="197"/>
      <c r="S20" s="137"/>
      <c r="T20" s="170"/>
      <c r="U20" s="170"/>
      <c r="V20" s="171"/>
      <c r="W20" s="174">
        <f>VLOOKUP($C20,МНО!$B$16:$AB$104,16,0)</f>
        <v>32140</v>
      </c>
      <c r="X20" s="175">
        <f>VLOOKUP($C20,МНО!$B$16:$AB$104,8,0)</f>
        <v>21745</v>
      </c>
      <c r="Y20" s="175">
        <f>VLOOKUP($C20,МНО!$B$16:$AB$104,11,0)</f>
        <v>10395</v>
      </c>
      <c r="Z20" s="212">
        <f>VLOOKUP($C20,МНО!$B$16:$AB$104,17,0)</f>
        <v>0.323428749222153</v>
      </c>
      <c r="AA20" s="213"/>
      <c r="AB20" s="214">
        <f>VLOOKUP($C20,МНО!$B$16:$AB$104,13,0)</f>
        <v>8.49602162735653</v>
      </c>
      <c r="AC20" s="215">
        <f>VLOOKUP($C20,МНО!$B$16:$AB$104,18,0)</f>
        <v>1</v>
      </c>
      <c r="AD20" s="172">
        <f>VLOOKUP($C20,Контейнеры!$B$16:$AB$104,16,0)</f>
        <v>43480</v>
      </c>
      <c r="AE20" s="173">
        <f>VLOOKUP($C20,Контейнеры!$B$16:$AB$104,8,0)</f>
        <v>43066</v>
      </c>
      <c r="AF20" s="173">
        <f>VLOOKUP($C20,Контейнеры!$B$16:$AB$104,11,0)</f>
        <v>414</v>
      </c>
      <c r="AG20" s="216">
        <f>VLOOKUP($C20,Контейнеры!$B$16:$AB$104,17,0)</f>
        <v>0.00952161913523459</v>
      </c>
      <c r="AH20" s="213"/>
      <c r="AI20" s="214">
        <f>VLOOKUP($C20,Контейнеры!$B$16:$AB$104,13,0)</f>
        <v>18.94329109002</v>
      </c>
      <c r="AJ20" s="215">
        <f>VLOOKUP($C20,Контейнеры!$B$16:$AB$104,18,0)</f>
        <v>0.803710062705285</v>
      </c>
      <c r="AK20" s="231"/>
      <c r="AL20" s="170"/>
      <c r="AM20" s="170"/>
      <c r="AN20" s="232"/>
      <c r="AO20" s="257">
        <f>VLOOKUP($C20,Обработка!$B$16:$L$104,6,0)</f>
        <v>0.565</v>
      </c>
      <c r="AP20" s="250">
        <f t="shared" si="7"/>
        <v>0.0219999999999999</v>
      </c>
      <c r="AQ20" s="259">
        <f>VLOOKUP($C20,Обработка!$B$16:$L$104,7,0)</f>
        <v>0.53</v>
      </c>
      <c r="AR20" s="262">
        <f t="shared" si="8"/>
        <v>-0.277</v>
      </c>
      <c r="AS20" s="253">
        <f>VLOOKUP($C20,Утилизация!$B$16:$L$104,6,0)</f>
        <v>0.041</v>
      </c>
      <c r="AT20" s="251">
        <f t="shared" si="9"/>
        <v>-0.098</v>
      </c>
      <c r="AU20" s="251">
        <f>VLOOKUP($C20,Утилизация!$B$16:$L$104,7,0)</f>
        <v>0.035</v>
      </c>
      <c r="AV20" s="254">
        <f t="shared" si="10"/>
        <v>-0.251</v>
      </c>
      <c r="AW20" s="283" t="str">
        <f>VLOOKUP(C20,Захоронение!$B$16:$Q$104,16,0)</f>
        <v>765 приказ</v>
      </c>
      <c r="AX20" s="231"/>
      <c r="AY20" s="170"/>
      <c r="AZ20" s="170"/>
      <c r="BA20" s="171"/>
      <c r="BB20" s="280" t="str">
        <f>VLOOKUP(C20,'ДК ИП'!$B$16:$S$104,5,0)</f>
        <v>существенное</v>
      </c>
      <c r="BC20" s="281">
        <f>VLOOKUP(C20,Радар!$B$16:$G$104,6,0)</f>
        <v>0.0782962386574922</v>
      </c>
      <c r="BD20" s="171"/>
      <c r="BF20" s="291">
        <f t="shared" si="11"/>
        <v>0.916666666666667</v>
      </c>
      <c r="BI20" s="9">
        <f t="shared" si="12"/>
        <v>1</v>
      </c>
      <c r="BJ20" s="9">
        <f>VLOOKUP(C20,Штаб!$B$16:$C$104,2)</f>
        <v>0</v>
      </c>
      <c r="BK20" s="9">
        <f>VLOOKUP(C20,'РО - регионы'!$B$16:$C$104,2)</f>
        <v>1</v>
      </c>
      <c r="BL20" s="9">
        <f>VLOOKUP(C20,'РО - регионы'!$B$16:$L$104,11)</f>
        <v>2</v>
      </c>
      <c r="BM20" s="9">
        <f>VLOOKUP(C20,Спецтехника!$B$16:$C$104,2)</f>
        <v>0</v>
      </c>
      <c r="BN20" s="9">
        <f>VLOOKUP($C20,МНО!$B$16:$AB$104,6,0)</f>
        <v>1</v>
      </c>
      <c r="BO20" s="9">
        <f>VLOOKUP($C20,МНО!$B$16:$AB$104,4,0)</f>
        <v>0</v>
      </c>
      <c r="BP20" s="9">
        <f>VLOOKUP($C20,МНО!$B$16:$AB$104,5,0)</f>
        <v>0</v>
      </c>
      <c r="BQ20" s="9">
        <f>VLOOKUP($C20,Контейнеры!$B$16:$G$104,6,0)</f>
        <v>0</v>
      </c>
      <c r="BR20" s="9">
        <f>VLOOKUP($C20,Контейнеры!$B$16:$G$104,4,0)</f>
        <v>0</v>
      </c>
      <c r="BS20" s="9">
        <f>VLOOKUP($C20,Контейнеры!$B$16:$G$104,5,0)</f>
        <v>2</v>
      </c>
      <c r="BT20" s="9">
        <f>VLOOKUP($C20,'ДК МНО'!$B$16:$C$104,2,0)</f>
        <v>2</v>
      </c>
      <c r="BU20" s="9">
        <f>VLOOKUP($C20,Обработка!$B$16:$F$104,5,0)</f>
        <v>1</v>
      </c>
      <c r="BV20" s="9">
        <f>VLOOKUP($C20,Обработка!$B$16:$F$104,4,0)</f>
        <v>0</v>
      </c>
      <c r="BW20" s="9">
        <f>VLOOKUP($C20,Утилизация!$B$16:$F$104,5,0)</f>
        <v>2</v>
      </c>
      <c r="BX20" s="9">
        <f>VLOOKUP($C20,Утилизация!$B$16:$F$104,4,0)</f>
        <v>2</v>
      </c>
      <c r="BY20" s="9">
        <f>VLOOKUP($C20,Захоронение!$B$16:$C$104,2,0)</f>
        <v>1</v>
      </c>
      <c r="BZ20" s="9">
        <f>VLOOKUP($C20,'ДК ИП'!$B$16:$C$104,2,0)</f>
        <v>2</v>
      </c>
      <c r="CA20" s="9">
        <f>VLOOKUP(C20,Радар!$B$16:$G$104,2,0)</f>
        <v>2</v>
      </c>
      <c r="CB20" s="9">
        <f>SUMPRODUCT(BJ20:BZ20,$BJ$5:$BZ$5)</f>
        <v>0.95</v>
      </c>
    </row>
    <row r="21" ht="15.75" spans="1:80">
      <c r="A21" s="6" t="s">
        <v>67</v>
      </c>
      <c r="B21" s="131">
        <f t="shared" si="6"/>
        <v>11</v>
      </c>
      <c r="C21" s="3" t="s">
        <v>68</v>
      </c>
      <c r="D21" s="133" t="str">
        <f>VLOOKUP($C21,Штаб!$B$16:$J$104,6,0)</f>
        <v/>
      </c>
      <c r="E21" s="134" t="str">
        <f>VLOOKUP($C21,Штаб!$B$16:$J$104,7,0)</f>
        <v/>
      </c>
      <c r="F21" s="134" t="str">
        <f>VLOOKUP($C21,Штаб!$B$16:$J$104,8,0)</f>
        <v/>
      </c>
      <c r="G21" s="135" t="str">
        <f>VLOOKUP($C21,Штаб!$B$16:$J$104,9,0)</f>
        <v>✔️</v>
      </c>
      <c r="H21" s="139" t="str">
        <f>VLOOKUP(C21,'РО - регионы'!$B$16:$I$104,8,0)</f>
        <v>0 / 0 / 1 из 1</v>
      </c>
      <c r="I21" s="169"/>
      <c r="J21" s="137"/>
      <c r="K21" s="170"/>
      <c r="L21" s="170"/>
      <c r="M21" s="171"/>
      <c r="N21" s="172">
        <f>VLOOKUP(C21,Спецтехника!$B$16:$J$104,4,0)</f>
        <v>1502</v>
      </c>
      <c r="O21" s="173">
        <f>VLOOKUP(C21,Спецтехника!$B$16:$J$104,5,0)</f>
        <v>1502</v>
      </c>
      <c r="P21" s="173">
        <f>VLOOKUP(C21,Спецтехника!$B$16:$J$104,6,0)</f>
        <v>0</v>
      </c>
      <c r="Q21" s="196">
        <f>VLOOKUP(C21,Спецтехника!$B$16:$J$104,7,0)</f>
        <v>0</v>
      </c>
      <c r="R21" s="197"/>
      <c r="S21" s="137"/>
      <c r="T21" s="170"/>
      <c r="U21" s="170"/>
      <c r="V21" s="171"/>
      <c r="W21" s="172">
        <f>VLOOKUP($C21,МНО!$B$16:$AB$104,16,0)</f>
        <v>0</v>
      </c>
      <c r="X21" s="173">
        <f>VLOOKUP($C21,МНО!$B$16:$AB$104,8,0)</f>
        <v>0</v>
      </c>
      <c r="Y21" s="173">
        <f>VLOOKUP($C21,МНО!$B$16:$AB$104,11,0)</f>
        <v>0</v>
      </c>
      <c r="Z21" s="216">
        <f>VLOOKUP($C21,МНО!$B$16:$AB$104,17,0)</f>
        <v>0</v>
      </c>
      <c r="AA21" s="213"/>
      <c r="AB21" s="214"/>
      <c r="AC21" s="215"/>
      <c r="AD21" s="172">
        <f>VLOOKUP($C21,Контейнеры!$B$16:$AB$104,16,0)</f>
        <v>0</v>
      </c>
      <c r="AE21" s="173">
        <f>VLOOKUP($C21,Контейнеры!$B$16:$AB$104,8,0)</f>
        <v>0</v>
      </c>
      <c r="AF21" s="173">
        <f>VLOOKUP($C21,Контейнеры!$B$16:$AB$104,11,0)</f>
        <v>0</v>
      </c>
      <c r="AG21" s="216">
        <f>VLOOKUP($C21,Контейнеры!$B$16:$AB$104,17,0)</f>
        <v>0</v>
      </c>
      <c r="AH21" s="213"/>
      <c r="AI21" s="214"/>
      <c r="AJ21" s="215"/>
      <c r="AK21" s="231"/>
      <c r="AL21" s="170"/>
      <c r="AM21" s="170"/>
      <c r="AN21" s="232"/>
      <c r="AO21" s="257">
        <f>VLOOKUP($C21,Обработка!$B$16:$L$104,6,0)</f>
        <v>0.987</v>
      </c>
      <c r="AP21" s="250">
        <f t="shared" si="7"/>
        <v>0.444</v>
      </c>
      <c r="AQ21" s="250">
        <f>VLOOKUP($C21,Обработка!$B$16:$L$104,7,0)</f>
        <v>0.9</v>
      </c>
      <c r="AR21" s="255">
        <f t="shared" si="8"/>
        <v>0.093</v>
      </c>
      <c r="AS21" s="263">
        <f>VLOOKUP($C21,Утилизация!$B$16:$L$104,6,0)</f>
        <v>0.508</v>
      </c>
      <c r="AT21" s="250">
        <f t="shared" si="9"/>
        <v>0.369</v>
      </c>
      <c r="AU21" s="250">
        <f>VLOOKUP($C21,Утилизация!$B$16:$L$104,7,0)</f>
        <v>0.47</v>
      </c>
      <c r="AV21" s="256">
        <f t="shared" si="10"/>
        <v>0.184</v>
      </c>
      <c r="AW21" s="284" t="str">
        <f>VLOOKUP(C21,Захоронение!$B$16:$Q$104,16,0)</f>
        <v/>
      </c>
      <c r="AX21" s="231"/>
      <c r="AY21" s="170"/>
      <c r="AZ21" s="170"/>
      <c r="BA21" s="171"/>
      <c r="BB21" s="280" t="str">
        <f>VLOOKUP(C21,'ДК ИП'!$B$16:$S$104,5,0)</f>
        <v>не подписана</v>
      </c>
      <c r="BC21" s="285">
        <f>VLOOKUP(C21,Радар!$B$16:$G$104,6,0)</f>
        <v>0.0315594081523503</v>
      </c>
      <c r="BD21" s="171"/>
      <c r="BF21" s="292">
        <f t="shared" si="11"/>
        <v>0</v>
      </c>
      <c r="BI21" s="9">
        <f t="shared" si="12"/>
        <v>0</v>
      </c>
      <c r="BJ21" s="9">
        <f>VLOOKUP(C21,Штаб!$B$16:$C$104,2)</f>
        <v>2</v>
      </c>
      <c r="BK21" s="9">
        <f>VLOOKUP(C21,'РО - регионы'!$B$16:$C$104,2)</f>
        <v>0</v>
      </c>
      <c r="BL21" s="9">
        <f>VLOOKUP(C21,'РО - регионы'!$B$16:$L$104,11)</f>
        <v>0</v>
      </c>
      <c r="BM21" s="9">
        <f>VLOOKUP(C21,Спецтехника!$B$16:$C$104,2)</f>
        <v>0</v>
      </c>
      <c r="BN21" s="9">
        <f>VLOOKUP($C21,МНО!$B$16:$AB$104,6,0)</f>
        <v>0</v>
      </c>
      <c r="BO21" s="9">
        <f>VLOOKUP($C21,МНО!$B$16:$AB$104,4,0)</f>
        <v>0</v>
      </c>
      <c r="BP21" s="9">
        <f>VLOOKUP($C21,МНО!$B$16:$AB$104,5,0)</f>
        <v>0</v>
      </c>
      <c r="BQ21" s="9">
        <f>VLOOKUP($C21,Контейнеры!$B$16:$G$104,6,0)</f>
        <v>0</v>
      </c>
      <c r="BR21" s="9">
        <f>VLOOKUP($C21,Контейнеры!$B$16:$G$104,4,0)</f>
        <v>0</v>
      </c>
      <c r="BS21" s="9">
        <f>VLOOKUP($C21,Контейнеры!$B$16:$G$104,5,0)</f>
        <v>0</v>
      </c>
      <c r="BT21" s="9">
        <f>VLOOKUP($C21,'ДК МНО'!$B$16:$C$104,2,0)</f>
        <v>2</v>
      </c>
      <c r="BU21" s="9">
        <f>VLOOKUP($C21,Обработка!$B$16:$F$104,5,0)</f>
        <v>0</v>
      </c>
      <c r="BV21" s="9">
        <f>VLOOKUP($C21,Обработка!$B$16:$F$104,4,0)</f>
        <v>0</v>
      </c>
      <c r="BW21" s="9">
        <f>VLOOKUP($C21,Утилизация!$B$16:$F$104,5,0)</f>
        <v>0</v>
      </c>
      <c r="BX21" s="9">
        <f>VLOOKUP($C21,Утилизация!$B$16:$F$104,4,0)</f>
        <v>0</v>
      </c>
      <c r="BY21" s="9">
        <f>VLOOKUP($C21,Захоронение!$B$16:$C$104,2,0)</f>
        <v>0</v>
      </c>
      <c r="BZ21" s="9">
        <f>VLOOKUP($C21,'ДК ИП'!$B$16:$C$104,2,0)</f>
        <v>0</v>
      </c>
      <c r="CA21" s="9">
        <f>VLOOKUP(C21,Радар!$B$16:$G$104,2,0)</f>
        <v>0</v>
      </c>
      <c r="CB21" s="9">
        <f>SUMPRODUCT(BJ21:BZ21,$BJ$5:$BZ$5)</f>
        <v>0</v>
      </c>
    </row>
    <row r="22" ht="15.75" spans="1:80">
      <c r="A22" s="6" t="s">
        <v>70</v>
      </c>
      <c r="B22" s="137">
        <f t="shared" si="6"/>
        <v>12</v>
      </c>
      <c r="C22" s="3" t="s">
        <v>71</v>
      </c>
      <c r="D22" s="133" t="str">
        <f>VLOOKUP($C22,Штаб!$B$16:$J$104,6,0)</f>
        <v/>
      </c>
      <c r="E22" s="134" t="str">
        <f>VLOOKUP($C22,Штаб!$B$16:$J$104,7,0)</f>
        <v>✔️</v>
      </c>
      <c r="F22" s="134" t="str">
        <f>VLOOKUP($C22,Штаб!$B$16:$J$104,8,0)</f>
        <v/>
      </c>
      <c r="G22" s="135" t="str">
        <f>VLOOKUP($C22,Штаб!$B$16:$J$104,9,0)</f>
        <v/>
      </c>
      <c r="H22" s="139" t="str">
        <f>VLOOKUP(C22,'РО - регионы'!$B$16:$I$104,8,0)</f>
        <v>0 / 0 / 1 из 1</v>
      </c>
      <c r="I22" s="169"/>
      <c r="J22" s="137"/>
      <c r="K22" s="170"/>
      <c r="L22" s="170"/>
      <c r="M22" s="171"/>
      <c r="N22" s="172">
        <f>VLOOKUP(C22,Спецтехника!$B$16:$J$104,4,0)</f>
        <v>869</v>
      </c>
      <c r="O22" s="173">
        <f>VLOOKUP(C22,Спецтехника!$B$16:$J$104,5,0)</f>
        <v>869</v>
      </c>
      <c r="P22" s="173">
        <f>VLOOKUP(C22,Спецтехника!$B$16:$J$104,6,0)</f>
        <v>0</v>
      </c>
      <c r="Q22" s="196">
        <f>VLOOKUP(C22,Спецтехника!$B$16:$J$104,7,0)</f>
        <v>0</v>
      </c>
      <c r="R22" s="197"/>
      <c r="S22" s="137"/>
      <c r="T22" s="170"/>
      <c r="U22" s="170"/>
      <c r="V22" s="171"/>
      <c r="W22" s="172">
        <f>VLOOKUP($C22,МНО!$B$16:$AB$104,16,0)</f>
        <v>0</v>
      </c>
      <c r="X22" s="173">
        <f>VLOOKUP($C22,МНО!$B$16:$AB$104,8,0)</f>
        <v>0</v>
      </c>
      <c r="Y22" s="173">
        <f>VLOOKUP($C22,МНО!$B$16:$AB$104,11,0)</f>
        <v>0</v>
      </c>
      <c r="Z22" s="216">
        <f>VLOOKUP($C22,МНО!$B$16:$AB$104,17,0)</f>
        <v>0</v>
      </c>
      <c r="AA22" s="213"/>
      <c r="AB22" s="214"/>
      <c r="AC22" s="215"/>
      <c r="AD22" s="172">
        <f>VLOOKUP($C22,Контейнеры!$B$16:$AB$104,16,0)</f>
        <v>0</v>
      </c>
      <c r="AE22" s="173">
        <f>VLOOKUP($C22,Контейнеры!$B$16:$AB$104,8,0)</f>
        <v>0</v>
      </c>
      <c r="AF22" s="173">
        <f>VLOOKUP($C22,Контейнеры!$B$16:$AB$104,11,0)</f>
        <v>0</v>
      </c>
      <c r="AG22" s="216">
        <f>VLOOKUP($C22,Контейнеры!$B$16:$AB$104,17,0)</f>
        <v>0</v>
      </c>
      <c r="AH22" s="213"/>
      <c r="AI22" s="214"/>
      <c r="AJ22" s="215"/>
      <c r="AK22" s="231"/>
      <c r="AL22" s="170"/>
      <c r="AM22" s="170"/>
      <c r="AN22" s="232"/>
      <c r="AO22" s="257">
        <f>VLOOKUP($C22,Обработка!$B$16:$L$104,6,0)</f>
        <v>0.751</v>
      </c>
      <c r="AP22" s="250">
        <f t="shared" si="7"/>
        <v>0.208</v>
      </c>
      <c r="AQ22" s="250">
        <f>VLOOKUP($C22,Обработка!$B$16:$L$104,7,0)</f>
        <v>1</v>
      </c>
      <c r="AR22" s="255">
        <f t="shared" si="8"/>
        <v>0.193</v>
      </c>
      <c r="AS22" s="253">
        <f>VLOOKUP($C22,Утилизация!$B$16:$L$104,6,0)</f>
        <v>0.067</v>
      </c>
      <c r="AT22" s="251">
        <f t="shared" si="9"/>
        <v>-0.072</v>
      </c>
      <c r="AU22" s="250">
        <f>VLOOKUP($C22,Утилизация!$B$16:$L$104,7,0)</f>
        <v>0.5</v>
      </c>
      <c r="AV22" s="256">
        <f t="shared" si="10"/>
        <v>0.214</v>
      </c>
      <c r="AW22" s="284" t="str">
        <f>VLOOKUP(C22,Захоронение!$B$16:$Q$104,16,0)</f>
        <v/>
      </c>
      <c r="AX22" s="231"/>
      <c r="AY22" s="170"/>
      <c r="AZ22" s="170"/>
      <c r="BA22" s="171"/>
      <c r="BB22" s="280" t="str">
        <f>VLOOKUP(C22,'ДК ИП'!$B$16:$S$104,5,0)</f>
        <v>нет</v>
      </c>
      <c r="BC22" s="281">
        <f>VLOOKUP(C22,Радар!$B$16:$G$104,6,0)</f>
        <v>0.103434175401852</v>
      </c>
      <c r="BD22" s="171"/>
      <c r="BF22" s="292">
        <f t="shared" si="11"/>
        <v>0.166666666666667</v>
      </c>
      <c r="BI22" s="9">
        <f t="shared" si="12"/>
        <v>0</v>
      </c>
      <c r="BJ22" s="9">
        <f>VLOOKUP(C22,Штаб!$B$16:$C$104,2)</f>
        <v>1</v>
      </c>
      <c r="BK22" s="9">
        <f>VLOOKUP(C22,'РО - регионы'!$B$16:$C$104,2)</f>
        <v>0</v>
      </c>
      <c r="BL22" s="9">
        <f>VLOOKUP(C22,'РО - регионы'!$B$16:$L$104,11)</f>
        <v>0</v>
      </c>
      <c r="BM22" s="9">
        <f>VLOOKUP(C22,Спецтехника!$B$16:$C$104,2)</f>
        <v>0</v>
      </c>
      <c r="BN22" s="9">
        <f>VLOOKUP($C22,МНО!$B$16:$AB$104,6,0)</f>
        <v>0</v>
      </c>
      <c r="BO22" s="9">
        <f>VLOOKUP($C22,МНО!$B$16:$AB$104,4,0)</f>
        <v>0</v>
      </c>
      <c r="BP22" s="9">
        <f>VLOOKUP($C22,МНО!$B$16:$AB$104,5,0)</f>
        <v>0</v>
      </c>
      <c r="BQ22" s="9">
        <f>VLOOKUP($C22,Контейнеры!$B$16:$G$104,6,0)</f>
        <v>0</v>
      </c>
      <c r="BR22" s="9">
        <f>VLOOKUP($C22,Контейнеры!$B$16:$G$104,4,0)</f>
        <v>0</v>
      </c>
      <c r="BS22" s="9">
        <f>VLOOKUP($C22,Контейнеры!$B$16:$G$104,5,0)</f>
        <v>0</v>
      </c>
      <c r="BT22" s="9">
        <f>VLOOKUP($C22,'ДК МНО'!$B$16:$C$104,2,0)</f>
        <v>2</v>
      </c>
      <c r="BU22" s="9">
        <f>VLOOKUP($C22,Обработка!$B$16:$F$104,5,0)</f>
        <v>0</v>
      </c>
      <c r="BV22" s="9">
        <f>VLOOKUP($C22,Обработка!$B$16:$F$104,4,0)</f>
        <v>0</v>
      </c>
      <c r="BW22" s="9">
        <f>VLOOKUP($C22,Утилизация!$B$16:$F$104,5,0)</f>
        <v>0</v>
      </c>
      <c r="BX22" s="9">
        <f>VLOOKUP($C22,Утилизация!$B$16:$F$104,4,0)</f>
        <v>2</v>
      </c>
      <c r="BY22" s="9">
        <f>VLOOKUP($C22,Захоронение!$B$16:$C$104,2,0)</f>
        <v>0</v>
      </c>
      <c r="BZ22" s="9">
        <f>VLOOKUP($C22,'ДК ИП'!$B$16:$C$104,2,0)</f>
        <v>0</v>
      </c>
      <c r="CA22" s="9">
        <f>VLOOKUP(C22,Радар!$B$16:$G$104,2,0)</f>
        <v>2</v>
      </c>
      <c r="CB22" s="9">
        <f>SUMPRODUCT(BJ22:BZ22,$BJ$5:$BZ$5)</f>
        <v>0.1</v>
      </c>
    </row>
    <row r="23" ht="15.75" spans="1:80">
      <c r="A23" s="6" t="s">
        <v>85</v>
      </c>
      <c r="B23" s="131">
        <f t="shared" si="6"/>
        <v>13</v>
      </c>
      <c r="C23" s="3" t="s">
        <v>118</v>
      </c>
      <c r="D23" s="133" t="str">
        <f>VLOOKUP($C23,Штаб!$B$16:$J$104,6,0)</f>
        <v/>
      </c>
      <c r="E23" s="134" t="str">
        <f>VLOOKUP($C23,Штаб!$B$16:$J$104,7,0)</f>
        <v/>
      </c>
      <c r="F23" s="134" t="str">
        <f>VLOOKUP($C23,Штаб!$B$16:$J$104,8,0)</f>
        <v/>
      </c>
      <c r="G23" s="135" t="str">
        <f>VLOOKUP($C23,Штаб!$B$16:$J$104,9,0)</f>
        <v>✔️</v>
      </c>
      <c r="H23" s="139" t="str">
        <f>VLOOKUP(C23,'РО - регионы'!$B$16:$I$104,8,0)</f>
        <v>0 / 0 / 1 из 1</v>
      </c>
      <c r="I23" s="169"/>
      <c r="J23" s="137"/>
      <c r="K23" s="170"/>
      <c r="L23" s="170"/>
      <c r="M23" s="171"/>
      <c r="N23" s="172">
        <f>VLOOKUP(C23,Спецтехника!$B$16:$J$104,4,0)</f>
        <v>74</v>
      </c>
      <c r="O23" s="173">
        <f>VLOOKUP(C23,Спецтехника!$B$16:$J$104,5,0)</f>
        <v>74</v>
      </c>
      <c r="P23" s="173">
        <f>VLOOKUP(C23,Спецтехника!$B$16:$J$104,6,0)</f>
        <v>0</v>
      </c>
      <c r="Q23" s="196">
        <f>VLOOKUP(C23,Спецтехника!$B$16:$J$104,7,0)</f>
        <v>0</v>
      </c>
      <c r="R23" s="197"/>
      <c r="S23" s="137"/>
      <c r="T23" s="170"/>
      <c r="U23" s="170"/>
      <c r="V23" s="171"/>
      <c r="W23" s="172">
        <f>VLOOKUP($C23,МНО!$B$16:$AB$104,16,0)</f>
        <v>0</v>
      </c>
      <c r="X23" s="173">
        <f>VLOOKUP($C23,МНО!$B$16:$AB$104,8,0)</f>
        <v>0</v>
      </c>
      <c r="Y23" s="173">
        <f>VLOOKUP($C23,МНО!$B$16:$AB$104,11,0)</f>
        <v>0</v>
      </c>
      <c r="Z23" s="216">
        <f>VLOOKUP($C23,МНО!$B$16:$AB$104,17,0)</f>
        <v>0</v>
      </c>
      <c r="AA23" s="213"/>
      <c r="AB23" s="214"/>
      <c r="AC23" s="215"/>
      <c r="AD23" s="172">
        <f>VLOOKUP($C23,Контейнеры!$B$16:$AB$104,16,0)</f>
        <v>6795</v>
      </c>
      <c r="AE23" s="173">
        <f>VLOOKUP($C23,Контейнеры!$B$16:$AB$104,8,0)</f>
        <v>0</v>
      </c>
      <c r="AF23" s="173">
        <f>VLOOKUP($C23,Контейнеры!$B$16:$AB$104,11,0)</f>
        <v>6795</v>
      </c>
      <c r="AG23" s="216">
        <f>VLOOKUP($C23,Контейнеры!$B$16:$AB$104,17,0)</f>
        <v>0</v>
      </c>
      <c r="AH23" s="213"/>
      <c r="AI23" s="214"/>
      <c r="AJ23" s="215"/>
      <c r="AK23" s="231"/>
      <c r="AL23" s="170"/>
      <c r="AM23" s="170"/>
      <c r="AN23" s="232"/>
      <c r="AO23" s="261">
        <f>VLOOKUP($C23,Обработка!$B$16:$L$104,6,0)</f>
        <v>0.497</v>
      </c>
      <c r="AP23" s="250">
        <f t="shared" si="7"/>
        <v>-0.046</v>
      </c>
      <c r="AQ23" s="259">
        <f>VLOOKUP($C23,Обработка!$B$16:$L$104,7,0)</f>
        <v>0.45</v>
      </c>
      <c r="AR23" s="262">
        <f t="shared" si="8"/>
        <v>-0.357</v>
      </c>
      <c r="AS23" s="253">
        <f>VLOOKUP($C23,Утилизация!$B$16:$L$104,6,0)</f>
        <v>0.015</v>
      </c>
      <c r="AT23" s="251">
        <f t="shared" si="9"/>
        <v>-0.124</v>
      </c>
      <c r="AU23" s="251">
        <f>VLOOKUP($C23,Утилизация!$B$16:$L$104,7,0)</f>
        <v>0.009</v>
      </c>
      <c r="AV23" s="254">
        <f t="shared" si="10"/>
        <v>-0.277</v>
      </c>
      <c r="AW23" s="283" t="str">
        <f>VLOOKUP(C23,Захоронение!$B$16:$Q$104,16,0)</f>
        <v>перегруз</v>
      </c>
      <c r="AX23" s="231"/>
      <c r="AY23" s="170"/>
      <c r="AZ23" s="170"/>
      <c r="BA23" s="171"/>
      <c r="BB23" s="280" t="str">
        <f>VLOOKUP(C23,'ДК ИП'!$B$16:$S$104,5,0)</f>
        <v>существенное</v>
      </c>
      <c r="BC23" s="285">
        <f>VLOOKUP(C23,Радар!$B$16:$G$104,6,0)</f>
        <v>0.035626872637493</v>
      </c>
      <c r="BD23" s="171"/>
      <c r="BF23" s="290">
        <f t="shared" si="11"/>
        <v>1</v>
      </c>
      <c r="BI23" s="9">
        <f t="shared" si="12"/>
        <v>0</v>
      </c>
      <c r="BJ23" s="9">
        <f>VLOOKUP(C23,Штаб!$B$16:$C$104,2)</f>
        <v>2</v>
      </c>
      <c r="BK23" s="9">
        <f>VLOOKUP(C23,'РО - регионы'!$B$16:$C$104,2)</f>
        <v>0</v>
      </c>
      <c r="BL23" s="9">
        <f>VLOOKUP(C23,'РО - регионы'!$B$16:$L$104,11)</f>
        <v>0</v>
      </c>
      <c r="BM23" s="9">
        <f>VLOOKUP(C23,Спецтехника!$B$16:$C$104,2)</f>
        <v>0</v>
      </c>
      <c r="BN23" s="9">
        <f>VLOOKUP($C23,МНО!$B$16:$AB$104,6,0)</f>
        <v>0</v>
      </c>
      <c r="BO23" s="9">
        <f>VLOOKUP($C23,МНО!$B$16:$AB$104,4,0)</f>
        <v>0</v>
      </c>
      <c r="BP23" s="9">
        <f>VLOOKUP($C23,МНО!$B$16:$AB$104,5,0)</f>
        <v>0</v>
      </c>
      <c r="BQ23" s="9">
        <f>VLOOKUP($C23,Контейнеры!$B$16:$G$104,6,0)</f>
        <v>0</v>
      </c>
      <c r="BR23" s="9">
        <f>VLOOKUP($C23,Контейнеры!$B$16:$G$104,4,0)</f>
        <v>0</v>
      </c>
      <c r="BS23" s="9">
        <f>VLOOKUP($C23,Контейнеры!$B$16:$G$104,5,0)</f>
        <v>0</v>
      </c>
      <c r="BT23" s="9">
        <f>VLOOKUP($C23,'ДК МНО'!$B$16:$C$104,2,0)</f>
        <v>2</v>
      </c>
      <c r="BU23" s="9">
        <f>VLOOKUP($C23,Обработка!$B$16:$F$104,5,0)</f>
        <v>1</v>
      </c>
      <c r="BV23" s="9">
        <f>VLOOKUP($C23,Обработка!$B$16:$F$104,4,0)</f>
        <v>1</v>
      </c>
      <c r="BW23" s="9">
        <f>VLOOKUP($C23,Утилизация!$B$16:$F$104,5,0)</f>
        <v>2</v>
      </c>
      <c r="BX23" s="9">
        <f>VLOOKUP($C23,Утилизация!$B$16:$F$104,4,0)</f>
        <v>2</v>
      </c>
      <c r="BY23" s="9">
        <f>VLOOKUP($C23,Захоронение!$B$16:$C$104,2,0)</f>
        <v>1</v>
      </c>
      <c r="BZ23" s="9">
        <f>VLOOKUP($C23,'ДК ИП'!$B$16:$C$104,2,0)</f>
        <v>2</v>
      </c>
      <c r="CA23" s="9">
        <f>VLOOKUP(C23,Радар!$B$16:$G$104,2,0)</f>
        <v>0</v>
      </c>
      <c r="CB23" s="9">
        <f>SUMPRODUCT(BJ23:BZ23,$BJ$5:$BZ$5)</f>
        <v>0.75</v>
      </c>
    </row>
    <row r="24" ht="15.75" spans="2:80">
      <c r="B24" s="137">
        <f t="shared" si="6"/>
        <v>14</v>
      </c>
      <c r="C24" s="3" t="s">
        <v>160</v>
      </c>
      <c r="D24" s="133" t="str">
        <f>VLOOKUP($C24,Штаб!$B$16:$J$104,6,0)</f>
        <v/>
      </c>
      <c r="E24" s="134" t="str">
        <f>VLOOKUP($C24,Штаб!$B$16:$J$104,7,0)</f>
        <v/>
      </c>
      <c r="F24" s="134" t="str">
        <f>VLOOKUP($C24,Штаб!$B$16:$J$104,8,0)</f>
        <v/>
      </c>
      <c r="G24" s="135" t="str">
        <f>VLOOKUP($C24,Штаб!$B$16:$J$104,9,0)</f>
        <v>✔️</v>
      </c>
      <c r="H24" s="138" t="str">
        <f>VLOOKUP(C24,'РО - регионы'!$B$16:$I$104,8,0)</f>
        <v>0 / 1 / 0 из 1</v>
      </c>
      <c r="I24" s="169"/>
      <c r="J24" s="137"/>
      <c r="K24" s="170"/>
      <c r="L24" s="170"/>
      <c r="M24" s="171"/>
      <c r="N24" s="176">
        <f>VLOOKUP(C24,Спецтехника!$B$16:$J$104,4,0)</f>
        <v>415</v>
      </c>
      <c r="O24" s="177">
        <f>VLOOKUP(C24,Спецтехника!$B$16:$J$104,5,0)</f>
        <v>321</v>
      </c>
      <c r="P24" s="177">
        <f>VLOOKUP(C24,Спецтехника!$B$16:$J$104,6,0)</f>
        <v>94</v>
      </c>
      <c r="Q24" s="199">
        <f>VLOOKUP(C24,Спецтехника!$B$16:$J$104,7,0)</f>
        <v>0.226506024096386</v>
      </c>
      <c r="R24" s="197"/>
      <c r="S24" s="137"/>
      <c r="T24" s="170"/>
      <c r="U24" s="170"/>
      <c r="V24" s="171"/>
      <c r="W24" s="172">
        <f>VLOOKUP($C24,МНО!$B$16:$AB$104,16,0)</f>
        <v>0</v>
      </c>
      <c r="X24" s="173">
        <f>VLOOKUP($C24,МНО!$B$16:$AB$104,8,0)</f>
        <v>0</v>
      </c>
      <c r="Y24" s="173">
        <f>VLOOKUP($C24,МНО!$B$16:$AB$104,11,0)</f>
        <v>0</v>
      </c>
      <c r="Z24" s="216">
        <f>VLOOKUP($C24,МНО!$B$16:$AB$104,17,0)</f>
        <v>0</v>
      </c>
      <c r="AA24" s="213"/>
      <c r="AB24" s="214"/>
      <c r="AC24" s="215"/>
      <c r="AD24" s="172">
        <f>VLOOKUP($C24,Контейнеры!$B$16:$AB$104,16,0)</f>
        <v>0</v>
      </c>
      <c r="AE24" s="173">
        <f>VLOOKUP($C24,Контейнеры!$B$16:$AB$104,8,0)</f>
        <v>0</v>
      </c>
      <c r="AF24" s="173">
        <f>VLOOKUP($C24,Контейнеры!$B$16:$AB$104,11,0)</f>
        <v>0</v>
      </c>
      <c r="AG24" s="216">
        <f>VLOOKUP($C24,Контейнеры!$B$16:$AB$104,17,0)</f>
        <v>0</v>
      </c>
      <c r="AH24" s="213"/>
      <c r="AI24" s="214"/>
      <c r="AJ24" s="215"/>
      <c r="AK24" s="231"/>
      <c r="AL24" s="170"/>
      <c r="AM24" s="170"/>
      <c r="AN24" s="232"/>
      <c r="AO24" s="257">
        <f>VLOOKUP($C24,Обработка!$B$16:$L$104,6,0)</f>
        <v>0</v>
      </c>
      <c r="AP24" s="250">
        <f t="shared" si="7"/>
        <v>-0.543</v>
      </c>
      <c r="AQ24" s="250">
        <f>VLOOKUP($C24,Обработка!$B$16:$L$104,7,0)</f>
        <v>0</v>
      </c>
      <c r="AR24" s="255">
        <f t="shared" si="8"/>
        <v>-0.807</v>
      </c>
      <c r="AS24" s="263">
        <f>VLOOKUP($C24,Утилизация!$B$16:$L$104,6,0)</f>
        <v>0</v>
      </c>
      <c r="AT24" s="250">
        <f t="shared" si="9"/>
        <v>-0.139</v>
      </c>
      <c r="AU24" s="250">
        <f>VLOOKUP($C24,Утилизация!$B$16:$L$104,7,0)</f>
        <v>0</v>
      </c>
      <c r="AV24" s="256">
        <f t="shared" si="10"/>
        <v>-0.286</v>
      </c>
      <c r="AW24" s="284"/>
      <c r="AX24" s="231"/>
      <c r="AY24" s="170"/>
      <c r="AZ24" s="170"/>
      <c r="BA24" s="171"/>
      <c r="BB24" s="280" t="str">
        <f>VLOOKUP(C24,'ДК ИП'!$B$16:$S$104,5,0)</f>
        <v>не подписана</v>
      </c>
      <c r="BC24" s="281" t="str">
        <f>VLOOKUP(C24,Радар!$B$16:$G$104,6,0)</f>
        <v/>
      </c>
      <c r="BD24" s="171"/>
      <c r="BF24" s="292">
        <f t="shared" si="11"/>
        <v>0</v>
      </c>
      <c r="BI24" s="9">
        <f t="shared" si="12"/>
        <v>0</v>
      </c>
      <c r="BJ24" s="9">
        <f>VLOOKUP(C24,Штаб!$B$16:$C$104,2)</f>
        <v>2</v>
      </c>
      <c r="BK24" s="9">
        <f>VLOOKUP(C24,'РО - регионы'!$B$16:$C$104,2)</f>
        <v>1</v>
      </c>
      <c r="BL24" s="9">
        <f>VLOOKUP(C24,'РО - регионы'!$B$16:$L$104,11)</f>
        <v>2</v>
      </c>
      <c r="BM24" s="9">
        <f>VLOOKUP(C24,Спецтехника!$B$16:$C$104,2)</f>
        <v>2</v>
      </c>
      <c r="BN24" s="9">
        <f>VLOOKUP($C24,МНО!$B$16:$AB$104,6,0)</f>
        <v>0</v>
      </c>
      <c r="BO24" s="9">
        <f>VLOOKUP($C24,МНО!$B$16:$AB$104,4,0)</f>
        <v>0</v>
      </c>
      <c r="BP24" s="9">
        <f>VLOOKUP($C24,МНО!$B$16:$AB$104,5,0)</f>
        <v>0</v>
      </c>
      <c r="BQ24" s="9">
        <f>VLOOKUP($C24,Контейнеры!$B$16:$G$104,6,0)</f>
        <v>0</v>
      </c>
      <c r="BR24" s="9">
        <f>VLOOKUP($C24,Контейнеры!$B$16:$G$104,4,0)</f>
        <v>0</v>
      </c>
      <c r="BS24" s="9">
        <f>VLOOKUP($C24,Контейнеры!$B$16:$G$104,5,0)</f>
        <v>0</v>
      </c>
      <c r="BT24" s="9">
        <f>VLOOKUP($C24,'ДК МНО'!$B$16:$C$104,2,0)</f>
        <v>2</v>
      </c>
      <c r="BU24" s="9">
        <f>VLOOKUP($C24,Обработка!$B$16:$F$104,5,0)</f>
        <v>0</v>
      </c>
      <c r="BV24" s="9">
        <f>VLOOKUP($C24,Обработка!$B$16:$F$104,4,0)</f>
        <v>0</v>
      </c>
      <c r="BW24" s="9">
        <f>VLOOKUP($C24,Утилизация!$B$16:$F$104,5,0)</f>
        <v>0</v>
      </c>
      <c r="BX24" s="9">
        <f>VLOOKUP($C24,Утилизация!$B$16:$F$104,4,0)</f>
        <v>0</v>
      </c>
      <c r="BY24" s="9">
        <f>VLOOKUP($C24,Захоронение!$B$16:$C$104,2,0)</f>
        <v>0</v>
      </c>
      <c r="BZ24" s="9">
        <f>VLOOKUP($C24,'ДК ИП'!$B$16:$C$104,2,0)</f>
        <v>0</v>
      </c>
      <c r="CA24" s="9">
        <f>VLOOKUP(C24,Радар!$B$16:$G$104,2,0)</f>
        <v>2</v>
      </c>
      <c r="CB24" s="9">
        <f>SUMPRODUCT(BJ24:BZ24,$BJ$5:$BZ$5)</f>
        <v>0.3</v>
      </c>
    </row>
    <row r="25" ht="15.75" spans="1:80">
      <c r="A25" s="6" t="s">
        <v>129</v>
      </c>
      <c r="B25" s="131">
        <f t="shared" si="6"/>
        <v>15</v>
      </c>
      <c r="C25" s="3" t="s">
        <v>131</v>
      </c>
      <c r="D25" s="133" t="str">
        <f>VLOOKUP($C25,Штаб!$B$16:$J$104,6,0)</f>
        <v>✔️</v>
      </c>
      <c r="E25" s="134" t="str">
        <f>VLOOKUP($C25,Штаб!$B$16:$J$104,7,0)</f>
        <v/>
      </c>
      <c r="F25" s="134" t="str">
        <f>VLOOKUP($C25,Штаб!$B$16:$J$104,8,0)</f>
        <v/>
      </c>
      <c r="G25" s="135" t="str">
        <f>VLOOKUP($C25,Штаб!$B$16:$J$104,9,0)</f>
        <v/>
      </c>
      <c r="H25" s="138" t="str">
        <f>VLOOKUP(C25,'РО - регионы'!$B$16:$I$104,8,0)</f>
        <v>0 / 1 / 0 из 1</v>
      </c>
      <c r="I25" s="169"/>
      <c r="J25" s="137"/>
      <c r="K25" s="170"/>
      <c r="L25" s="170"/>
      <c r="M25" s="171"/>
      <c r="N25" s="176">
        <f>VLOOKUP(C25,Спецтехника!$B$16:$J$104,4,0)</f>
        <v>48</v>
      </c>
      <c r="O25" s="177">
        <f>VLOOKUP(C25,Спецтехника!$B$16:$J$104,5,0)</f>
        <v>33</v>
      </c>
      <c r="P25" s="177">
        <f>VLOOKUP(C25,Спецтехника!$B$16:$J$104,6,0)</f>
        <v>15</v>
      </c>
      <c r="Q25" s="199">
        <f>VLOOKUP(C25,Спецтехника!$B$16:$J$104,7,0)</f>
        <v>0.3125</v>
      </c>
      <c r="R25" s="197"/>
      <c r="S25" s="137"/>
      <c r="T25" s="170"/>
      <c r="U25" s="170"/>
      <c r="V25" s="171"/>
      <c r="W25" s="174">
        <f>VLOOKUP($C25,МНО!$B$16:$AB$104,16,0)</f>
        <v>1042</v>
      </c>
      <c r="X25" s="175">
        <f>VLOOKUP($C25,МНО!$B$16:$AB$104,8,0)</f>
        <v>742</v>
      </c>
      <c r="Y25" s="175">
        <f>VLOOKUP($C25,МНО!$B$16:$AB$104,11,0)</f>
        <v>300</v>
      </c>
      <c r="Z25" s="212">
        <f>VLOOKUP($C25,МНО!$B$16:$AB$104,17,0)</f>
        <v>0.287907869481766</v>
      </c>
      <c r="AA25" s="213"/>
      <c r="AB25" s="214">
        <f>VLOOKUP($C25,МНО!$B$16:$AB$104,13,0)</f>
        <v>4.93134524903636</v>
      </c>
      <c r="AC25" s="215">
        <f>VLOOKUP($C25,МНО!$B$16:$AB$104,18,0)</f>
        <v>0.866822429906542</v>
      </c>
      <c r="AD25" s="176">
        <f>VLOOKUP($C25,Контейнеры!$B$16:$AB$104,16,0)</f>
        <v>2897</v>
      </c>
      <c r="AE25" s="177">
        <f>VLOOKUP($C25,Контейнеры!$B$16:$AB$104,8,0)</f>
        <v>1997</v>
      </c>
      <c r="AF25" s="177">
        <f>VLOOKUP($C25,Контейнеры!$B$16:$AB$104,11,0)</f>
        <v>900</v>
      </c>
      <c r="AG25" s="217">
        <f>VLOOKUP($C25,Контейнеры!$B$16:$AB$104,17,0)</f>
        <v>0.310666206420435</v>
      </c>
      <c r="AH25" s="213"/>
      <c r="AI25" s="214">
        <f>VLOOKUP($C25,Контейнеры!$B$16:$AB$104,13,0)</f>
        <v>13.6966571103277</v>
      </c>
      <c r="AJ25" s="215">
        <f>VLOOKUP($C25,Контейнеры!$B$16:$AB$104,18,0)</f>
        <v>1</v>
      </c>
      <c r="AK25" s="231"/>
      <c r="AL25" s="170"/>
      <c r="AM25" s="170"/>
      <c r="AN25" s="232"/>
      <c r="AO25" s="249">
        <f>VLOOKUP($C25,Обработка!$B$16:$L$104,6,0)</f>
        <v>0.038</v>
      </c>
      <c r="AP25" s="251">
        <f t="shared" si="7"/>
        <v>-0.505</v>
      </c>
      <c r="AQ25" s="250">
        <f>VLOOKUP($C25,Обработка!$B$16:$L$104,7,0)</f>
        <v>0.837</v>
      </c>
      <c r="AR25" s="255">
        <f t="shared" si="8"/>
        <v>0.03</v>
      </c>
      <c r="AS25" s="253">
        <f>VLOOKUP($C25,Утилизация!$B$16:$L$104,6,0)</f>
        <v>0</v>
      </c>
      <c r="AT25" s="251">
        <f t="shared" si="9"/>
        <v>-0.139</v>
      </c>
      <c r="AU25" s="250">
        <f>VLOOKUP($C25,Утилизация!$B$16:$L$104,7,0)</f>
        <v>0.5</v>
      </c>
      <c r="AV25" s="256">
        <f t="shared" si="10"/>
        <v>0.214</v>
      </c>
      <c r="AW25" s="284" t="str">
        <f>VLOOKUP(C25,Захоронение!$B$16:$Q$104,16,0)</f>
        <v/>
      </c>
      <c r="AX25" s="231"/>
      <c r="AY25" s="170"/>
      <c r="AZ25" s="170"/>
      <c r="BA25" s="171"/>
      <c r="BB25" s="280" t="str">
        <f>VLOOKUP(C25,'ДК ИП'!$B$16:$S$104,5,0)</f>
        <v>существенное</v>
      </c>
      <c r="BC25" s="285">
        <f>VLOOKUP(C25,Радар!$B$16:$G$104,6,0)</f>
        <v>0.020575849439651</v>
      </c>
      <c r="BD25" s="171"/>
      <c r="BF25" s="291">
        <f t="shared" si="11"/>
        <v>0.5</v>
      </c>
      <c r="BI25" s="9">
        <f t="shared" si="12"/>
        <v>1</v>
      </c>
      <c r="BJ25" s="9">
        <f>VLOOKUP(C25,Штаб!$B$16:$C$104,2)</f>
        <v>0</v>
      </c>
      <c r="BK25" s="9">
        <f>VLOOKUP(C25,'РО - регионы'!$B$16:$C$104,2)</f>
        <v>1</v>
      </c>
      <c r="BL25" s="9">
        <f>VLOOKUP(C25,'РО - регионы'!$B$16:$L$104,11)</f>
        <v>2</v>
      </c>
      <c r="BM25" s="9">
        <f>VLOOKUP(C25,Спецтехника!$B$16:$C$104,2)</f>
        <v>2</v>
      </c>
      <c r="BN25" s="9">
        <f>VLOOKUP($C25,МНО!$B$16:$AB$104,6,0)</f>
        <v>1</v>
      </c>
      <c r="BO25" s="9">
        <f>VLOOKUP($C25,МНО!$B$16:$AB$104,4,0)</f>
        <v>1</v>
      </c>
      <c r="BP25" s="9">
        <f>VLOOKUP($C25,МНО!$B$16:$AB$104,5,0)</f>
        <v>0</v>
      </c>
      <c r="BQ25" s="9">
        <f>VLOOKUP($C25,Контейнеры!$B$16:$G$104,6,0)</f>
        <v>2</v>
      </c>
      <c r="BR25" s="9">
        <f>VLOOKUP($C25,Контейнеры!$B$16:$G$104,4,0)</f>
        <v>2</v>
      </c>
      <c r="BS25" s="9">
        <f>VLOOKUP($C25,Контейнеры!$B$16:$G$104,5,0)</f>
        <v>0</v>
      </c>
      <c r="BT25" s="9">
        <f>VLOOKUP($C25,'ДК МНО'!$B$16:$C$104,2,0)</f>
        <v>2</v>
      </c>
      <c r="BU25" s="9">
        <f>VLOOKUP($C25,Обработка!$B$16:$F$104,5,0)</f>
        <v>0</v>
      </c>
      <c r="BV25" s="9">
        <f>VLOOKUP($C25,Обработка!$B$16:$F$104,4,0)</f>
        <v>2</v>
      </c>
      <c r="BW25" s="9">
        <f>VLOOKUP($C25,Утилизация!$B$16:$F$104,5,0)</f>
        <v>0</v>
      </c>
      <c r="BX25" s="9">
        <f>VLOOKUP($C25,Утилизация!$B$16:$F$104,4,0)</f>
        <v>2</v>
      </c>
      <c r="BY25" s="9">
        <f>VLOOKUP($C25,Захоронение!$B$16:$C$104,2,0)</f>
        <v>0</v>
      </c>
      <c r="BZ25" s="9">
        <f>VLOOKUP($C25,'ДК ИП'!$B$16:$C$104,2,0)</f>
        <v>2</v>
      </c>
      <c r="CA25" s="9">
        <f>VLOOKUP(C25,Радар!$B$16:$G$104,2,0)</f>
        <v>0</v>
      </c>
      <c r="CB25" s="9">
        <f>SUMPRODUCT(BJ25:BZ25,$BJ$5:$BZ$5)</f>
        <v>1</v>
      </c>
    </row>
    <row r="26" ht="15.75" spans="1:80">
      <c r="A26" s="6" t="s">
        <v>129</v>
      </c>
      <c r="B26" s="137">
        <f t="shared" si="6"/>
        <v>16</v>
      </c>
      <c r="C26" s="3" t="s">
        <v>155</v>
      </c>
      <c r="D26" s="133" t="str">
        <f>VLOOKUP($C26,Штаб!$B$16:$J$104,6,0)</f>
        <v>✔️</v>
      </c>
      <c r="E26" s="134" t="str">
        <f>VLOOKUP($C26,Штаб!$B$16:$J$104,7,0)</f>
        <v/>
      </c>
      <c r="F26" s="134" t="str">
        <f>VLOOKUP($C26,Штаб!$B$16:$J$104,8,0)</f>
        <v/>
      </c>
      <c r="G26" s="135" t="str">
        <f>VLOOKUP($C26,Штаб!$B$16:$J$104,9,0)</f>
        <v/>
      </c>
      <c r="H26" s="138" t="str">
        <f>VLOOKUP(C26,'РО - регионы'!$B$16:$I$104,8,0)</f>
        <v>0 / 1 / 0 из 1</v>
      </c>
      <c r="I26" s="169"/>
      <c r="J26" s="137"/>
      <c r="K26" s="170"/>
      <c r="L26" s="170"/>
      <c r="M26" s="171"/>
      <c r="N26" s="172">
        <f>VLOOKUP(C26,Спецтехника!$B$16:$J$104,4,0)</f>
        <v>115</v>
      </c>
      <c r="O26" s="173">
        <f>VLOOKUP(C26,Спецтехника!$B$16:$J$104,5,0)</f>
        <v>105</v>
      </c>
      <c r="P26" s="173">
        <f>VLOOKUP(C26,Спецтехника!$B$16:$J$104,6,0)</f>
        <v>10</v>
      </c>
      <c r="Q26" s="196">
        <f>VLOOKUP(C26,Спецтехника!$B$16:$J$104,7,0)</f>
        <v>0.0869565217391304</v>
      </c>
      <c r="R26" s="197"/>
      <c r="S26" s="137"/>
      <c r="T26" s="170"/>
      <c r="U26" s="170"/>
      <c r="V26" s="171"/>
      <c r="W26" s="176">
        <f>VLOOKUP($C26,МНО!$B$16:$AB$104,16,0)</f>
        <v>10090</v>
      </c>
      <c r="X26" s="177">
        <f>VLOOKUP($C26,МНО!$B$16:$AB$104,8,0)</f>
        <v>5551</v>
      </c>
      <c r="Y26" s="177">
        <f>VLOOKUP($C26,МНО!$B$16:$AB$104,11,0)</f>
        <v>4539</v>
      </c>
      <c r="Z26" s="217">
        <f>VLOOKUP($C26,МНО!$B$16:$AB$104,17,0)</f>
        <v>0.449851337958375</v>
      </c>
      <c r="AA26" s="213"/>
      <c r="AB26" s="214">
        <f>VLOOKUP($C26,МНО!$B$16:$AB$104,13,0)</f>
        <v>4.06645706245968</v>
      </c>
      <c r="AC26" s="215">
        <f>VLOOKUP($C26,МНО!$B$16:$AB$104,18,0)</f>
        <v>0.625112612612613</v>
      </c>
      <c r="AD26" s="176">
        <f>VLOOKUP($C26,Контейнеры!$B$16:$AB$104,16,0)</f>
        <v>20711</v>
      </c>
      <c r="AE26" s="177">
        <f>VLOOKUP($C26,Контейнеры!$B$16:$AB$104,8,0)</f>
        <v>10664</v>
      </c>
      <c r="AF26" s="177">
        <f>VLOOKUP($C26,Контейнеры!$B$16:$AB$104,11,0)</f>
        <v>10047</v>
      </c>
      <c r="AG26" s="217">
        <f>VLOOKUP($C26,Контейнеры!$B$16:$AB$104,17,0)</f>
        <v>0.485104533822606</v>
      </c>
      <c r="AH26" s="213"/>
      <c r="AI26" s="214">
        <f>VLOOKUP($C26,Контейнеры!$B$16:$AB$104,13,0)</f>
        <v>10.8330497412116</v>
      </c>
      <c r="AJ26" s="215">
        <f>VLOOKUP($C26,Контейнеры!$B$16:$AB$104,18,0)</f>
        <v>1</v>
      </c>
      <c r="AK26" s="231"/>
      <c r="AL26" s="170"/>
      <c r="AM26" s="170"/>
      <c r="AN26" s="232"/>
      <c r="AO26" s="249">
        <f>VLOOKUP($C26,Обработка!$B$16:$L$104,6,0)</f>
        <v>0.04</v>
      </c>
      <c r="AP26" s="250">
        <f t="shared" si="7"/>
        <v>-0.503</v>
      </c>
      <c r="AQ26" s="259">
        <f>VLOOKUP($C26,Обработка!$B$16:$L$104,7,0)</f>
        <v>0.59</v>
      </c>
      <c r="AR26" s="262">
        <f t="shared" si="8"/>
        <v>-0.217</v>
      </c>
      <c r="AS26" s="253">
        <f>VLOOKUP($C26,Утилизация!$B$16:$L$104,6,0)</f>
        <v>0.003</v>
      </c>
      <c r="AT26" s="251">
        <f t="shared" si="9"/>
        <v>-0.136</v>
      </c>
      <c r="AU26" s="259">
        <f>VLOOKUP($C26,Утилизация!$B$16:$L$104,7,0)</f>
        <v>0.15</v>
      </c>
      <c r="AV26" s="260">
        <f t="shared" si="10"/>
        <v>-0.136</v>
      </c>
      <c r="AW26" s="279" t="str">
        <f>VLOOKUP(C26,Захоронение!$B$16:$Q$104,16,0)</f>
        <v>свалки</v>
      </c>
      <c r="AX26" s="231"/>
      <c r="AY26" s="170"/>
      <c r="AZ26" s="170"/>
      <c r="BA26" s="171"/>
      <c r="BB26" s="280" t="str">
        <f>VLOOKUP(C26,'ДК ИП'!$B$16:$S$104,5,0)</f>
        <v>существенное</v>
      </c>
      <c r="BC26" s="285">
        <f>VLOOKUP(C26,Радар!$B$16:$G$104,6,0)</f>
        <v>0.0193011951503208</v>
      </c>
      <c r="BD26" s="171"/>
      <c r="BF26" s="290">
        <f t="shared" si="11"/>
        <v>1.33333333333333</v>
      </c>
      <c r="BI26" s="9">
        <f t="shared" si="12"/>
        <v>2</v>
      </c>
      <c r="BJ26" s="9">
        <f>VLOOKUP(C26,Штаб!$B$16:$C$104,2)</f>
        <v>0</v>
      </c>
      <c r="BK26" s="9">
        <f>VLOOKUP(C26,'РО - регионы'!$B$16:$C$104,2)</f>
        <v>1</v>
      </c>
      <c r="BL26" s="9">
        <f>VLOOKUP(C26,'РО - регионы'!$B$16:$L$104,11)</f>
        <v>2</v>
      </c>
      <c r="BM26" s="9">
        <f>VLOOKUP(C26,Спецтехника!$B$16:$C$104,2)</f>
        <v>0</v>
      </c>
      <c r="BN26" s="9">
        <f>VLOOKUP($C26,МНО!$B$16:$AB$104,6,0)</f>
        <v>2</v>
      </c>
      <c r="BO26" s="9">
        <f>VLOOKUP($C26,МНО!$B$16:$AB$104,4,0)</f>
        <v>1</v>
      </c>
      <c r="BP26" s="9">
        <f>VLOOKUP($C26,МНО!$B$16:$AB$104,5,0)</f>
        <v>2</v>
      </c>
      <c r="BQ26" s="9">
        <f>VLOOKUP($C26,Контейнеры!$B$16:$G$104,6,0)</f>
        <v>2</v>
      </c>
      <c r="BR26" s="9">
        <f>VLOOKUP($C26,Контейнеры!$B$16:$G$104,4,0)</f>
        <v>0</v>
      </c>
      <c r="BS26" s="9">
        <f>VLOOKUP($C26,Контейнеры!$B$16:$G$104,5,0)</f>
        <v>0</v>
      </c>
      <c r="BT26" s="9">
        <f>VLOOKUP($C26,'ДК МНО'!$B$16:$C$104,2,0)</f>
        <v>2</v>
      </c>
      <c r="BU26" s="9">
        <f>VLOOKUP($C26,Обработка!$B$16:$F$104,5,0)</f>
        <v>1</v>
      </c>
      <c r="BV26" s="9">
        <f>VLOOKUP($C26,Обработка!$B$16:$F$104,4,0)</f>
        <v>2</v>
      </c>
      <c r="BW26" s="9">
        <f>VLOOKUP($C26,Утилизация!$B$16:$F$104,5,0)</f>
        <v>1</v>
      </c>
      <c r="BX26" s="9">
        <f>VLOOKUP($C26,Утилизация!$B$16:$F$104,4,0)</f>
        <v>2</v>
      </c>
      <c r="BY26" s="9">
        <f>VLOOKUP($C26,Захоронение!$B$16:$C$104,2,0)</f>
        <v>2</v>
      </c>
      <c r="BZ26" s="9">
        <f>VLOOKUP($C26,'ДК ИП'!$B$16:$C$104,2,0)</f>
        <v>2</v>
      </c>
      <c r="CA26" s="9">
        <f>VLOOKUP(C26,Радар!$B$16:$G$104,2,0)</f>
        <v>0</v>
      </c>
      <c r="CB26" s="9">
        <f>SUMPRODUCT(BJ26:BZ26,$BJ$5:$BZ$5)</f>
        <v>1.45</v>
      </c>
    </row>
    <row r="27" ht="15.75" spans="2:80">
      <c r="B27" s="131">
        <f t="shared" si="6"/>
        <v>17</v>
      </c>
      <c r="C27" s="3" t="s">
        <v>161</v>
      </c>
      <c r="D27" s="133" t="str">
        <f>VLOOKUP($C27,Штаб!$B$16:$J$104,6,0)</f>
        <v/>
      </c>
      <c r="E27" s="134" t="str">
        <f>VLOOKUP($C27,Штаб!$B$16:$J$104,7,0)</f>
        <v/>
      </c>
      <c r="F27" s="134" t="str">
        <f>VLOOKUP($C27,Штаб!$B$16:$J$104,8,0)</f>
        <v/>
      </c>
      <c r="G27" s="135" t="str">
        <f>VLOOKUP($C27,Штаб!$B$16:$J$104,9,0)</f>
        <v>✔️</v>
      </c>
      <c r="H27" s="138" t="str">
        <f>VLOOKUP(C27,'РО - регионы'!$B$16:$I$104,8,0)</f>
        <v>0 / 1 / 0 из 1</v>
      </c>
      <c r="I27" s="169"/>
      <c r="J27" s="137"/>
      <c r="K27" s="170"/>
      <c r="L27" s="170"/>
      <c r="M27" s="171"/>
      <c r="N27" s="174">
        <f>VLOOKUP(C27,Спецтехника!$B$16:$J$104,4,0)</f>
        <v>71</v>
      </c>
      <c r="O27" s="175">
        <f>VLOOKUP(C27,Спецтехника!$B$16:$J$104,5,0)</f>
        <v>59</v>
      </c>
      <c r="P27" s="175">
        <f>VLOOKUP(C27,Спецтехника!$B$16:$J$104,6,0)</f>
        <v>12</v>
      </c>
      <c r="Q27" s="198">
        <f>VLOOKUP(C27,Спецтехника!$B$16:$J$104,7,0)</f>
        <v>0.169014084507042</v>
      </c>
      <c r="R27" s="197"/>
      <c r="S27" s="137"/>
      <c r="T27" s="170"/>
      <c r="U27" s="170"/>
      <c r="V27" s="171"/>
      <c r="W27" s="172">
        <f>VLOOKUP($C27,МНО!$B$16:$AB$104,16,0)</f>
        <v>0</v>
      </c>
      <c r="X27" s="173">
        <f>VLOOKUP($C27,МНО!$B$16:$AB$104,8,0)</f>
        <v>0</v>
      </c>
      <c r="Y27" s="173">
        <f>VLOOKUP($C27,МНО!$B$16:$AB$104,11,0)</f>
        <v>0</v>
      </c>
      <c r="Z27" s="216">
        <f>VLOOKUP($C27,МНО!$B$16:$AB$104,17,0)</f>
        <v>0</v>
      </c>
      <c r="AA27" s="213"/>
      <c r="AB27" s="214"/>
      <c r="AC27" s="215"/>
      <c r="AD27" s="172">
        <f>VLOOKUP($C27,Контейнеры!$B$16:$AB$104,16,0)</f>
        <v>0</v>
      </c>
      <c r="AE27" s="173">
        <f>VLOOKUP($C27,Контейнеры!$B$16:$AB$104,8,0)</f>
        <v>0</v>
      </c>
      <c r="AF27" s="173">
        <f>VLOOKUP($C27,Контейнеры!$B$16:$AB$104,11,0)</f>
        <v>0</v>
      </c>
      <c r="AG27" s="216">
        <f>VLOOKUP($C27,Контейнеры!$B$16:$AB$104,17,0)</f>
        <v>0</v>
      </c>
      <c r="AH27" s="213"/>
      <c r="AI27" s="214"/>
      <c r="AJ27" s="215"/>
      <c r="AK27" s="231"/>
      <c r="AL27" s="170"/>
      <c r="AM27" s="170"/>
      <c r="AN27" s="232"/>
      <c r="AO27" s="257">
        <f>VLOOKUP($C27,Обработка!$B$16:$L$104,6,0)</f>
        <v>0</v>
      </c>
      <c r="AP27" s="250">
        <f t="shared" si="7"/>
        <v>-0.543</v>
      </c>
      <c r="AQ27" s="250">
        <f>VLOOKUP($C27,Обработка!$B$16:$L$104,7,0)</f>
        <v>0</v>
      </c>
      <c r="AR27" s="255">
        <f t="shared" si="8"/>
        <v>-0.807</v>
      </c>
      <c r="AS27" s="263">
        <f>VLOOKUP($C27,Утилизация!$B$16:$L$104,6,0)</f>
        <v>0</v>
      </c>
      <c r="AT27" s="250">
        <f t="shared" si="9"/>
        <v>-0.139</v>
      </c>
      <c r="AU27" s="250">
        <f>VLOOKUP($C27,Утилизация!$B$16:$L$104,7,0)</f>
        <v>0</v>
      </c>
      <c r="AV27" s="256">
        <f t="shared" si="10"/>
        <v>-0.286</v>
      </c>
      <c r="AW27" s="284"/>
      <c r="AX27" s="231"/>
      <c r="AY27" s="170"/>
      <c r="AZ27" s="170"/>
      <c r="BA27" s="171"/>
      <c r="BB27" s="280" t="str">
        <f>VLOOKUP(C27,'ДК ИП'!$B$16:$S$104,5,0)</f>
        <v>не подписана</v>
      </c>
      <c r="BC27" s="281" t="str">
        <f>VLOOKUP(C27,Радар!$B$16:$G$104,6,0)</f>
        <v/>
      </c>
      <c r="BD27" s="171"/>
      <c r="BF27" s="292">
        <f t="shared" si="11"/>
        <v>0</v>
      </c>
      <c r="BI27" s="9">
        <f t="shared" si="12"/>
        <v>0</v>
      </c>
      <c r="BJ27" s="9">
        <f>VLOOKUP(C27,Штаб!$B$16:$C$104,2)</f>
        <v>2</v>
      </c>
      <c r="BK27" s="9">
        <f>VLOOKUP(C27,'РО - регионы'!$B$16:$C$104,2)</f>
        <v>1</v>
      </c>
      <c r="BL27" s="9">
        <f>VLOOKUP(C27,'РО - регионы'!$B$16:$L$104,11)</f>
        <v>2</v>
      </c>
      <c r="BM27" s="9">
        <f>VLOOKUP(C27,Спецтехника!$B$16:$C$104,2)</f>
        <v>1</v>
      </c>
      <c r="BN27" s="9">
        <f>VLOOKUP($C27,МНО!$B$16:$AB$104,6,0)</f>
        <v>0</v>
      </c>
      <c r="BO27" s="9">
        <f>VLOOKUP($C27,МНО!$B$16:$AB$104,4,0)</f>
        <v>0</v>
      </c>
      <c r="BP27" s="9">
        <f>VLOOKUP($C27,МНО!$B$16:$AB$104,5,0)</f>
        <v>0</v>
      </c>
      <c r="BQ27" s="9">
        <f>VLOOKUP($C27,Контейнеры!$B$16:$G$104,6,0)</f>
        <v>0</v>
      </c>
      <c r="BR27" s="9">
        <f>VLOOKUP($C27,Контейнеры!$B$16:$G$104,4,0)</f>
        <v>0</v>
      </c>
      <c r="BS27" s="9">
        <f>VLOOKUP($C27,Контейнеры!$B$16:$G$104,5,0)</f>
        <v>0</v>
      </c>
      <c r="BT27" s="9">
        <f>VLOOKUP($C27,'ДК МНО'!$B$16:$C$104,2,0)</f>
        <v>2</v>
      </c>
      <c r="BU27" s="9">
        <f>VLOOKUP($C27,Обработка!$B$16:$F$104,5,0)</f>
        <v>0</v>
      </c>
      <c r="BV27" s="9">
        <f>VLOOKUP($C27,Обработка!$B$16:$F$104,4,0)</f>
        <v>0</v>
      </c>
      <c r="BW27" s="9">
        <f>VLOOKUP($C27,Утилизация!$B$16:$F$104,5,0)</f>
        <v>0</v>
      </c>
      <c r="BX27" s="9">
        <f>VLOOKUP($C27,Утилизация!$B$16:$F$104,4,0)</f>
        <v>0</v>
      </c>
      <c r="BY27" s="9">
        <f>VLOOKUP($C27,Захоронение!$B$16:$C$104,2,0)</f>
        <v>0</v>
      </c>
      <c r="BZ27" s="9">
        <f>VLOOKUP($C27,'ДК ИП'!$B$16:$C$104,2,0)</f>
        <v>0</v>
      </c>
      <c r="CA27" s="9">
        <f>VLOOKUP(C27,Радар!$B$16:$G$104,2,0)</f>
        <v>2</v>
      </c>
      <c r="CB27" s="9">
        <f>SUMPRODUCT(BJ27:BZ27,$BJ$5:$BZ$5)</f>
        <v>0.25</v>
      </c>
    </row>
    <row r="28" ht="15.75" spans="1:80">
      <c r="A28" s="6" t="s">
        <v>67</v>
      </c>
      <c r="B28" s="137">
        <f t="shared" si="6"/>
        <v>18</v>
      </c>
      <c r="C28" s="3" t="s">
        <v>81</v>
      </c>
      <c r="D28" s="133" t="str">
        <f>VLOOKUP($C28,Штаб!$B$16:$J$104,6,0)</f>
        <v>✔️</v>
      </c>
      <c r="E28" s="134" t="str">
        <f>VLOOKUP($C28,Штаб!$B$16:$J$104,7,0)</f>
        <v/>
      </c>
      <c r="F28" s="134" t="str">
        <f>VLOOKUP($C28,Штаб!$B$16:$J$104,8,0)</f>
        <v/>
      </c>
      <c r="G28" s="135" t="str">
        <f>VLOOKUP($C28,Штаб!$B$16:$J$104,9,0)</f>
        <v/>
      </c>
      <c r="H28" s="139" t="str">
        <f>VLOOKUP(C28,'РО - регионы'!$B$16:$I$104,8,0)</f>
        <v>0 / 0 / 1 из 1</v>
      </c>
      <c r="I28" s="169"/>
      <c r="J28" s="137"/>
      <c r="K28" s="170"/>
      <c r="L28" s="170"/>
      <c r="M28" s="171"/>
      <c r="N28" s="172">
        <f>VLOOKUP(C28,Спецтехника!$B$16:$J$104,4,0)</f>
        <v>221</v>
      </c>
      <c r="O28" s="173">
        <f>VLOOKUP(C28,Спецтехника!$B$16:$J$104,5,0)</f>
        <v>221</v>
      </c>
      <c r="P28" s="173">
        <f>VLOOKUP(C28,Спецтехника!$B$16:$J$104,6,0)</f>
        <v>0</v>
      </c>
      <c r="Q28" s="196">
        <f>VLOOKUP(C28,Спецтехника!$B$16:$J$104,7,0)</f>
        <v>0</v>
      </c>
      <c r="R28" s="197"/>
      <c r="S28" s="137"/>
      <c r="T28" s="170"/>
      <c r="U28" s="170"/>
      <c r="V28" s="171"/>
      <c r="W28" s="176">
        <f>VLOOKUP($C28,МНО!$B$16:$AB$104,16,0)</f>
        <v>5441</v>
      </c>
      <c r="X28" s="177">
        <f>VLOOKUP($C28,МНО!$B$16:$AB$104,8,0)</f>
        <v>5441</v>
      </c>
      <c r="Y28" s="177">
        <f>VLOOKUP($C28,МНО!$B$16:$AB$104,11,0)</f>
        <v>0</v>
      </c>
      <c r="Z28" s="217">
        <f>VLOOKUP($C28,МНО!$B$16:$AB$104,17,0)</f>
        <v>0</v>
      </c>
      <c r="AA28" s="213"/>
      <c r="AB28" s="214">
        <f>VLOOKUP($C28,МНО!$B$16:$AB$104,13,0)</f>
        <v>5.93774147256872</v>
      </c>
      <c r="AC28" s="215">
        <f>VLOOKUP($C28,МНО!$B$16:$AB$104,18,0)</f>
        <v>0.609499271871849</v>
      </c>
      <c r="AD28" s="176">
        <f>VLOOKUP($C28,Контейнеры!$B$16:$AB$104,16,0)</f>
        <v>11785</v>
      </c>
      <c r="AE28" s="177">
        <f>VLOOKUP($C28,Контейнеры!$B$16:$AB$104,8,0)</f>
        <v>11785</v>
      </c>
      <c r="AF28" s="177">
        <f>VLOOKUP($C28,Контейнеры!$B$16:$AB$104,11,0)</f>
        <v>0</v>
      </c>
      <c r="AG28" s="217">
        <f>VLOOKUP($C28,Контейнеры!$B$16:$AB$104,17,0)</f>
        <v>0</v>
      </c>
      <c r="AH28" s="213"/>
      <c r="AI28" s="214">
        <f>VLOOKUP($C28,Контейнеры!$B$16:$AB$104,13,0)</f>
        <v>13.0091621591787</v>
      </c>
      <c r="AJ28" s="215">
        <f>VLOOKUP($C28,Контейнеры!$B$16:$AB$104,18,0)</f>
        <v>1</v>
      </c>
      <c r="AK28" s="231"/>
      <c r="AL28" s="170"/>
      <c r="AM28" s="170"/>
      <c r="AN28" s="232"/>
      <c r="AO28" s="257">
        <f>VLOOKUP($C28,Обработка!$B$16:$L$104,6,0)</f>
        <v>0.798</v>
      </c>
      <c r="AP28" s="251">
        <f t="shared" si="7"/>
        <v>0.255</v>
      </c>
      <c r="AQ28" s="259">
        <f>VLOOKUP($C28,Обработка!$B$16:$L$104,7,0)</f>
        <v>0.75</v>
      </c>
      <c r="AR28" s="262">
        <f t="shared" si="8"/>
        <v>-0.0570000000000001</v>
      </c>
      <c r="AS28" s="258">
        <f>VLOOKUP($C28,Утилизация!$B$16:$L$104,6,0)</f>
        <v>0.076</v>
      </c>
      <c r="AT28" s="259">
        <f t="shared" si="9"/>
        <v>-0.063</v>
      </c>
      <c r="AU28" s="251">
        <f>VLOOKUP($C28,Утилизация!$B$16:$L$104,7,0)</f>
        <v>0.076</v>
      </c>
      <c r="AV28" s="254">
        <f t="shared" si="10"/>
        <v>-0.21</v>
      </c>
      <c r="AW28" s="284" t="str">
        <f>VLOOKUP(C28,Захоронение!$B$16:$Q$104,16,0)</f>
        <v/>
      </c>
      <c r="AX28" s="231"/>
      <c r="AY28" s="170"/>
      <c r="AZ28" s="170"/>
      <c r="BA28" s="171"/>
      <c r="BB28" s="280" t="str">
        <f>VLOOKUP(C28,'ДК ИП'!$B$16:$S$104,5,0)</f>
        <v>небольшое</v>
      </c>
      <c r="BC28" s="281">
        <f>VLOOKUP(C28,Радар!$B$16:$G$104,6,0)</f>
        <v>0.140192074180373</v>
      </c>
      <c r="BD28" s="171"/>
      <c r="BF28" s="292">
        <f t="shared" si="11"/>
        <v>0.333333333333333</v>
      </c>
      <c r="BI28" s="9">
        <f t="shared" si="12"/>
        <v>0</v>
      </c>
      <c r="BJ28" s="9">
        <f>VLOOKUP(C28,Штаб!$B$16:$C$104,2)</f>
        <v>0</v>
      </c>
      <c r="BK28" s="9">
        <f>VLOOKUP(C28,'РО - регионы'!$B$16:$C$104,2)</f>
        <v>0</v>
      </c>
      <c r="BL28" s="9">
        <f>VLOOKUP(C28,'РО - регионы'!$B$16:$L$104,11)</f>
        <v>0</v>
      </c>
      <c r="BM28" s="9">
        <f>VLOOKUP(C28,Спецтехника!$B$16:$C$104,2)</f>
        <v>0</v>
      </c>
      <c r="BN28" s="9">
        <f>VLOOKUP($C28,МНО!$B$16:$AB$104,6,0)</f>
        <v>2</v>
      </c>
      <c r="BO28" s="9">
        <f>VLOOKUP($C28,МНО!$B$16:$AB$104,4,0)</f>
        <v>1</v>
      </c>
      <c r="BP28" s="9">
        <f>VLOOKUP($C28,МНО!$B$16:$AB$104,5,0)</f>
        <v>2</v>
      </c>
      <c r="BQ28" s="9">
        <f>VLOOKUP($C28,Контейнеры!$B$16:$G$104,6,0)</f>
        <v>2</v>
      </c>
      <c r="BR28" s="9">
        <f>VLOOKUP($C28,Контейнеры!$B$16:$G$104,4,0)</f>
        <v>2</v>
      </c>
      <c r="BS28" s="9">
        <f>VLOOKUP($C28,Контейнеры!$B$16:$G$104,5,0)</f>
        <v>0</v>
      </c>
      <c r="BT28" s="9">
        <f>VLOOKUP($C28,'ДК МНО'!$B$16:$C$104,2,0)</f>
        <v>2</v>
      </c>
      <c r="BU28" s="9">
        <f>VLOOKUP($C28,Обработка!$B$16:$F$104,5,0)</f>
        <v>1</v>
      </c>
      <c r="BV28" s="9">
        <f>VLOOKUP($C28,Обработка!$B$16:$F$104,4,0)</f>
        <v>0</v>
      </c>
      <c r="BW28" s="9">
        <f>VLOOKUP($C28,Утилизация!$B$16:$F$104,5,0)</f>
        <v>2</v>
      </c>
      <c r="BX28" s="9">
        <f>VLOOKUP($C28,Утилизация!$B$16:$F$104,4,0)</f>
        <v>1</v>
      </c>
      <c r="BY28" s="9">
        <f>VLOOKUP($C28,Захоронение!$B$16:$C$104,2,0)</f>
        <v>0</v>
      </c>
      <c r="BZ28" s="9">
        <f>VLOOKUP($C28,'ДК ИП'!$B$16:$C$104,2,0)</f>
        <v>0</v>
      </c>
      <c r="CA28" s="9">
        <f>VLOOKUP(C28,Радар!$B$16:$G$104,2,0)</f>
        <v>2</v>
      </c>
      <c r="CB28" s="9">
        <f>SUMPRODUCT(BJ28:BZ28,$BJ$5:$BZ$5)</f>
        <v>0.55</v>
      </c>
    </row>
    <row r="29" ht="15.75" spans="1:80">
      <c r="A29" s="6" t="s">
        <v>108</v>
      </c>
      <c r="B29" s="131">
        <f t="shared" si="6"/>
        <v>19</v>
      </c>
      <c r="C29" s="3" t="s">
        <v>148</v>
      </c>
      <c r="D29" s="133" t="str">
        <f>VLOOKUP($C29,Штаб!$B$16:$J$104,6,0)</f>
        <v>✔️</v>
      </c>
      <c r="E29" s="134" t="str">
        <f>VLOOKUP($C29,Штаб!$B$16:$J$104,7,0)</f>
        <v/>
      </c>
      <c r="F29" s="134" t="str">
        <f>VLOOKUP($C29,Штаб!$B$16:$J$104,8,0)</f>
        <v/>
      </c>
      <c r="G29" s="135" t="str">
        <f>VLOOKUP($C29,Штаб!$B$16:$J$104,9,0)</f>
        <v/>
      </c>
      <c r="H29" s="138" t="str">
        <f>VLOOKUP(C29,'РО - регионы'!$B$16:$I$104,8,0)</f>
        <v>0 / 1 / 1 из 2</v>
      </c>
      <c r="I29" s="169"/>
      <c r="J29" s="137"/>
      <c r="K29" s="170"/>
      <c r="L29" s="170"/>
      <c r="M29" s="171"/>
      <c r="N29" s="176">
        <f>VLOOKUP(C29,Спецтехника!$B$16:$J$104,4,0)</f>
        <v>445</v>
      </c>
      <c r="O29" s="177">
        <f>VLOOKUP(C29,Спецтехника!$B$16:$J$104,5,0)</f>
        <v>355</v>
      </c>
      <c r="P29" s="177">
        <f>VLOOKUP(C29,Спецтехника!$B$16:$J$104,6,0)</f>
        <v>90</v>
      </c>
      <c r="Q29" s="199">
        <f>VLOOKUP(C29,Спецтехника!$B$16:$J$104,7,0)</f>
        <v>0.202247191011236</v>
      </c>
      <c r="R29" s="197"/>
      <c r="S29" s="137"/>
      <c r="T29" s="170"/>
      <c r="U29" s="170"/>
      <c r="V29" s="171"/>
      <c r="W29" s="172">
        <f>VLOOKUP($C29,МНО!$B$16:$AB$104,16,0)</f>
        <v>21541</v>
      </c>
      <c r="X29" s="173">
        <f>VLOOKUP($C29,МНО!$B$16:$AB$104,8,0)</f>
        <v>17919</v>
      </c>
      <c r="Y29" s="173">
        <f>VLOOKUP($C29,МНО!$B$16:$AB$104,11,0)</f>
        <v>3622</v>
      </c>
      <c r="Z29" s="216">
        <f>VLOOKUP($C29,МНО!$B$16:$AB$104,17,0)</f>
        <v>0.168144468687619</v>
      </c>
      <c r="AA29" s="213"/>
      <c r="AB29" s="214">
        <f>VLOOKUP($C29,МНО!$B$16:$AB$104,13,0)</f>
        <v>7.41331289741377</v>
      </c>
      <c r="AC29" s="215">
        <f>VLOOKUP($C29,МНО!$B$16:$AB$104,18,0)</f>
        <v>0.676699395770393</v>
      </c>
      <c r="AD29" s="172">
        <f>VLOOKUP($C29,Контейнеры!$B$16:$AB$104,16,0)</f>
        <v>60489</v>
      </c>
      <c r="AE29" s="173">
        <f>VLOOKUP($C29,Контейнеры!$B$16:$AB$104,8,0)</f>
        <v>51790</v>
      </c>
      <c r="AF29" s="173">
        <f>VLOOKUP($C29,Контейнеры!$B$16:$AB$104,11,0)</f>
        <v>8699</v>
      </c>
      <c r="AG29" s="216">
        <f>VLOOKUP($C29,Контейнеры!$B$16:$AB$104,17,0)</f>
        <v>0.143811271470846</v>
      </c>
      <c r="AH29" s="213"/>
      <c r="AI29" s="214">
        <f>VLOOKUP($C29,Контейнеры!$B$16:$AB$104,13,0)</f>
        <v>22.2223461803009</v>
      </c>
      <c r="AJ29" s="215">
        <f>VLOOKUP($C29,Контейнеры!$B$16:$AB$104,18,0)</f>
        <v>0.743916803125628</v>
      </c>
      <c r="AK29" s="231"/>
      <c r="AL29" s="170"/>
      <c r="AM29" s="170"/>
      <c r="AN29" s="232"/>
      <c r="AO29" s="249">
        <f>VLOOKUP($C29,Обработка!$B$16:$L$104,6,0)</f>
        <v>0.029</v>
      </c>
      <c r="AP29" s="250">
        <f t="shared" si="7"/>
        <v>-0.514</v>
      </c>
      <c r="AQ29" s="259">
        <f>VLOOKUP($C29,Обработка!$B$16:$L$104,7,0)</f>
        <v>0.557</v>
      </c>
      <c r="AR29" s="262">
        <f t="shared" si="8"/>
        <v>-0.25</v>
      </c>
      <c r="AS29" s="253">
        <f>VLOOKUP($C29,Утилизация!$B$16:$L$104,6,0)</f>
        <v>0.004</v>
      </c>
      <c r="AT29" s="251">
        <f t="shared" si="9"/>
        <v>-0.135</v>
      </c>
      <c r="AU29" s="259">
        <f>VLOOKUP($C29,Утилизация!$B$16:$L$104,7,0)</f>
        <v>0.242</v>
      </c>
      <c r="AV29" s="260">
        <f t="shared" si="10"/>
        <v>-0.044</v>
      </c>
      <c r="AW29" s="279" t="str">
        <f>VLOOKUP(C29,Захоронение!$B$16:$Q$104,16,0)</f>
        <v>белые пятна</v>
      </c>
      <c r="AX29" s="231"/>
      <c r="AY29" s="170"/>
      <c r="AZ29" s="170"/>
      <c r="BA29" s="171"/>
      <c r="BB29" s="280" t="str">
        <f>VLOOKUP(C29,'ДК ИП'!$B$16:$S$104,5,0)</f>
        <v>нет</v>
      </c>
      <c r="BC29" s="285">
        <f>VLOOKUP(C29,Радар!$B$16:$G$104,6,0)</f>
        <v>0.0210251971970409</v>
      </c>
      <c r="BD29" s="171"/>
      <c r="BF29" s="290">
        <f t="shared" si="11"/>
        <v>1.16666666666667</v>
      </c>
      <c r="BI29" s="9">
        <f t="shared" si="12"/>
        <v>1</v>
      </c>
      <c r="BJ29" s="9">
        <f>VLOOKUP(C29,Штаб!$B$16:$C$104,2)</f>
        <v>0</v>
      </c>
      <c r="BK29" s="9">
        <f>VLOOKUP(C29,'РО - регионы'!$B$16:$C$104,2)</f>
        <v>1</v>
      </c>
      <c r="BL29" s="9">
        <f>VLOOKUP(C29,'РО - регионы'!$B$16:$L$104,11)</f>
        <v>2</v>
      </c>
      <c r="BM29" s="9">
        <f>VLOOKUP(C29,Спецтехника!$B$16:$C$104,2)</f>
        <v>2</v>
      </c>
      <c r="BN29" s="9">
        <f>VLOOKUP($C29,МНО!$B$16:$AB$104,6,0)</f>
        <v>0</v>
      </c>
      <c r="BO29" s="9">
        <f>VLOOKUP($C29,МНО!$B$16:$AB$104,4,0)</f>
        <v>0</v>
      </c>
      <c r="BP29" s="9">
        <f>VLOOKUP($C29,МНО!$B$16:$AB$104,5,0)</f>
        <v>1</v>
      </c>
      <c r="BQ29" s="9">
        <f>VLOOKUP($C29,Контейнеры!$B$16:$G$104,6,0)</f>
        <v>0</v>
      </c>
      <c r="BR29" s="9">
        <f>VLOOKUP($C29,Контейнеры!$B$16:$G$104,4,0)</f>
        <v>0</v>
      </c>
      <c r="BS29" s="9">
        <f>VLOOKUP($C29,Контейнеры!$B$16:$G$104,5,0)</f>
        <v>2</v>
      </c>
      <c r="BT29" s="9">
        <f>VLOOKUP($C29,'ДК МНО'!$B$16:$C$104,2,0)</f>
        <v>2</v>
      </c>
      <c r="BU29" s="9">
        <f>VLOOKUP($C29,Обработка!$B$16:$F$104,5,0)</f>
        <v>1</v>
      </c>
      <c r="BV29" s="9">
        <f>VLOOKUP($C29,Обработка!$B$16:$F$104,4,0)</f>
        <v>2</v>
      </c>
      <c r="BW29" s="9">
        <f>VLOOKUP($C29,Утилизация!$B$16:$F$104,5,0)</f>
        <v>1</v>
      </c>
      <c r="BX29" s="9">
        <f>VLOOKUP($C29,Утилизация!$B$16:$F$104,4,0)</f>
        <v>2</v>
      </c>
      <c r="BY29" s="9">
        <f>VLOOKUP($C29,Захоронение!$B$16:$C$104,2,0)</f>
        <v>2</v>
      </c>
      <c r="BZ29" s="9">
        <f>VLOOKUP($C29,'ДК ИП'!$B$16:$C$104,2,0)</f>
        <v>0</v>
      </c>
      <c r="CA29" s="9">
        <f>VLOOKUP(C29,Радар!$B$16:$G$104,2,0)</f>
        <v>0</v>
      </c>
      <c r="CB29" s="9">
        <f>SUMPRODUCT(BJ29:BZ29,$BJ$5:$BZ$5)</f>
        <v>1.1</v>
      </c>
    </row>
    <row r="30" ht="15.75" spans="1:80">
      <c r="A30" s="6" t="s">
        <v>104</v>
      </c>
      <c r="B30" s="137">
        <f t="shared" si="6"/>
        <v>20</v>
      </c>
      <c r="C30" s="3" t="s">
        <v>126</v>
      </c>
      <c r="D30" s="133" t="str">
        <f>VLOOKUP($C30,Штаб!$B$16:$J$104,6,0)</f>
        <v/>
      </c>
      <c r="E30" s="134" t="str">
        <f>VLOOKUP($C30,Штаб!$B$16:$J$104,7,0)</f>
        <v/>
      </c>
      <c r="F30" s="134" t="str">
        <f>VLOOKUP($C30,Штаб!$B$16:$J$104,8,0)</f>
        <v>✔️</v>
      </c>
      <c r="G30" s="135" t="str">
        <f>VLOOKUP($C30,Штаб!$B$16:$J$104,9,0)</f>
        <v/>
      </c>
      <c r="H30" s="138" t="str">
        <f>VLOOKUP(C30,'РО - регионы'!$B$16:$I$104,8,0)</f>
        <v>0 / 3 / 0 из 3</v>
      </c>
      <c r="I30" s="169"/>
      <c r="J30" s="137"/>
      <c r="K30" s="170"/>
      <c r="L30" s="170"/>
      <c r="M30" s="171"/>
      <c r="N30" s="174">
        <f>VLOOKUP(C30,Спецтехника!$B$16:$J$104,4,0)</f>
        <v>65</v>
      </c>
      <c r="O30" s="175">
        <f>VLOOKUP(C30,Спецтехника!$B$16:$J$104,5,0)</f>
        <v>56</v>
      </c>
      <c r="P30" s="175">
        <f>VLOOKUP(C30,Спецтехника!$B$16:$J$104,6,0)</f>
        <v>9</v>
      </c>
      <c r="Q30" s="198">
        <f>VLOOKUP(C30,Спецтехника!$B$16:$J$104,7,0)</f>
        <v>0.138461538461538</v>
      </c>
      <c r="R30" s="197"/>
      <c r="S30" s="137"/>
      <c r="T30" s="170"/>
      <c r="U30" s="170"/>
      <c r="V30" s="171"/>
      <c r="W30" s="176">
        <f>VLOOKUP($C30,МНО!$B$16:$AB$104,16,0)</f>
        <v>2337</v>
      </c>
      <c r="X30" s="177">
        <f>VLOOKUP($C30,МНО!$B$16:$AB$104,8,0)</f>
        <v>2337</v>
      </c>
      <c r="Y30" s="177">
        <f>VLOOKUP($C30,МНО!$B$16:$AB$104,11,0)</f>
        <v>0</v>
      </c>
      <c r="Z30" s="217">
        <f>VLOOKUP($C30,МНО!$B$16:$AB$104,17,0)</f>
        <v>0</v>
      </c>
      <c r="AA30" s="213"/>
      <c r="AB30" s="214">
        <f>VLOOKUP($C30,МНО!$B$16:$AB$104,13,0)</f>
        <v>2.00781036021311</v>
      </c>
      <c r="AC30" s="215">
        <f>VLOOKUP($C30,МНО!$B$16:$AB$104,18,0)</f>
        <v>0.571114369501466</v>
      </c>
      <c r="AD30" s="176">
        <f>VLOOKUP($C30,Контейнеры!$B$16:$AB$104,16,0)</f>
        <v>3147</v>
      </c>
      <c r="AE30" s="177">
        <f>VLOOKUP($C30,Контейнеры!$B$16:$AB$104,8,0)</f>
        <v>3147</v>
      </c>
      <c r="AF30" s="177">
        <f>VLOOKUP($C30,Контейнеры!$B$16:$AB$104,11,0)</f>
        <v>0</v>
      </c>
      <c r="AG30" s="217">
        <f>VLOOKUP($C30,Контейнеры!$B$16:$AB$104,17,0)</f>
        <v>0</v>
      </c>
      <c r="AH30" s="213"/>
      <c r="AI30" s="214">
        <f>VLOOKUP($C30,Контейнеры!$B$16:$AB$104,13,0)</f>
        <v>3.47556611858671</v>
      </c>
      <c r="AJ30" s="215">
        <f>VLOOKUP($C30,Контейнеры!$B$16:$AB$104,18,0)</f>
        <v>0.405384516295247</v>
      </c>
      <c r="AK30" s="231"/>
      <c r="AL30" s="170"/>
      <c r="AM30" s="170"/>
      <c r="AN30" s="232"/>
      <c r="AO30" s="261">
        <f>VLOOKUP($C30,Обработка!$B$16:$L$104,6,0)</f>
        <v>0.408</v>
      </c>
      <c r="AP30" s="250">
        <f t="shared" si="7"/>
        <v>-0.135</v>
      </c>
      <c r="AQ30" s="251">
        <f>VLOOKUP($C30,Обработка!$B$16:$L$104,7,0)</f>
        <v>0.39</v>
      </c>
      <c r="AR30" s="252">
        <f t="shared" si="8"/>
        <v>-0.417</v>
      </c>
      <c r="AS30" s="253">
        <f>VLOOKUP($C30,Утилизация!$B$16:$L$104,6,0)</f>
        <v>0.052</v>
      </c>
      <c r="AT30" s="251">
        <f t="shared" si="9"/>
        <v>-0.087</v>
      </c>
      <c r="AU30" s="251">
        <f>VLOOKUP($C30,Утилизация!$B$16:$L$104,7,0)</f>
        <v>0.05</v>
      </c>
      <c r="AV30" s="254">
        <f t="shared" si="10"/>
        <v>-0.236</v>
      </c>
      <c r="AW30" s="284" t="str">
        <f>VLOOKUP(C30,Захоронение!$B$16:$Q$104,16,0)</f>
        <v/>
      </c>
      <c r="AX30" s="231"/>
      <c r="AY30" s="170"/>
      <c r="AZ30" s="170"/>
      <c r="BA30" s="171"/>
      <c r="BB30" s="280" t="str">
        <f>VLOOKUP(C30,'ДК ИП'!$B$16:$S$104,5,0)</f>
        <v>небольшое</v>
      </c>
      <c r="BC30" s="285">
        <f>VLOOKUP(C30,Радар!$B$16:$G$104,6,0)</f>
        <v>0.0209837166358905</v>
      </c>
      <c r="BD30" s="171"/>
      <c r="BF30" s="291">
        <f t="shared" si="11"/>
        <v>0.583333333333333</v>
      </c>
      <c r="BI30" s="9">
        <f t="shared" si="12"/>
        <v>1</v>
      </c>
      <c r="BJ30" s="9">
        <f>VLOOKUP(C30,Штаб!$B$16:$C$104,2)</f>
        <v>1</v>
      </c>
      <c r="BK30" s="9">
        <f>VLOOKUP(C30,'РО - регионы'!$B$16:$C$104,2)</f>
        <v>1</v>
      </c>
      <c r="BL30" s="9">
        <f>VLOOKUP(C30,'РО - регионы'!$B$16:$L$104,11)</f>
        <v>2</v>
      </c>
      <c r="BM30" s="9">
        <f>VLOOKUP(C30,Спецтехника!$B$16:$C$104,2)</f>
        <v>1</v>
      </c>
      <c r="BN30" s="9">
        <f>VLOOKUP($C30,МНО!$B$16:$AB$104,6,0)</f>
        <v>2</v>
      </c>
      <c r="BO30" s="9">
        <f>VLOOKUP($C30,МНО!$B$16:$AB$104,4,0)</f>
        <v>2</v>
      </c>
      <c r="BP30" s="9">
        <f>VLOOKUP($C30,МНО!$B$16:$AB$104,5,0)</f>
        <v>2</v>
      </c>
      <c r="BQ30" s="9">
        <f>VLOOKUP($C30,Контейнеры!$B$16:$G$104,6,0)</f>
        <v>2</v>
      </c>
      <c r="BR30" s="9">
        <f>VLOOKUP($C30,Контейнеры!$B$16:$G$104,4,0)</f>
        <v>0</v>
      </c>
      <c r="BS30" s="9">
        <f>VLOOKUP($C30,Контейнеры!$B$16:$G$104,5,0)</f>
        <v>2</v>
      </c>
      <c r="BT30" s="9">
        <f>VLOOKUP($C30,'ДК МНО'!$B$16:$C$104,2,0)</f>
        <v>2</v>
      </c>
      <c r="BU30" s="9">
        <f>VLOOKUP($C30,Обработка!$B$16:$F$104,5,0)</f>
        <v>2</v>
      </c>
      <c r="BV30" s="9">
        <f>VLOOKUP($C30,Обработка!$B$16:$F$104,4,0)</f>
        <v>1</v>
      </c>
      <c r="BW30" s="9">
        <f>VLOOKUP($C30,Утилизация!$B$16:$F$104,5,0)</f>
        <v>2</v>
      </c>
      <c r="BX30" s="9">
        <f>VLOOKUP($C30,Утилизация!$B$16:$F$104,4,0)</f>
        <v>2</v>
      </c>
      <c r="BY30" s="9">
        <f>VLOOKUP($C30,Захоронение!$B$16:$C$104,2,0)</f>
        <v>0</v>
      </c>
      <c r="BZ30" s="9">
        <f>VLOOKUP($C30,'ДК ИП'!$B$16:$C$104,2,0)</f>
        <v>0</v>
      </c>
      <c r="CA30" s="9">
        <f>VLOOKUP(C30,Радар!$B$16:$G$104,2,0)</f>
        <v>0</v>
      </c>
      <c r="CB30" s="9">
        <f>SUMPRODUCT(BJ30:BZ30,$BJ$5:$BZ$5)</f>
        <v>0.9</v>
      </c>
    </row>
    <row r="31" ht="15.75" spans="1:80">
      <c r="A31" s="6" t="s">
        <v>70</v>
      </c>
      <c r="B31" s="131">
        <f t="shared" si="6"/>
        <v>21</v>
      </c>
      <c r="C31" s="3" t="s">
        <v>119</v>
      </c>
      <c r="D31" s="133" t="str">
        <f>VLOOKUP($C31,Штаб!$B$16:$J$104,6,0)</f>
        <v/>
      </c>
      <c r="E31" s="134" t="str">
        <f>VLOOKUP($C31,Штаб!$B$16:$J$104,7,0)</f>
        <v/>
      </c>
      <c r="F31" s="134" t="str">
        <f>VLOOKUP($C31,Штаб!$B$16:$J$104,8,0)</f>
        <v>✔️</v>
      </c>
      <c r="G31" s="135" t="str">
        <f>VLOOKUP($C31,Штаб!$B$16:$J$104,9,0)</f>
        <v/>
      </c>
      <c r="H31" s="139" t="str">
        <f>VLOOKUP(C31,'РО - регионы'!$B$16:$I$104,8,0)</f>
        <v>0 / 0 / 1 из 1</v>
      </c>
      <c r="I31" s="169"/>
      <c r="J31" s="137"/>
      <c r="K31" s="170"/>
      <c r="L31" s="170"/>
      <c r="M31" s="171"/>
      <c r="N31" s="176">
        <f>VLOOKUP(C31,Спецтехника!$B$16:$J$104,4,0)</f>
        <v>259</v>
      </c>
      <c r="O31" s="177">
        <f>VLOOKUP(C31,Спецтехника!$B$16:$J$104,5,0)</f>
        <v>211</v>
      </c>
      <c r="P31" s="177">
        <f>VLOOKUP(C31,Спецтехника!$B$16:$J$104,6,0)</f>
        <v>48</v>
      </c>
      <c r="Q31" s="199">
        <f>VLOOKUP(C31,Спецтехника!$B$16:$J$104,7,0)</f>
        <v>0.185328185328185</v>
      </c>
      <c r="R31" s="197"/>
      <c r="S31" s="137"/>
      <c r="T31" s="170"/>
      <c r="U31" s="170"/>
      <c r="V31" s="171"/>
      <c r="W31" s="172">
        <f>VLOOKUP($C31,МНО!$B$16:$AB$104,16,0)</f>
        <v>14342</v>
      </c>
      <c r="X31" s="173">
        <f>VLOOKUP($C31,МНО!$B$16:$AB$104,8,0)</f>
        <v>11788</v>
      </c>
      <c r="Y31" s="173">
        <f>VLOOKUP($C31,МНО!$B$16:$AB$104,11,0)</f>
        <v>2554</v>
      </c>
      <c r="Z31" s="216">
        <f>VLOOKUP($C31,МНО!$B$16:$AB$104,17,0)</f>
        <v>0.178078371217403</v>
      </c>
      <c r="AA31" s="213"/>
      <c r="AB31" s="214">
        <f>VLOOKUP($C31,МНО!$B$16:$AB$104,13,0)</f>
        <v>10.5008733801844</v>
      </c>
      <c r="AC31" s="215">
        <f>VLOOKUP($C31,МНО!$B$16:$AB$104,18,0)</f>
        <v>0.878325013039267</v>
      </c>
      <c r="AD31" s="174">
        <f>VLOOKUP($C31,Контейнеры!$B$16:$AB$104,16,0)</f>
        <v>24826</v>
      </c>
      <c r="AE31" s="175">
        <f>VLOOKUP($C31,Контейнеры!$B$16:$AB$104,8,0)</f>
        <v>19874</v>
      </c>
      <c r="AF31" s="175">
        <f>VLOOKUP($C31,Контейнеры!$B$16:$AB$104,11,0)</f>
        <v>4952</v>
      </c>
      <c r="AG31" s="212">
        <f>VLOOKUP($C31,Контейнеры!$B$16:$AB$104,17,0)</f>
        <v>0.19946829936357</v>
      </c>
      <c r="AH31" s="213"/>
      <c r="AI31" s="214">
        <f>VLOOKUP($C31,Контейнеры!$B$16:$AB$104,13,0)</f>
        <v>19.2221016448177</v>
      </c>
      <c r="AJ31" s="215">
        <f>VLOOKUP($C31,Контейнеры!$B$16:$AB$104,18,0)</f>
        <v>1</v>
      </c>
      <c r="AK31" s="231"/>
      <c r="AL31" s="170"/>
      <c r="AM31" s="170"/>
      <c r="AN31" s="232"/>
      <c r="AO31" s="249">
        <f>VLOOKUP($C31,Обработка!$B$16:$L$104,6,0)</f>
        <v>0.133</v>
      </c>
      <c r="AP31" s="250">
        <f t="shared" si="7"/>
        <v>-0.41</v>
      </c>
      <c r="AQ31" s="250">
        <f>VLOOKUP($C31,Обработка!$B$16:$L$104,7,0)</f>
        <v>1</v>
      </c>
      <c r="AR31" s="255">
        <f t="shared" si="8"/>
        <v>0.193</v>
      </c>
      <c r="AS31" s="253">
        <f>VLOOKUP($C31,Утилизация!$B$16:$L$104,6,0)</f>
        <v>0.002</v>
      </c>
      <c r="AT31" s="251">
        <f t="shared" si="9"/>
        <v>-0.137</v>
      </c>
      <c r="AU31" s="250">
        <f>VLOOKUP($C31,Утилизация!$B$16:$L$104,7,0)</f>
        <v>0.4</v>
      </c>
      <c r="AV31" s="256">
        <f t="shared" si="10"/>
        <v>0.114</v>
      </c>
      <c r="AW31" s="283" t="str">
        <f>VLOOKUP(C31,Захоронение!$B$16:$Q$104,16,0)</f>
        <v>перегруз</v>
      </c>
      <c r="AX31" s="231"/>
      <c r="AY31" s="170"/>
      <c r="AZ31" s="170"/>
      <c r="BA31" s="171"/>
      <c r="BB31" s="280" t="str">
        <f>VLOOKUP(C31,'ДК ИП'!$B$16:$S$104,5,0)</f>
        <v>среднее</v>
      </c>
      <c r="BC31" s="285">
        <f>VLOOKUP(C31,Радар!$B$16:$G$104,6,0)</f>
        <v>0.0667366918331699</v>
      </c>
      <c r="BD31" s="171"/>
      <c r="BF31" s="291">
        <f t="shared" si="11"/>
        <v>0.75</v>
      </c>
      <c r="BI31" s="9">
        <f t="shared" si="12"/>
        <v>0</v>
      </c>
      <c r="BJ31" s="9">
        <f>VLOOKUP(C31,Штаб!$B$16:$C$104,2)</f>
        <v>1</v>
      </c>
      <c r="BK31" s="9">
        <f>VLOOKUP(C31,'РО - регионы'!$B$16:$C$104,2)</f>
        <v>0</v>
      </c>
      <c r="BL31" s="9">
        <f>VLOOKUP(C31,'РО - регионы'!$B$16:$L$104,11)</f>
        <v>0</v>
      </c>
      <c r="BM31" s="9">
        <f>VLOOKUP(C31,Спецтехника!$B$16:$C$104,2)</f>
        <v>2</v>
      </c>
      <c r="BN31" s="9">
        <f>VLOOKUP($C31,МНО!$B$16:$AB$104,6,0)</f>
        <v>0</v>
      </c>
      <c r="BO31" s="9">
        <f>VLOOKUP($C31,МНО!$B$16:$AB$104,4,0)</f>
        <v>0</v>
      </c>
      <c r="BP31" s="9">
        <f>VLOOKUP($C31,МНО!$B$16:$AB$104,5,0)</f>
        <v>0</v>
      </c>
      <c r="BQ31" s="9">
        <f>VLOOKUP($C31,Контейнеры!$B$16:$G$104,6,0)</f>
        <v>1</v>
      </c>
      <c r="BR31" s="9">
        <f>VLOOKUP($C31,Контейнеры!$B$16:$G$104,4,0)</f>
        <v>0</v>
      </c>
      <c r="BS31" s="9">
        <f>VLOOKUP($C31,Контейнеры!$B$16:$G$104,5,0)</f>
        <v>0</v>
      </c>
      <c r="BT31" s="9">
        <f>VLOOKUP($C31,'ДК МНО'!$B$16:$C$104,2,0)</f>
        <v>2</v>
      </c>
      <c r="BU31" s="9">
        <f>VLOOKUP($C31,Обработка!$B$16:$F$104,5,0)</f>
        <v>0</v>
      </c>
      <c r="BV31" s="9">
        <f>VLOOKUP($C31,Обработка!$B$16:$F$104,4,0)</f>
        <v>2</v>
      </c>
      <c r="BW31" s="9">
        <f>VLOOKUP($C31,Утилизация!$B$16:$F$104,5,0)</f>
        <v>0</v>
      </c>
      <c r="BX31" s="9">
        <f>VLOOKUP($C31,Утилизация!$B$16:$F$104,4,0)</f>
        <v>2</v>
      </c>
      <c r="BY31" s="9">
        <f>VLOOKUP($C31,Захоронение!$B$16:$C$104,2,0)</f>
        <v>1</v>
      </c>
      <c r="BZ31" s="9">
        <f>VLOOKUP($C31,'ДК ИП'!$B$16:$C$104,2,0)</f>
        <v>1</v>
      </c>
      <c r="CA31" s="9">
        <f>VLOOKUP(C31,Радар!$B$16:$G$104,2,0)</f>
        <v>0</v>
      </c>
      <c r="CB31" s="9">
        <f>SUMPRODUCT(BJ31:BZ31,$BJ$5:$BZ$5)</f>
        <v>0.7</v>
      </c>
    </row>
    <row r="32" ht="15.75" spans="1:80">
      <c r="A32" s="6" t="s">
        <v>67</v>
      </c>
      <c r="B32" s="137">
        <f t="shared" si="6"/>
        <v>22</v>
      </c>
      <c r="C32" s="3" t="s">
        <v>87</v>
      </c>
      <c r="D32" s="133" t="str">
        <f>VLOOKUP($C32,Штаб!$B$16:$J$104,6,0)</f>
        <v>✔️</v>
      </c>
      <c r="E32" s="134" t="str">
        <f>VLOOKUP($C32,Штаб!$B$16:$J$104,7,0)</f>
        <v/>
      </c>
      <c r="F32" s="134" t="str">
        <f>VLOOKUP($C32,Штаб!$B$16:$J$104,8,0)</f>
        <v/>
      </c>
      <c r="G32" s="135" t="str">
        <f>VLOOKUP($C32,Штаб!$B$16:$J$104,9,0)</f>
        <v/>
      </c>
      <c r="H32" s="139" t="str">
        <f>VLOOKUP(C32,'РО - регионы'!$B$16:$I$104,8,0)</f>
        <v>0 / 0 / 1 из 1</v>
      </c>
      <c r="I32" s="169"/>
      <c r="J32" s="137"/>
      <c r="K32" s="170"/>
      <c r="L32" s="170"/>
      <c r="M32" s="171"/>
      <c r="N32" s="174">
        <f>VLOOKUP(C32,Спецтехника!$B$16:$J$104,4,0)</f>
        <v>164</v>
      </c>
      <c r="O32" s="175">
        <f>VLOOKUP(C32,Спецтехника!$B$16:$J$104,5,0)</f>
        <v>142</v>
      </c>
      <c r="P32" s="175">
        <f>VLOOKUP(C32,Спецтехника!$B$16:$J$104,6,0)</f>
        <v>22</v>
      </c>
      <c r="Q32" s="198">
        <f>VLOOKUP(C32,Спецтехника!$B$16:$J$104,7,0)</f>
        <v>0.134146341463415</v>
      </c>
      <c r="R32" s="197"/>
      <c r="S32" s="137"/>
      <c r="T32" s="170"/>
      <c r="U32" s="170"/>
      <c r="V32" s="171"/>
      <c r="W32" s="172">
        <f>VLOOKUP($C32,МНО!$B$16:$AB$104,16,0)</f>
        <v>8572</v>
      </c>
      <c r="X32" s="173">
        <f>VLOOKUP($C32,МНО!$B$16:$AB$104,8,0)</f>
        <v>7982</v>
      </c>
      <c r="Y32" s="173">
        <f>VLOOKUP($C32,МНО!$B$16:$AB$104,11,0)</f>
        <v>590</v>
      </c>
      <c r="Z32" s="216">
        <f>VLOOKUP($C32,МНО!$B$16:$AB$104,17,0)</f>
        <v>0.06882874475035</v>
      </c>
      <c r="AA32" s="213"/>
      <c r="AB32" s="214">
        <f>VLOOKUP($C32,МНО!$B$16:$AB$104,13,0)</f>
        <v>7.43347591280501</v>
      </c>
      <c r="AC32" s="215">
        <f>VLOOKUP($C32,МНО!$B$16:$AB$104,18,0)</f>
        <v>0.982158237972191</v>
      </c>
      <c r="AD32" s="172">
        <f>VLOOKUP($C32,Контейнеры!$B$16:$AB$104,16,0)</f>
        <v>21704</v>
      </c>
      <c r="AE32" s="173">
        <f>VLOOKUP($C32,Контейнеры!$B$16:$AB$104,8,0)</f>
        <v>20456</v>
      </c>
      <c r="AF32" s="173">
        <f>VLOOKUP($C32,Контейнеры!$B$16:$AB$104,11,0)</f>
        <v>1248</v>
      </c>
      <c r="AG32" s="216">
        <f>VLOOKUP($C32,Контейнеры!$B$16:$AB$104,17,0)</f>
        <v>0.0575009214891264</v>
      </c>
      <c r="AH32" s="213"/>
      <c r="AI32" s="214">
        <f>VLOOKUP($C32,Контейнеры!$B$16:$AB$104,13,0)</f>
        <v>19.1462079164366</v>
      </c>
      <c r="AJ32" s="215">
        <f>VLOOKUP($C32,Контейнеры!$B$16:$AB$104,18,0)</f>
        <v>1</v>
      </c>
      <c r="AK32" s="231"/>
      <c r="AL32" s="170"/>
      <c r="AM32" s="170"/>
      <c r="AN32" s="232"/>
      <c r="AO32" s="257">
        <f>VLOOKUP($C32,Обработка!$B$16:$L$104,6,0)</f>
        <v>0.996</v>
      </c>
      <c r="AP32" s="250">
        <f t="shared" si="7"/>
        <v>0.453</v>
      </c>
      <c r="AQ32" s="250">
        <f>VLOOKUP($C32,Обработка!$B$16:$L$104,7,0)</f>
        <v>1</v>
      </c>
      <c r="AR32" s="255">
        <f t="shared" si="8"/>
        <v>0.193</v>
      </c>
      <c r="AS32" s="258">
        <f>VLOOKUP($C32,Утилизация!$B$16:$L$104,6,0)</f>
        <v>0.121</v>
      </c>
      <c r="AT32" s="259">
        <f t="shared" si="9"/>
        <v>-0.018</v>
      </c>
      <c r="AU32" s="259">
        <f>VLOOKUP($C32,Утилизация!$B$16:$L$104,7,0)</f>
        <v>0.248</v>
      </c>
      <c r="AV32" s="260">
        <f t="shared" si="10"/>
        <v>-0.038</v>
      </c>
      <c r="AW32" s="284" t="str">
        <f>VLOOKUP(C32,Захоронение!$B$16:$Q$104,16,0)</f>
        <v/>
      </c>
      <c r="AX32" s="231"/>
      <c r="AY32" s="170"/>
      <c r="AZ32" s="170"/>
      <c r="BA32" s="171"/>
      <c r="BB32" s="280" t="str">
        <f>VLOOKUP(C32,'ДК ИП'!$B$16:$S$104,5,0)</f>
        <v>среднее</v>
      </c>
      <c r="BC32" s="281">
        <f>VLOOKUP(C32,Радар!$B$16:$G$104,6,0)</f>
        <v>0.158178976235715</v>
      </c>
      <c r="BD32" s="171"/>
      <c r="BF32" s="292">
        <f t="shared" si="11"/>
        <v>0.25</v>
      </c>
      <c r="BI32" s="9">
        <f t="shared" si="12"/>
        <v>0</v>
      </c>
      <c r="BJ32" s="9">
        <f>VLOOKUP(C32,Штаб!$B$16:$C$104,2)</f>
        <v>0</v>
      </c>
      <c r="BK32" s="9">
        <f>VLOOKUP(C32,'РО - регионы'!$B$16:$C$104,2)</f>
        <v>0</v>
      </c>
      <c r="BL32" s="9">
        <f>VLOOKUP(C32,'РО - регионы'!$B$16:$L$104,11)</f>
        <v>0</v>
      </c>
      <c r="BM32" s="9">
        <f>VLOOKUP(C32,Спецтехника!$B$16:$C$104,2)</f>
        <v>1</v>
      </c>
      <c r="BN32" s="9">
        <f>VLOOKUP($C32,МНО!$B$16:$AB$104,6,0)</f>
        <v>0</v>
      </c>
      <c r="BO32" s="9">
        <f>VLOOKUP($C32,МНО!$B$16:$AB$104,4,0)</f>
        <v>0</v>
      </c>
      <c r="BP32" s="9">
        <f>VLOOKUP($C32,МНО!$B$16:$AB$104,5,0)</f>
        <v>0</v>
      </c>
      <c r="BQ32" s="9">
        <f>VLOOKUP($C32,Контейнеры!$B$16:$G$104,6,0)</f>
        <v>0</v>
      </c>
      <c r="BR32" s="9">
        <f>VLOOKUP($C32,Контейнеры!$B$16:$G$104,4,0)</f>
        <v>0</v>
      </c>
      <c r="BS32" s="9">
        <f>VLOOKUP($C32,Контейнеры!$B$16:$G$104,5,0)</f>
        <v>0</v>
      </c>
      <c r="BT32" s="9">
        <f>VLOOKUP($C32,'ДК МНО'!$B$16:$C$104,2,0)</f>
        <v>2</v>
      </c>
      <c r="BU32" s="9">
        <f>VLOOKUP($C32,Обработка!$B$16:$F$104,5,0)</f>
        <v>0</v>
      </c>
      <c r="BV32" s="9">
        <f>VLOOKUP($C32,Обработка!$B$16:$F$104,4,0)</f>
        <v>0</v>
      </c>
      <c r="BW32" s="9">
        <f>VLOOKUP($C32,Утилизация!$B$16:$F$104,5,0)</f>
        <v>1</v>
      </c>
      <c r="BX32" s="9">
        <f>VLOOKUP($C32,Утилизация!$B$16:$F$104,4,0)</f>
        <v>1</v>
      </c>
      <c r="BY32" s="9">
        <f>VLOOKUP($C32,Захоронение!$B$16:$C$104,2,0)</f>
        <v>0</v>
      </c>
      <c r="BZ32" s="9">
        <f>VLOOKUP($C32,'ДК ИП'!$B$16:$C$104,2,0)</f>
        <v>1</v>
      </c>
      <c r="CA32" s="9">
        <f>VLOOKUP(C32,Радар!$B$16:$G$104,2,0)</f>
        <v>2</v>
      </c>
      <c r="CB32" s="9">
        <f>SUMPRODUCT(BJ32:BZ32,$BJ$5:$BZ$5)</f>
        <v>0.25</v>
      </c>
    </row>
    <row r="33" ht="15.75" spans="1:80">
      <c r="A33" s="6" t="s">
        <v>129</v>
      </c>
      <c r="B33" s="131">
        <f t="shared" si="6"/>
        <v>23</v>
      </c>
      <c r="C33" s="3" t="s">
        <v>134</v>
      </c>
      <c r="D33" s="133" t="str">
        <f>VLOOKUP($C33,Штаб!$B$16:$J$104,6,0)</f>
        <v>✔️</v>
      </c>
      <c r="E33" s="134" t="str">
        <f>VLOOKUP($C33,Штаб!$B$16:$J$104,7,0)</f>
        <v/>
      </c>
      <c r="F33" s="134" t="str">
        <f>VLOOKUP($C33,Штаб!$B$16:$J$104,8,0)</f>
        <v/>
      </c>
      <c r="G33" s="135" t="str">
        <f>VLOOKUP($C33,Штаб!$B$16:$J$104,9,0)</f>
        <v/>
      </c>
      <c r="H33" s="139" t="str">
        <f>VLOOKUP(C33,'РО - регионы'!$B$16:$I$104,8,0)</f>
        <v>0 / 0 / 1 из 1</v>
      </c>
      <c r="I33" s="169"/>
      <c r="J33" s="137"/>
      <c r="K33" s="170"/>
      <c r="L33" s="170"/>
      <c r="M33" s="171"/>
      <c r="N33" s="176">
        <f>VLOOKUP(C33,Спецтехника!$B$16:$J$104,4,0)</f>
        <v>171</v>
      </c>
      <c r="O33" s="177">
        <f>VLOOKUP(C33,Спецтехника!$B$16:$J$104,5,0)</f>
        <v>124</v>
      </c>
      <c r="P33" s="177">
        <f>VLOOKUP(C33,Спецтехника!$B$16:$J$104,6,0)</f>
        <v>47</v>
      </c>
      <c r="Q33" s="199">
        <f>VLOOKUP(C33,Спецтехника!$B$16:$J$104,7,0)</f>
        <v>0.274853801169591</v>
      </c>
      <c r="R33" s="197"/>
      <c r="S33" s="137"/>
      <c r="T33" s="170"/>
      <c r="U33" s="170"/>
      <c r="V33" s="171"/>
      <c r="W33" s="172">
        <f>VLOOKUP($C33,МНО!$B$16:$AB$104,16,0)</f>
        <v>1821</v>
      </c>
      <c r="X33" s="173">
        <f>VLOOKUP($C33,МНО!$B$16:$AB$104,8,0)</f>
        <v>1619</v>
      </c>
      <c r="Y33" s="173">
        <f>VLOOKUP($C33,МНО!$B$16:$AB$104,11,0)</f>
        <v>202</v>
      </c>
      <c r="Z33" s="216">
        <f>VLOOKUP($C33,МНО!$B$16:$AB$104,17,0)</f>
        <v>0.110928061504668</v>
      </c>
      <c r="AA33" s="213"/>
      <c r="AB33" s="214">
        <f>VLOOKUP($C33,МНО!$B$16:$AB$104,13,0)</f>
        <v>5.21548934579698</v>
      </c>
      <c r="AC33" s="215">
        <f>VLOOKUP($C33,МНО!$B$16:$AB$104,18,0)</f>
        <v>0.633411580594679</v>
      </c>
      <c r="AD33" s="172">
        <f>VLOOKUP($C33,Контейнеры!$B$16:$AB$104,16,0)</f>
        <v>5100</v>
      </c>
      <c r="AE33" s="173">
        <f>VLOOKUP($C33,Контейнеры!$B$16:$AB$104,8,0)</f>
        <v>4400</v>
      </c>
      <c r="AF33" s="173">
        <f>VLOOKUP($C33,Контейнеры!$B$16:$AB$104,11,0)</f>
        <v>700</v>
      </c>
      <c r="AG33" s="216">
        <f>VLOOKUP($C33,Контейнеры!$B$16:$AB$104,17,0)</f>
        <v>0.137254901960784</v>
      </c>
      <c r="AH33" s="213"/>
      <c r="AI33" s="214">
        <f>VLOOKUP($C33,Контейнеры!$B$16:$AB$104,13,0)</f>
        <v>15.2277061191153</v>
      </c>
      <c r="AJ33" s="215">
        <f>VLOOKUP($C33,Контейнеры!$B$16:$AB$104,18,0)</f>
        <v>1</v>
      </c>
      <c r="AK33" s="231"/>
      <c r="AL33" s="170"/>
      <c r="AM33" s="170"/>
      <c r="AN33" s="232"/>
      <c r="AO33" s="249">
        <f>VLOOKUP($C33,Обработка!$B$16:$L$104,6,0)</f>
        <v>0.918</v>
      </c>
      <c r="AP33" s="250">
        <f t="shared" si="7"/>
        <v>0.375</v>
      </c>
      <c r="AQ33" s="250">
        <f>VLOOKUP($C33,Обработка!$B$16:$L$104,7,0)</f>
        <v>1</v>
      </c>
      <c r="AR33" s="255">
        <f t="shared" si="8"/>
        <v>0.193</v>
      </c>
      <c r="AS33" s="253">
        <f>VLOOKUP($C33,Утилизация!$B$16:$L$104,6,0)</f>
        <v>0.345</v>
      </c>
      <c r="AT33" s="251">
        <f t="shared" si="9"/>
        <v>0.206</v>
      </c>
      <c r="AU33" s="250">
        <f>VLOOKUP($C33,Утилизация!$B$16:$L$104,7,0)</f>
        <v>0.4</v>
      </c>
      <c r="AV33" s="256">
        <f t="shared" si="10"/>
        <v>0.114</v>
      </c>
      <c r="AW33" s="279" t="str">
        <f>VLOOKUP(C33,Захоронение!$B$16:$Q$104,16,0)</f>
        <v>белые пятна</v>
      </c>
      <c r="AX33" s="231"/>
      <c r="AY33" s="170"/>
      <c r="AZ33" s="170"/>
      <c r="BA33" s="171"/>
      <c r="BB33" s="280" t="str">
        <f>VLOOKUP(C33,'ДК ИП'!$B$16:$S$104,5,0)</f>
        <v>среднее</v>
      </c>
      <c r="BC33" s="282">
        <f>VLOOKUP(C33,Радар!$B$16:$G$104,6,0)</f>
        <v>0.0761385305955763</v>
      </c>
      <c r="BD33" s="171"/>
      <c r="BF33" s="290">
        <f t="shared" si="11"/>
        <v>1.08333333333333</v>
      </c>
      <c r="BI33" s="9">
        <f t="shared" si="12"/>
        <v>1</v>
      </c>
      <c r="BJ33" s="9">
        <f>VLOOKUP(C33,Штаб!$B$16:$C$104,2)</f>
        <v>0</v>
      </c>
      <c r="BK33" s="9">
        <f>VLOOKUP(C33,'РО - регионы'!$B$16:$C$104,2)</f>
        <v>0</v>
      </c>
      <c r="BL33" s="9">
        <f>VLOOKUP(C33,'РО - регионы'!$B$16:$L$104,11)</f>
        <v>0</v>
      </c>
      <c r="BM33" s="9">
        <f>VLOOKUP(C33,Спецтехника!$B$16:$C$104,2)</f>
        <v>2</v>
      </c>
      <c r="BN33" s="9">
        <f>VLOOKUP($C33,МНО!$B$16:$AB$104,6,0)</f>
        <v>0</v>
      </c>
      <c r="BO33" s="9">
        <f>VLOOKUP($C33,МНО!$B$16:$AB$104,4,0)</f>
        <v>1</v>
      </c>
      <c r="BP33" s="9">
        <f>VLOOKUP($C33,МНО!$B$16:$AB$104,5,0)</f>
        <v>2</v>
      </c>
      <c r="BQ33" s="9">
        <f>VLOOKUP($C33,Контейнеры!$B$16:$G$104,6,0)</f>
        <v>0</v>
      </c>
      <c r="BR33" s="9">
        <f>VLOOKUP($C33,Контейнеры!$B$16:$G$104,4,0)</f>
        <v>0</v>
      </c>
      <c r="BS33" s="9">
        <f>VLOOKUP($C33,Контейнеры!$B$16:$G$104,5,0)</f>
        <v>0</v>
      </c>
      <c r="BT33" s="9">
        <f>VLOOKUP($C33,'ДК МНО'!$B$16:$C$104,2,0)</f>
        <v>2</v>
      </c>
      <c r="BU33" s="9">
        <f>VLOOKUP($C33,Обработка!$B$16:$F$104,5,0)</f>
        <v>0</v>
      </c>
      <c r="BV33" s="9">
        <f>VLOOKUP($C33,Обработка!$B$16:$F$104,4,0)</f>
        <v>2</v>
      </c>
      <c r="BW33" s="9">
        <f>VLOOKUP($C33,Утилизация!$B$16:$F$104,5,0)</f>
        <v>0</v>
      </c>
      <c r="BX33" s="9">
        <f>VLOOKUP($C33,Утилизация!$B$16:$F$104,4,0)</f>
        <v>2</v>
      </c>
      <c r="BY33" s="9">
        <f>VLOOKUP($C33,Захоронение!$B$16:$C$104,2,0)</f>
        <v>2</v>
      </c>
      <c r="BZ33" s="9">
        <f>VLOOKUP($C33,'ДК ИП'!$B$16:$C$104,2,0)</f>
        <v>1</v>
      </c>
      <c r="CA33" s="9">
        <f>VLOOKUP(C33,Радар!$B$16:$G$104,2,0)</f>
        <v>1</v>
      </c>
      <c r="CB33" s="9">
        <f>SUMPRODUCT(BJ33:BZ33,$BJ$5:$BZ$5)</f>
        <v>0.95</v>
      </c>
    </row>
    <row r="34" ht="15.75" spans="1:80">
      <c r="A34" s="6" t="s">
        <v>104</v>
      </c>
      <c r="B34" s="137">
        <f t="shared" si="6"/>
        <v>24</v>
      </c>
      <c r="C34" s="3" t="s">
        <v>138</v>
      </c>
      <c r="D34" s="133" t="str">
        <f>VLOOKUP($C34,Штаб!$B$16:$J$104,6,0)</f>
        <v>✔️</v>
      </c>
      <c r="E34" s="134" t="str">
        <f>VLOOKUP($C34,Штаб!$B$16:$J$104,7,0)</f>
        <v/>
      </c>
      <c r="F34" s="134" t="str">
        <f>VLOOKUP($C34,Штаб!$B$16:$J$104,8,0)</f>
        <v/>
      </c>
      <c r="G34" s="135" t="str">
        <f>VLOOKUP($C34,Штаб!$B$16:$J$104,9,0)</f>
        <v/>
      </c>
      <c r="H34" s="138" t="str">
        <f>VLOOKUP(C34,'РО - регионы'!$B$16:$I$104,8,0)</f>
        <v>0 / 1 / 1 из 2</v>
      </c>
      <c r="I34" s="169"/>
      <c r="J34" s="137"/>
      <c r="K34" s="170"/>
      <c r="L34" s="170"/>
      <c r="M34" s="171"/>
      <c r="N34" s="176">
        <f>VLOOKUP(C34,Спецтехника!$B$16:$J$104,4,0)</f>
        <v>94</v>
      </c>
      <c r="O34" s="177">
        <f>VLOOKUP(C34,Спецтехника!$B$16:$J$104,5,0)</f>
        <v>70</v>
      </c>
      <c r="P34" s="177">
        <f>VLOOKUP(C34,Спецтехника!$B$16:$J$104,6,0)</f>
        <v>24</v>
      </c>
      <c r="Q34" s="199">
        <f>VLOOKUP(C34,Спецтехника!$B$16:$J$104,7,0)</f>
        <v>0.25531914893617</v>
      </c>
      <c r="R34" s="197"/>
      <c r="S34" s="137"/>
      <c r="T34" s="170"/>
      <c r="U34" s="170"/>
      <c r="V34" s="171"/>
      <c r="W34" s="176">
        <f>VLOOKUP($C34,МНО!$B$16:$AB$104,16,0)</f>
        <v>2818</v>
      </c>
      <c r="X34" s="177">
        <f>VLOOKUP($C34,МНО!$B$16:$AB$104,8,0)</f>
        <v>1118</v>
      </c>
      <c r="Y34" s="177">
        <f>VLOOKUP($C34,МНО!$B$16:$AB$104,11,0)</f>
        <v>1700</v>
      </c>
      <c r="Z34" s="217">
        <f>VLOOKUP($C34,МНО!$B$16:$AB$104,17,0)</f>
        <v>0.603264726756565</v>
      </c>
      <c r="AA34" s="213"/>
      <c r="AB34" s="214">
        <f>VLOOKUP($C34,МНО!$B$16:$AB$104,13,0)</f>
        <v>2.35521713692716</v>
      </c>
      <c r="AC34" s="215">
        <f>VLOOKUP($C34,МНО!$B$16:$AB$104,18,0)</f>
        <v>0.695273631840796</v>
      </c>
      <c r="AD34" s="176">
        <f>VLOOKUP($C34,Контейнеры!$B$16:$AB$104,16,0)</f>
        <v>3974</v>
      </c>
      <c r="AE34" s="177">
        <f>VLOOKUP($C34,Контейнеры!$B$16:$AB$104,8,0)</f>
        <v>2474</v>
      </c>
      <c r="AF34" s="177">
        <f>VLOOKUP($C34,Контейнеры!$B$16:$AB$104,11,0)</f>
        <v>1500</v>
      </c>
      <c r="AG34" s="217">
        <f>VLOOKUP($C34,Контейнеры!$B$16:$AB$104,17,0)</f>
        <v>0.377453447408153</v>
      </c>
      <c r="AH34" s="213"/>
      <c r="AI34" s="214">
        <f>VLOOKUP($C34,Контейнеры!$B$16:$AB$104,13,0)</f>
        <v>5.28269011492093</v>
      </c>
      <c r="AJ34" s="215">
        <f>VLOOKUP($C34,Контейнеры!$B$16:$AB$104,18,0)</f>
        <v>0.570966997461343</v>
      </c>
      <c r="AK34" s="231"/>
      <c r="AL34" s="170"/>
      <c r="AM34" s="170"/>
      <c r="AN34" s="232"/>
      <c r="AO34" s="261">
        <f>VLOOKUP($C34,Обработка!$B$16:$L$104,6,0)</f>
        <v>0.477</v>
      </c>
      <c r="AP34" s="250">
        <f t="shared" si="7"/>
        <v>-0.066</v>
      </c>
      <c r="AQ34" s="259">
        <f>VLOOKUP($C34,Обработка!$B$16:$L$104,7,0)</f>
        <v>0.46</v>
      </c>
      <c r="AR34" s="262">
        <f t="shared" si="8"/>
        <v>-0.347</v>
      </c>
      <c r="AS34" s="253">
        <f>VLOOKUP($C34,Утилизация!$B$16:$L$104,6,0)</f>
        <v>0.255</v>
      </c>
      <c r="AT34" s="251">
        <f t="shared" si="9"/>
        <v>0.116</v>
      </c>
      <c r="AU34" s="259">
        <f>VLOOKUP($C34,Утилизация!$B$16:$L$104,7,0)</f>
        <v>0.18</v>
      </c>
      <c r="AV34" s="260">
        <f t="shared" si="10"/>
        <v>-0.106</v>
      </c>
      <c r="AW34" s="284" t="str">
        <f>VLOOKUP(C34,Захоронение!$B$16:$Q$104,16,0)</f>
        <v/>
      </c>
      <c r="AX34" s="231"/>
      <c r="AY34" s="170"/>
      <c r="AZ34" s="170"/>
      <c r="BA34" s="171"/>
      <c r="BB34" s="280" t="str">
        <f>VLOOKUP(C34,'ДК ИП'!$B$16:$S$104,5,0)</f>
        <v>существенное</v>
      </c>
      <c r="BC34" s="281">
        <f>VLOOKUP(C34,Радар!$B$16:$G$104,6,0)</f>
        <v>0.055517357715418</v>
      </c>
      <c r="BD34" s="171"/>
      <c r="BF34" s="291">
        <f t="shared" si="11"/>
        <v>0.583333333333333</v>
      </c>
      <c r="BI34" s="9">
        <f t="shared" si="12"/>
        <v>1</v>
      </c>
      <c r="BJ34" s="9">
        <f>VLOOKUP(C34,Штаб!$B$16:$C$104,2)</f>
        <v>0</v>
      </c>
      <c r="BK34" s="9">
        <f>VLOOKUP(C34,'РО - регионы'!$B$16:$C$104,2)</f>
        <v>1</v>
      </c>
      <c r="BL34" s="9">
        <f>VLOOKUP(C34,'РО - регионы'!$B$16:$L$104,11)</f>
        <v>2</v>
      </c>
      <c r="BM34" s="9">
        <f>VLOOKUP(C34,Спецтехника!$B$16:$C$104,2)</f>
        <v>2</v>
      </c>
      <c r="BN34" s="9">
        <f>VLOOKUP($C34,МНО!$B$16:$AB$104,6,0)</f>
        <v>2</v>
      </c>
      <c r="BO34" s="9">
        <f>VLOOKUP($C34,МНО!$B$16:$AB$104,4,0)</f>
        <v>2</v>
      </c>
      <c r="BP34" s="9">
        <f>VLOOKUP($C34,МНО!$B$16:$AB$104,5,0)</f>
        <v>1</v>
      </c>
      <c r="BQ34" s="9">
        <f>VLOOKUP($C34,Контейнеры!$B$16:$G$104,6,0)</f>
        <v>2</v>
      </c>
      <c r="BR34" s="9">
        <f>VLOOKUP($C34,Контейнеры!$B$16:$G$104,4,0)</f>
        <v>0</v>
      </c>
      <c r="BS34" s="9">
        <f>VLOOKUP($C34,Контейнеры!$B$16:$G$104,5,0)</f>
        <v>2</v>
      </c>
      <c r="BT34" s="9">
        <f>VLOOKUP($C34,'ДК МНО'!$B$16:$C$104,2,0)</f>
        <v>2</v>
      </c>
      <c r="BU34" s="9">
        <f>VLOOKUP($C34,Обработка!$B$16:$F$104,5,0)</f>
        <v>1</v>
      </c>
      <c r="BV34" s="9">
        <f>VLOOKUP($C34,Обработка!$B$16:$F$104,4,0)</f>
        <v>1</v>
      </c>
      <c r="BW34" s="9">
        <f>VLOOKUP($C34,Утилизация!$B$16:$F$104,5,0)</f>
        <v>1</v>
      </c>
      <c r="BX34" s="9">
        <f>VLOOKUP($C34,Утилизация!$B$16:$F$104,4,0)</f>
        <v>2</v>
      </c>
      <c r="BY34" s="9">
        <f>VLOOKUP($C34,Захоронение!$B$16:$C$104,2,0)</f>
        <v>0</v>
      </c>
      <c r="BZ34" s="9">
        <f>VLOOKUP($C34,'ДК ИП'!$B$16:$C$104,2,0)</f>
        <v>2</v>
      </c>
      <c r="CA34" s="9">
        <f>VLOOKUP(C34,Радар!$B$16:$G$104,2,0)</f>
        <v>2</v>
      </c>
      <c r="CB34" s="9">
        <f>SUMPRODUCT(BJ34:BZ34,$BJ$5:$BZ$5)</f>
        <v>1.05</v>
      </c>
    </row>
    <row r="35" ht="15.75" spans="1:80">
      <c r="A35" s="6" t="s">
        <v>108</v>
      </c>
      <c r="B35" s="131">
        <f t="shared" si="6"/>
        <v>25</v>
      </c>
      <c r="C35" s="3" t="s">
        <v>109</v>
      </c>
      <c r="D35" s="133" t="str">
        <f>VLOOKUP($C35,Штаб!$B$16:$J$104,6,0)</f>
        <v/>
      </c>
      <c r="E35" s="134" t="str">
        <f>VLOOKUP($C35,Штаб!$B$16:$J$104,7,0)</f>
        <v/>
      </c>
      <c r="F35" s="134" t="str">
        <f>VLOOKUP($C35,Штаб!$B$16:$J$104,8,0)</f>
        <v>✔️</v>
      </c>
      <c r="G35" s="135" t="str">
        <f>VLOOKUP($C35,Штаб!$B$16:$J$104,9,0)</f>
        <v/>
      </c>
      <c r="H35" s="138" t="str">
        <f>VLOOKUP(C35,'РО - регионы'!$B$16:$I$104,8,0)</f>
        <v>0 / 1 / 1 из 2</v>
      </c>
      <c r="I35" s="169"/>
      <c r="J35" s="137"/>
      <c r="K35" s="170"/>
      <c r="L35" s="170"/>
      <c r="M35" s="171"/>
      <c r="N35" s="172">
        <f>VLOOKUP(C35,Спецтехника!$B$16:$J$104,4,0)</f>
        <v>292</v>
      </c>
      <c r="O35" s="173">
        <f>VLOOKUP(C35,Спецтехника!$B$16:$J$104,5,0)</f>
        <v>292</v>
      </c>
      <c r="P35" s="173">
        <f>VLOOKUP(C35,Спецтехника!$B$16:$J$104,6,0)</f>
        <v>0</v>
      </c>
      <c r="Q35" s="196">
        <f>VLOOKUP(C35,Спецтехника!$B$16:$J$104,7,0)</f>
        <v>0</v>
      </c>
      <c r="R35" s="197"/>
      <c r="S35" s="137"/>
      <c r="T35" s="170"/>
      <c r="U35" s="170"/>
      <c r="V35" s="171"/>
      <c r="W35" s="176">
        <f>VLOOKUP($C35,МНО!$B$16:$AB$104,16,0)</f>
        <v>44859</v>
      </c>
      <c r="X35" s="177">
        <f>VLOOKUP($C35,МНО!$B$16:$AB$104,8,0)</f>
        <v>44859</v>
      </c>
      <c r="Y35" s="177">
        <f>VLOOKUP($C35,МНО!$B$16:$AB$104,11,0)</f>
        <v>0</v>
      </c>
      <c r="Z35" s="217">
        <f>VLOOKUP($C35,МНО!$B$16:$AB$104,17,0)</f>
        <v>0</v>
      </c>
      <c r="AA35" s="213"/>
      <c r="AB35" s="214">
        <f>VLOOKUP($C35,МНО!$B$16:$AB$104,13,0)</f>
        <v>16.830972758003</v>
      </c>
      <c r="AC35" s="215">
        <f>VLOOKUP($C35,МНО!$B$16:$AB$104,18,0)</f>
        <v>0.971226292543518</v>
      </c>
      <c r="AD35" s="176">
        <f>VLOOKUP($C35,Контейнеры!$B$16:$AB$104,16,0)</f>
        <v>65282</v>
      </c>
      <c r="AE35" s="177">
        <f>VLOOKUP($C35,Контейнеры!$B$16:$AB$104,8,0)</f>
        <v>65282</v>
      </c>
      <c r="AF35" s="177">
        <f>VLOOKUP($C35,Контейнеры!$B$16:$AB$104,11,0)</f>
        <v>0</v>
      </c>
      <c r="AG35" s="217">
        <f>VLOOKUP($C35,Контейнеры!$B$16:$AB$104,17,0)</f>
        <v>0</v>
      </c>
      <c r="AH35" s="213"/>
      <c r="AI35" s="214">
        <f>VLOOKUP($C35,Контейнеры!$B$16:$AB$104,13,0)</f>
        <v>25.6240569866593</v>
      </c>
      <c r="AJ35" s="215">
        <f>VLOOKUP($C35,Контейнеры!$B$16:$AB$104,18,0)</f>
        <v>1</v>
      </c>
      <c r="AK35" s="231"/>
      <c r="AL35" s="170"/>
      <c r="AM35" s="170"/>
      <c r="AN35" s="232"/>
      <c r="AO35" s="261">
        <f>VLOOKUP($C35,Обработка!$B$16:$L$104,6,0)</f>
        <v>0.363</v>
      </c>
      <c r="AP35" s="250">
        <f t="shared" si="7"/>
        <v>-0.18</v>
      </c>
      <c r="AQ35" s="250">
        <f>VLOOKUP($C35,Обработка!$B$16:$L$104,7,0)</f>
        <v>0.829</v>
      </c>
      <c r="AR35" s="255">
        <f t="shared" si="8"/>
        <v>0.022</v>
      </c>
      <c r="AS35" s="253">
        <f>VLOOKUP($C35,Утилизация!$B$16:$L$104,6,0)</f>
        <v>0.036</v>
      </c>
      <c r="AT35" s="251">
        <f t="shared" si="9"/>
        <v>-0.103</v>
      </c>
      <c r="AU35" s="259">
        <f>VLOOKUP($C35,Утилизация!$B$16:$L$104,7,0)</f>
        <v>0.283</v>
      </c>
      <c r="AV35" s="260">
        <f t="shared" si="10"/>
        <v>-0.00299999999999995</v>
      </c>
      <c r="AW35" s="284" t="str">
        <f>VLOOKUP(C35,Захоронение!$B$16:$Q$104,16,0)</f>
        <v/>
      </c>
      <c r="AX35" s="231"/>
      <c r="AY35" s="170"/>
      <c r="AZ35" s="170"/>
      <c r="BA35" s="171"/>
      <c r="BB35" s="280" t="str">
        <f>VLOOKUP(C35,'ДК ИП'!$B$16:$S$104,5,0)</f>
        <v>нет</v>
      </c>
      <c r="BC35" s="281">
        <f>VLOOKUP(C35,Радар!$B$16:$G$104,6,0)</f>
        <v>0.0368962555795774</v>
      </c>
      <c r="BD35" s="171"/>
      <c r="BF35" s="292">
        <f t="shared" si="11"/>
        <v>0.333333333333333</v>
      </c>
      <c r="BI35" s="9">
        <f t="shared" si="12"/>
        <v>0</v>
      </c>
      <c r="BJ35" s="9">
        <f>VLOOKUP(C35,Штаб!$B$16:$C$104,2)</f>
        <v>1</v>
      </c>
      <c r="BK35" s="9">
        <f>VLOOKUP(C35,'РО - регионы'!$B$16:$C$104,2)</f>
        <v>1</v>
      </c>
      <c r="BL35" s="9">
        <f>VLOOKUP(C35,'РО - регионы'!$B$16:$L$104,11)</f>
        <v>2</v>
      </c>
      <c r="BM35" s="9">
        <f>VLOOKUP(C35,Спецтехника!$B$16:$C$104,2)</f>
        <v>0</v>
      </c>
      <c r="BN35" s="9">
        <f>VLOOKUP($C35,МНО!$B$16:$AB$104,6,0)</f>
        <v>2</v>
      </c>
      <c r="BO35" s="9">
        <f>VLOOKUP($C35,МНО!$B$16:$AB$104,4,0)</f>
        <v>0</v>
      </c>
      <c r="BP35" s="9">
        <f>VLOOKUP($C35,МНО!$B$16:$AB$104,5,0)</f>
        <v>0</v>
      </c>
      <c r="BQ35" s="9">
        <f>VLOOKUP($C35,Контейнеры!$B$16:$G$104,6,0)</f>
        <v>2</v>
      </c>
      <c r="BR35" s="9">
        <f>VLOOKUP($C35,Контейнеры!$B$16:$G$104,4,0)</f>
        <v>0</v>
      </c>
      <c r="BS35" s="9">
        <f>VLOOKUP($C35,Контейнеры!$B$16:$G$104,5,0)</f>
        <v>0</v>
      </c>
      <c r="BT35" s="9">
        <f>VLOOKUP($C35,'ДК МНО'!$B$16:$C$104,2,0)</f>
        <v>2</v>
      </c>
      <c r="BU35" s="9">
        <f>VLOOKUP($C35,Обработка!$B$16:$F$104,5,0)</f>
        <v>0</v>
      </c>
      <c r="BV35" s="9">
        <f>VLOOKUP($C35,Обработка!$B$16:$F$104,4,0)</f>
        <v>1</v>
      </c>
      <c r="BW35" s="9">
        <f>VLOOKUP($C35,Утилизация!$B$16:$F$104,5,0)</f>
        <v>1</v>
      </c>
      <c r="BX35" s="9">
        <f>VLOOKUP($C35,Утилизация!$B$16:$F$104,4,0)</f>
        <v>2</v>
      </c>
      <c r="BY35" s="9">
        <f>VLOOKUP($C35,Захоронение!$B$16:$C$104,2,0)</f>
        <v>0</v>
      </c>
      <c r="BZ35" s="9">
        <f>VLOOKUP($C35,'ДК ИП'!$B$16:$C$104,2,0)</f>
        <v>0</v>
      </c>
      <c r="CA35" s="9">
        <f>VLOOKUP(C35,Радар!$B$16:$G$104,2,0)</f>
        <v>2</v>
      </c>
      <c r="CB35" s="9">
        <f>SUMPRODUCT(BJ35:BZ35,$BJ$5:$BZ$5)</f>
        <v>0.6</v>
      </c>
    </row>
    <row r="36" ht="15.75" spans="1:80">
      <c r="A36" s="6" t="s">
        <v>74</v>
      </c>
      <c r="B36" s="137">
        <f t="shared" si="6"/>
        <v>26</v>
      </c>
      <c r="C36" s="3" t="s">
        <v>76</v>
      </c>
      <c r="D36" s="133" t="str">
        <f>VLOOKUP($C36,Штаб!$B$16:$J$104,6,0)</f>
        <v/>
      </c>
      <c r="E36" s="134" t="str">
        <f>VLOOKUP($C36,Штаб!$B$16:$J$104,7,0)</f>
        <v/>
      </c>
      <c r="F36" s="134" t="str">
        <f>VLOOKUP($C36,Штаб!$B$16:$J$104,8,0)</f>
        <v/>
      </c>
      <c r="G36" s="135" t="str">
        <f>VLOOKUP($C36,Штаб!$B$16:$J$104,9,0)</f>
        <v>✔️</v>
      </c>
      <c r="H36" s="139" t="str">
        <f>VLOOKUP(C36,'РО - регионы'!$B$16:$I$104,8,0)</f>
        <v>0 / 0 / 1 из 1</v>
      </c>
      <c r="I36" s="169"/>
      <c r="J36" s="137"/>
      <c r="K36" s="170"/>
      <c r="L36" s="170"/>
      <c r="M36" s="171"/>
      <c r="N36" s="172">
        <f>VLOOKUP(C36,Спецтехника!$B$16:$J$104,4,0)</f>
        <v>150</v>
      </c>
      <c r="O36" s="173">
        <f>VLOOKUP(C36,Спецтехника!$B$16:$J$104,5,0)</f>
        <v>150</v>
      </c>
      <c r="P36" s="173">
        <f>VLOOKUP(C36,Спецтехника!$B$16:$J$104,6,0)</f>
        <v>0</v>
      </c>
      <c r="Q36" s="196">
        <f>VLOOKUP(C36,Спецтехника!$B$16:$J$104,7,0)</f>
        <v>0</v>
      </c>
      <c r="R36" s="197"/>
      <c r="S36" s="137"/>
      <c r="T36" s="170"/>
      <c r="U36" s="170"/>
      <c r="V36" s="171"/>
      <c r="W36" s="172">
        <f>VLOOKUP($C36,МНО!$B$16:$AB$104,16,0)</f>
        <v>14213</v>
      </c>
      <c r="X36" s="173">
        <f>VLOOKUP($C36,МНО!$B$16:$AB$104,8,0)</f>
        <v>12185</v>
      </c>
      <c r="Y36" s="173">
        <f>VLOOKUP($C36,МНО!$B$16:$AB$104,11,0)</f>
        <v>2028</v>
      </c>
      <c r="Z36" s="216">
        <f>VLOOKUP($C36,МНО!$B$16:$AB$104,17,0)</f>
        <v>0.142686273130233</v>
      </c>
      <c r="AA36" s="213"/>
      <c r="AB36" s="214">
        <f>VLOOKUP($C36,МНО!$B$16:$AB$104,13,0)</f>
        <v>10.1731515529654</v>
      </c>
      <c r="AC36" s="215">
        <f>VLOOKUP($C36,МНО!$B$16:$AB$104,18,0)</f>
        <v>0.671645904530923</v>
      </c>
      <c r="AD36" s="174">
        <f>VLOOKUP($C36,Контейнеры!$B$16:$AB$104,16,0)</f>
        <v>24306</v>
      </c>
      <c r="AE36" s="175">
        <f>VLOOKUP($C36,Контейнеры!$B$16:$AB$104,8,0)</f>
        <v>19704</v>
      </c>
      <c r="AF36" s="175">
        <f>VLOOKUP($C36,Контейнеры!$B$16:$AB$104,11,0)</f>
        <v>4602</v>
      </c>
      <c r="AG36" s="212">
        <f>VLOOKUP($C36,Контейнеры!$B$16:$AB$104,17,0)</f>
        <v>0.189335966428042</v>
      </c>
      <c r="AH36" s="213"/>
      <c r="AI36" s="214">
        <f>VLOOKUP($C36,Контейнеры!$B$16:$AB$104,13,0)</f>
        <v>17.4381712222384</v>
      </c>
      <c r="AJ36" s="215">
        <f>VLOOKUP($C36,Контейнеры!$B$16:$AB$104,18,0)</f>
        <v>0.649632389304672</v>
      </c>
      <c r="AK36" s="231"/>
      <c r="AL36" s="170"/>
      <c r="AM36" s="170"/>
      <c r="AN36" s="232"/>
      <c r="AO36" s="249">
        <f>VLOOKUP($C36,Обработка!$B$16:$L$104,6,0)</f>
        <v>0</v>
      </c>
      <c r="AP36" s="250">
        <f t="shared" si="7"/>
        <v>-0.543</v>
      </c>
      <c r="AQ36" s="259">
        <f>VLOOKUP($C36,Обработка!$B$16:$L$104,7,0)</f>
        <v>0.788</v>
      </c>
      <c r="AR36" s="262">
        <f t="shared" si="8"/>
        <v>-0.0190000000000001</v>
      </c>
      <c r="AS36" s="253">
        <f>VLOOKUP($C36,Утилизация!$B$16:$L$104,6,0)</f>
        <v>0</v>
      </c>
      <c r="AT36" s="251">
        <f t="shared" si="9"/>
        <v>-0.139</v>
      </c>
      <c r="AU36" s="250">
        <f>VLOOKUP($C36,Утилизация!$B$16:$L$104,7,0)</f>
        <v>0.3043</v>
      </c>
      <c r="AV36" s="256">
        <f t="shared" si="10"/>
        <v>0.0183</v>
      </c>
      <c r="AW36" s="284" t="str">
        <f>VLOOKUP(C36,Захоронение!$B$16:$Q$104,16,0)</f>
        <v/>
      </c>
      <c r="AX36" s="231"/>
      <c r="AY36" s="170"/>
      <c r="AZ36" s="170"/>
      <c r="BA36" s="171"/>
      <c r="BB36" s="280" t="str">
        <f>VLOOKUP(C36,'ДК ИП'!$B$16:$S$104,5,0)</f>
        <v>небольшое</v>
      </c>
      <c r="BC36" s="282">
        <f>VLOOKUP(C36,Радар!$B$16:$G$104,6,0)</f>
        <v>0.0327452464079792</v>
      </c>
      <c r="BD36" s="171"/>
      <c r="BF36" s="292">
        <f t="shared" si="11"/>
        <v>0.416666666666667</v>
      </c>
      <c r="BI36" s="9">
        <f t="shared" si="12"/>
        <v>0</v>
      </c>
      <c r="BJ36" s="9">
        <f>VLOOKUP(C36,Штаб!$B$16:$C$104,2)</f>
        <v>2</v>
      </c>
      <c r="BK36" s="9">
        <f>VLOOKUP(C36,'РО - регионы'!$B$16:$C$104,2)</f>
        <v>0</v>
      </c>
      <c r="BL36" s="9">
        <f>VLOOKUP(C36,'РО - регионы'!$B$16:$L$104,11)</f>
        <v>0</v>
      </c>
      <c r="BM36" s="9">
        <f>VLOOKUP(C36,Спецтехника!$B$16:$C$104,2)</f>
        <v>0</v>
      </c>
      <c r="BN36" s="9">
        <f>VLOOKUP($C36,МНО!$B$16:$AB$104,6,0)</f>
        <v>0</v>
      </c>
      <c r="BO36" s="9">
        <f>VLOOKUP($C36,МНО!$B$16:$AB$104,4,0)</f>
        <v>0</v>
      </c>
      <c r="BP36" s="9">
        <f>VLOOKUP($C36,МНО!$B$16:$AB$104,5,0)</f>
        <v>2</v>
      </c>
      <c r="BQ36" s="9">
        <f>VLOOKUP($C36,Контейнеры!$B$16:$G$104,6,0)</f>
        <v>1</v>
      </c>
      <c r="BR36" s="9">
        <f>VLOOKUP($C36,Контейнеры!$B$16:$G$104,4,0)</f>
        <v>0</v>
      </c>
      <c r="BS36" s="9">
        <f>VLOOKUP($C36,Контейнеры!$B$16:$G$104,5,0)</f>
        <v>2</v>
      </c>
      <c r="BT36" s="9">
        <f>VLOOKUP($C36,'ДК МНО'!$B$16:$C$104,2,0)</f>
        <v>2</v>
      </c>
      <c r="BU36" s="9">
        <f>VLOOKUP($C36,Обработка!$B$16:$F$104,5,0)</f>
        <v>1</v>
      </c>
      <c r="BV36" s="9">
        <f>VLOOKUP($C36,Обработка!$B$16:$F$104,4,0)</f>
        <v>2</v>
      </c>
      <c r="BW36" s="9">
        <f>VLOOKUP($C36,Утилизация!$B$16:$F$104,5,0)</f>
        <v>0</v>
      </c>
      <c r="BX36" s="9">
        <f>VLOOKUP($C36,Утилизация!$B$16:$F$104,4,0)</f>
        <v>2</v>
      </c>
      <c r="BY36" s="9">
        <f>VLOOKUP($C36,Захоронение!$B$16:$C$104,2,0)</f>
        <v>0</v>
      </c>
      <c r="BZ36" s="9">
        <f>VLOOKUP($C36,'ДК ИП'!$B$16:$C$104,2,0)</f>
        <v>0</v>
      </c>
      <c r="CA36" s="9">
        <f>VLOOKUP(C36,Радар!$B$16:$G$104,2,0)</f>
        <v>1</v>
      </c>
      <c r="CB36" s="9">
        <f>SUMPRODUCT(BJ36:BZ36,$BJ$5:$BZ$5)</f>
        <v>0.3</v>
      </c>
    </row>
    <row r="37" ht="15.75" spans="1:80">
      <c r="A37" s="6" t="s">
        <v>67</v>
      </c>
      <c r="B37" s="131">
        <f t="shared" si="6"/>
        <v>27</v>
      </c>
      <c r="C37" s="3" t="s">
        <v>89</v>
      </c>
      <c r="D37" s="133" t="str">
        <f>VLOOKUP($C37,Штаб!$B$16:$J$104,6,0)</f>
        <v>✔️</v>
      </c>
      <c r="E37" s="134" t="str">
        <f>VLOOKUP($C37,Штаб!$B$16:$J$104,7,0)</f>
        <v/>
      </c>
      <c r="F37" s="134" t="str">
        <f>VLOOKUP($C37,Штаб!$B$16:$J$104,8,0)</f>
        <v/>
      </c>
      <c r="G37" s="135" t="str">
        <f>VLOOKUP($C37,Штаб!$B$16:$J$104,9,0)</f>
        <v/>
      </c>
      <c r="H37" s="139" t="str">
        <f>VLOOKUP(C37,'РО - регионы'!$B$16:$I$104,8,0)</f>
        <v>0 / 0 / 3 из 3</v>
      </c>
      <c r="I37" s="169"/>
      <c r="J37" s="137"/>
      <c r="K37" s="170"/>
      <c r="L37" s="170"/>
      <c r="M37" s="171"/>
      <c r="N37" s="172">
        <f>VLOOKUP(C37,Спецтехника!$B$16:$J$104,4,0)</f>
        <v>141</v>
      </c>
      <c r="O37" s="173">
        <f>VLOOKUP(C37,Спецтехника!$B$16:$J$104,5,0)</f>
        <v>136</v>
      </c>
      <c r="P37" s="173">
        <f>VLOOKUP(C37,Спецтехника!$B$16:$J$104,6,0)</f>
        <v>5</v>
      </c>
      <c r="Q37" s="196">
        <f>VLOOKUP(C37,Спецтехника!$B$16:$J$104,7,0)</f>
        <v>0.0354609929078014</v>
      </c>
      <c r="R37" s="197"/>
      <c r="S37" s="137"/>
      <c r="T37" s="170"/>
      <c r="U37" s="170"/>
      <c r="V37" s="171"/>
      <c r="W37" s="172">
        <f>VLOOKUP($C37,МНО!$B$16:$AB$104,16,0)</f>
        <v>5093</v>
      </c>
      <c r="X37" s="173">
        <f>VLOOKUP($C37,МНО!$B$16:$AB$104,8,0)</f>
        <v>4920</v>
      </c>
      <c r="Y37" s="173">
        <f>VLOOKUP($C37,МНО!$B$16:$AB$104,11,0)</f>
        <v>173</v>
      </c>
      <c r="Z37" s="216">
        <f>VLOOKUP($C37,МНО!$B$16:$AB$104,17,0)</f>
        <v>0.0339681916355782</v>
      </c>
      <c r="AA37" s="213"/>
      <c r="AB37" s="214">
        <f>VLOOKUP($C37,МНО!$B$16:$AB$104,13,0)</f>
        <v>8.42713495071221</v>
      </c>
      <c r="AC37" s="215">
        <f>VLOOKUP($C37,МНО!$B$16:$AB$104,18,0)</f>
        <v>0.741187104549563</v>
      </c>
      <c r="AD37" s="172">
        <f>VLOOKUP($C37,Контейнеры!$B$16:$AB$104,16,0)</f>
        <v>11667</v>
      </c>
      <c r="AE37" s="173">
        <f>VLOOKUP($C37,Контейнеры!$B$16:$AB$104,8,0)</f>
        <v>11159</v>
      </c>
      <c r="AF37" s="173">
        <f>VLOOKUP($C37,Контейнеры!$B$16:$AB$104,11,0)</f>
        <v>508</v>
      </c>
      <c r="AG37" s="216">
        <f>VLOOKUP($C37,Контейнеры!$B$16:$AB$104,17,0)</f>
        <v>0.0435416130967687</v>
      </c>
      <c r="AH37" s="213"/>
      <c r="AI37" s="214">
        <f>VLOOKUP($C37,Контейнеры!$B$16:$AB$104,13,0)</f>
        <v>19.7062864448863</v>
      </c>
      <c r="AJ37" s="215">
        <f>VLOOKUP($C37,Контейнеры!$B$16:$AB$104,18,0)</f>
        <v>0.826898851426454</v>
      </c>
      <c r="AK37" s="231"/>
      <c r="AL37" s="170"/>
      <c r="AM37" s="170"/>
      <c r="AN37" s="232"/>
      <c r="AO37" s="257">
        <f>VLOOKUP($C37,Обработка!$B$16:$L$104,6,0)</f>
        <v>0.942</v>
      </c>
      <c r="AP37" s="250">
        <f t="shared" si="7"/>
        <v>0.399</v>
      </c>
      <c r="AQ37" s="250">
        <f>VLOOKUP($C37,Обработка!$B$16:$L$104,7,0)</f>
        <v>0.85</v>
      </c>
      <c r="AR37" s="255">
        <f t="shared" si="8"/>
        <v>0.0429999999999999</v>
      </c>
      <c r="AS37" s="253">
        <f>VLOOKUP($C37,Утилизация!$B$16:$L$104,6,0)</f>
        <v>0.774</v>
      </c>
      <c r="AT37" s="251">
        <f t="shared" si="9"/>
        <v>0.635</v>
      </c>
      <c r="AU37" s="251">
        <f>VLOOKUP($C37,Утилизация!$B$16:$L$104,7,0)</f>
        <v>0.07</v>
      </c>
      <c r="AV37" s="254">
        <f t="shared" si="10"/>
        <v>-0.216</v>
      </c>
      <c r="AW37" s="283" t="str">
        <f>VLOOKUP(C37,Захоронение!$B$16:$Q$104,16,0)</f>
        <v>перегруз</v>
      </c>
      <c r="AX37" s="231"/>
      <c r="AY37" s="170"/>
      <c r="AZ37" s="170"/>
      <c r="BA37" s="171"/>
      <c r="BB37" s="280" t="str">
        <f>VLOOKUP(C37,'ДК ИП'!$B$16:$S$104,5,0)</f>
        <v>небольшое</v>
      </c>
      <c r="BC37" s="282">
        <f>VLOOKUP(C37,Радар!$B$16:$G$104,6,0)</f>
        <v>0.058276499030491</v>
      </c>
      <c r="BD37" s="171"/>
      <c r="BF37" s="291">
        <f t="shared" si="11"/>
        <v>0.666666666666667</v>
      </c>
      <c r="BI37" s="9">
        <f t="shared" si="12"/>
        <v>0</v>
      </c>
      <c r="BJ37" s="9">
        <f>VLOOKUP(C37,Штаб!$B$16:$C$104,2)</f>
        <v>0</v>
      </c>
      <c r="BK37" s="9">
        <f>VLOOKUP(C37,'РО - регионы'!$B$16:$C$104,2)</f>
        <v>0</v>
      </c>
      <c r="BL37" s="9">
        <f>VLOOKUP(C37,'РО - регионы'!$B$16:$L$104,11)</f>
        <v>0</v>
      </c>
      <c r="BM37" s="9">
        <f>VLOOKUP(C37,Спецтехника!$B$16:$C$104,2)</f>
        <v>0</v>
      </c>
      <c r="BN37" s="9">
        <f>VLOOKUP($C37,МНО!$B$16:$AB$104,6,0)</f>
        <v>0</v>
      </c>
      <c r="BO37" s="9">
        <f>VLOOKUP($C37,МНО!$B$16:$AB$104,4,0)</f>
        <v>0</v>
      </c>
      <c r="BP37" s="9">
        <f>VLOOKUP($C37,МНО!$B$16:$AB$104,5,0)</f>
        <v>1</v>
      </c>
      <c r="BQ37" s="9">
        <f>VLOOKUP($C37,Контейнеры!$B$16:$G$104,6,0)</f>
        <v>0</v>
      </c>
      <c r="BR37" s="9">
        <f>VLOOKUP($C37,Контейнеры!$B$16:$G$104,4,0)</f>
        <v>0</v>
      </c>
      <c r="BS37" s="9">
        <f>VLOOKUP($C37,Контейнеры!$B$16:$G$104,5,0)</f>
        <v>1</v>
      </c>
      <c r="BT37" s="9">
        <f>VLOOKUP($C37,'ДК МНО'!$B$16:$C$104,2,0)</f>
        <v>2</v>
      </c>
      <c r="BU37" s="9">
        <f>VLOOKUP($C37,Обработка!$B$16:$F$104,5,0)</f>
        <v>0</v>
      </c>
      <c r="BV37" s="9">
        <f>VLOOKUP($C37,Обработка!$B$16:$F$104,4,0)</f>
        <v>0</v>
      </c>
      <c r="BW37" s="9">
        <f>VLOOKUP($C37,Утилизация!$B$16:$F$104,5,0)</f>
        <v>2</v>
      </c>
      <c r="BX37" s="9">
        <f>VLOOKUP($C37,Утилизация!$B$16:$F$104,4,0)</f>
        <v>2</v>
      </c>
      <c r="BY37" s="9">
        <f>VLOOKUP($C37,Захоронение!$B$16:$C$104,2,0)</f>
        <v>1</v>
      </c>
      <c r="BZ37" s="9">
        <f>VLOOKUP($C37,'ДК ИП'!$B$16:$C$104,2,0)</f>
        <v>0</v>
      </c>
      <c r="CA37" s="9">
        <f>VLOOKUP(C37,Радар!$B$16:$G$104,2,0)</f>
        <v>1</v>
      </c>
      <c r="CB37" s="9">
        <f>SUMPRODUCT(BJ37:BZ37,$BJ$5:$BZ$5)</f>
        <v>0.45</v>
      </c>
    </row>
    <row r="38" ht="15.75" spans="1:80">
      <c r="A38" s="6" t="s">
        <v>85</v>
      </c>
      <c r="B38" s="137">
        <f t="shared" si="6"/>
        <v>28</v>
      </c>
      <c r="C38" s="3" t="s">
        <v>141</v>
      </c>
      <c r="D38" s="133" t="str">
        <f>VLOOKUP($C38,Штаб!$B$16:$J$104,6,0)</f>
        <v>✔️</v>
      </c>
      <c r="E38" s="134" t="str">
        <f>VLOOKUP($C38,Штаб!$B$16:$J$104,7,0)</f>
        <v/>
      </c>
      <c r="F38" s="134" t="str">
        <f>VLOOKUP($C38,Штаб!$B$16:$J$104,8,0)</f>
        <v/>
      </c>
      <c r="G38" s="135" t="str">
        <f>VLOOKUP($C38,Штаб!$B$16:$J$104,9,0)</f>
        <v/>
      </c>
      <c r="H38" s="138" t="str">
        <f>VLOOKUP(C38,'РО - регионы'!$B$16:$I$104,8,0)</f>
        <v>0 / 6 / 6 из 12</v>
      </c>
      <c r="I38" s="169"/>
      <c r="J38" s="137"/>
      <c r="K38" s="170"/>
      <c r="L38" s="170"/>
      <c r="M38" s="171"/>
      <c r="N38" s="172">
        <f>VLOOKUP(C38,Спецтехника!$B$16:$J$104,4,0)</f>
        <v>1042</v>
      </c>
      <c r="O38" s="173">
        <f>VLOOKUP(C38,Спецтехника!$B$16:$J$104,5,0)</f>
        <v>989</v>
      </c>
      <c r="P38" s="173">
        <f>VLOOKUP(C38,Спецтехника!$B$16:$J$104,6,0)</f>
        <v>53</v>
      </c>
      <c r="Q38" s="196">
        <f>VLOOKUP(C38,Спецтехника!$B$16:$J$104,7,0)</f>
        <v>0.0508637236084453</v>
      </c>
      <c r="R38" s="197"/>
      <c r="S38" s="137"/>
      <c r="T38" s="170"/>
      <c r="U38" s="170"/>
      <c r="V38" s="171"/>
      <c r="W38" s="174">
        <f>VLOOKUP($C38,МНО!$B$16:$AB$104,16,0)</f>
        <v>28633</v>
      </c>
      <c r="X38" s="175">
        <f>VLOOKUP($C38,МНО!$B$16:$AB$104,8,0)</f>
        <v>21178</v>
      </c>
      <c r="Y38" s="175">
        <f>VLOOKUP($C38,МНО!$B$16:$AB$104,11,0)</f>
        <v>7455</v>
      </c>
      <c r="Z38" s="212">
        <f>VLOOKUP($C38,МНО!$B$16:$AB$104,17,0)</f>
        <v>0.260363915761534</v>
      </c>
      <c r="AA38" s="213"/>
      <c r="AB38" s="214">
        <f>VLOOKUP($C38,МНО!$B$16:$AB$104,13,0)</f>
        <v>3.56763121288146</v>
      </c>
      <c r="AC38" s="215">
        <f>VLOOKUP($C38,МНО!$B$16:$AB$104,18,0)</f>
        <v>0.442425002089078</v>
      </c>
      <c r="AD38" s="174">
        <f>VLOOKUP($C38,Контейнеры!$B$16:$AB$104,16,0)</f>
        <v>57310</v>
      </c>
      <c r="AE38" s="175">
        <f>VLOOKUP($C38,Контейнеры!$B$16:$AB$104,8,0)</f>
        <v>42974</v>
      </c>
      <c r="AF38" s="175">
        <f>VLOOKUP($C38,Контейнеры!$B$16:$AB$104,11,0)</f>
        <v>14336</v>
      </c>
      <c r="AG38" s="212">
        <f>VLOOKUP($C38,Контейнеры!$B$16:$AB$104,17,0)</f>
        <v>0.250148316175188</v>
      </c>
      <c r="AH38" s="213"/>
      <c r="AI38" s="214">
        <f>VLOOKUP($C38,Контейнеры!$B$16:$AB$104,13,0)</f>
        <v>7.36738989631754</v>
      </c>
      <c r="AJ38" s="215">
        <f>VLOOKUP($C38,Контейнеры!$B$16:$AB$104,18,0)</f>
        <v>0.458008270452317</v>
      </c>
      <c r="AK38" s="231"/>
      <c r="AL38" s="170"/>
      <c r="AM38" s="170"/>
      <c r="AN38" s="232"/>
      <c r="AO38" s="261">
        <f>VLOOKUP($C38,Обработка!$B$16:$L$104,6,0)</f>
        <v>0.458</v>
      </c>
      <c r="AP38" s="250">
        <f t="shared" si="7"/>
        <v>-0.0850000000000001</v>
      </c>
      <c r="AQ38" s="259">
        <f>VLOOKUP($C38,Обработка!$B$16:$L$104,7,0)</f>
        <v>0.719</v>
      </c>
      <c r="AR38" s="262">
        <f t="shared" si="8"/>
        <v>-0.088</v>
      </c>
      <c r="AS38" s="253">
        <f>VLOOKUP($C38,Утилизация!$B$16:$L$104,6,0)</f>
        <v>0.026</v>
      </c>
      <c r="AT38" s="251">
        <f t="shared" si="9"/>
        <v>-0.113</v>
      </c>
      <c r="AU38" s="259">
        <f>VLOOKUP($C38,Утилизация!$B$16:$L$104,7,0)</f>
        <v>0.192</v>
      </c>
      <c r="AV38" s="260">
        <f t="shared" si="10"/>
        <v>-0.094</v>
      </c>
      <c r="AW38" s="279" t="str">
        <f>VLOOKUP(C38,Захоронение!$B$16:$Q$104,16,0)</f>
        <v>765 приказ</v>
      </c>
      <c r="AX38" s="231"/>
      <c r="AY38" s="170"/>
      <c r="AZ38" s="170"/>
      <c r="BA38" s="171"/>
      <c r="BB38" s="280" t="str">
        <f>VLOOKUP(C38,'ДК ИП'!$B$16:$S$104,5,0)</f>
        <v>небольшое</v>
      </c>
      <c r="BC38" s="281">
        <f>VLOOKUP(C38,Радар!$B$16:$G$104,6,0)</f>
        <v>0.108691887984952</v>
      </c>
      <c r="BD38" s="171"/>
      <c r="BF38" s="290">
        <f t="shared" si="11"/>
        <v>1.08333333333333</v>
      </c>
      <c r="BI38" s="9">
        <f t="shared" si="12"/>
        <v>1</v>
      </c>
      <c r="BJ38" s="9">
        <f>VLOOKUP(C38,Штаб!$B$16:$C$104,2)</f>
        <v>0</v>
      </c>
      <c r="BK38" s="9">
        <f>VLOOKUP(C38,'РО - регионы'!$B$16:$C$104,2)</f>
        <v>1</v>
      </c>
      <c r="BL38" s="9">
        <f>VLOOKUP(C38,'РО - регионы'!$B$16:$L$104,11)</f>
        <v>2</v>
      </c>
      <c r="BM38" s="9">
        <f>VLOOKUP(C38,Спецтехника!$B$16:$C$104,2)</f>
        <v>0</v>
      </c>
      <c r="BN38" s="9">
        <f>VLOOKUP($C38,МНО!$B$16:$AB$104,6,0)</f>
        <v>1</v>
      </c>
      <c r="BO38" s="9">
        <f>VLOOKUP($C38,МНО!$B$16:$AB$104,4,0)</f>
        <v>1</v>
      </c>
      <c r="BP38" s="9">
        <f>VLOOKUP($C38,МНО!$B$16:$AB$104,5,0)</f>
        <v>2</v>
      </c>
      <c r="BQ38" s="9">
        <f>VLOOKUP($C38,Контейнеры!$B$16:$G$104,6,0)</f>
        <v>1</v>
      </c>
      <c r="BR38" s="9">
        <f>VLOOKUP($C38,Контейнеры!$B$16:$G$104,4,0)</f>
        <v>0</v>
      </c>
      <c r="BS38" s="9">
        <f>VLOOKUP($C38,Контейнеры!$B$16:$G$104,5,0)</f>
        <v>2</v>
      </c>
      <c r="BT38" s="9">
        <f>VLOOKUP($C38,'ДК МНО'!$B$16:$C$104,2,0)</f>
        <v>2</v>
      </c>
      <c r="BU38" s="9">
        <f>VLOOKUP($C38,Обработка!$B$16:$F$104,5,0)</f>
        <v>1</v>
      </c>
      <c r="BV38" s="9">
        <f>VLOOKUP($C38,Обработка!$B$16:$F$104,4,0)</f>
        <v>1</v>
      </c>
      <c r="BW38" s="9">
        <f>VLOOKUP($C38,Утилизация!$B$16:$F$104,5,0)</f>
        <v>1</v>
      </c>
      <c r="BX38" s="9">
        <f>VLOOKUP($C38,Утилизация!$B$16:$F$104,4,0)</f>
        <v>2</v>
      </c>
      <c r="BY38" s="9">
        <f>VLOOKUP($C38,Захоронение!$B$16:$C$104,2,0)</f>
        <v>2</v>
      </c>
      <c r="BZ38" s="9">
        <f>VLOOKUP($C38,'ДК ИП'!$B$16:$C$104,2,0)</f>
        <v>0</v>
      </c>
      <c r="CA38" s="9">
        <f>VLOOKUP(C38,Радар!$B$16:$G$104,2,0)</f>
        <v>2</v>
      </c>
      <c r="CB38" s="9">
        <f>SUMPRODUCT(BJ38:BZ38,$BJ$5:$BZ$5)</f>
        <v>1.1</v>
      </c>
    </row>
    <row r="39" ht="15.75" spans="1:80">
      <c r="A39" s="6" t="s">
        <v>108</v>
      </c>
      <c r="B39" s="131">
        <f t="shared" si="6"/>
        <v>29</v>
      </c>
      <c r="C39" s="3" t="s">
        <v>142</v>
      </c>
      <c r="D39" s="133" t="str">
        <f>VLOOKUP($C39,Штаб!$B$16:$J$104,6,0)</f>
        <v/>
      </c>
      <c r="E39" s="134" t="str">
        <f>VLOOKUP($C39,Штаб!$B$16:$J$104,7,0)</f>
        <v>✔️</v>
      </c>
      <c r="F39" s="134" t="str">
        <f>VLOOKUP($C39,Штаб!$B$16:$J$104,8,0)</f>
        <v/>
      </c>
      <c r="G39" s="135" t="str">
        <f>VLOOKUP($C39,Штаб!$B$16:$J$104,9,0)</f>
        <v/>
      </c>
      <c r="H39" s="138" t="str">
        <f>VLOOKUP(C39,'РО - регионы'!$B$16:$I$104,8,0)</f>
        <v>0 / 2 / 12 из 14</v>
      </c>
      <c r="I39" s="169"/>
      <c r="J39" s="137"/>
      <c r="K39" s="170"/>
      <c r="L39" s="170"/>
      <c r="M39" s="171"/>
      <c r="N39" s="172">
        <f>VLOOKUP(C39,Спецтехника!$B$16:$J$104,4,0)</f>
        <v>443</v>
      </c>
      <c r="O39" s="173">
        <f>VLOOKUP(C39,Спецтехника!$B$16:$J$104,5,0)</f>
        <v>426</v>
      </c>
      <c r="P39" s="173">
        <f>VLOOKUP(C39,Спецтехника!$B$16:$J$104,6,0)</f>
        <v>17</v>
      </c>
      <c r="Q39" s="196">
        <f>VLOOKUP(C39,Спецтехника!$B$16:$J$104,7,0)</f>
        <v>0.0383747178329571</v>
      </c>
      <c r="R39" s="197"/>
      <c r="S39" s="137"/>
      <c r="T39" s="170"/>
      <c r="U39" s="170"/>
      <c r="V39" s="171"/>
      <c r="W39" s="174">
        <f>VLOOKUP($C39,МНО!$B$16:$AB$104,16,0)</f>
        <v>29212</v>
      </c>
      <c r="X39" s="175">
        <f>VLOOKUP($C39,МНО!$B$16:$AB$104,8,0)</f>
        <v>23450</v>
      </c>
      <c r="Y39" s="175">
        <f>VLOOKUP($C39,МНО!$B$16:$AB$104,11,0)</f>
        <v>5762</v>
      </c>
      <c r="Z39" s="212">
        <f>VLOOKUP($C39,МНО!$B$16:$AB$104,17,0)</f>
        <v>0.197247706422018</v>
      </c>
      <c r="AA39" s="213"/>
      <c r="AB39" s="214">
        <f>VLOOKUP($C39,МНО!$B$16:$AB$104,13,0)</f>
        <v>4.4059983416019</v>
      </c>
      <c r="AC39" s="215">
        <f>VLOOKUP($C39,МНО!$B$16:$AB$104,18,0)</f>
        <v>0.474715575529374</v>
      </c>
      <c r="AD39" s="172">
        <f>VLOOKUP($C39,Контейнеры!$B$16:$AB$104,16,0)</f>
        <v>49553</v>
      </c>
      <c r="AE39" s="173">
        <f>VLOOKUP($C39,Контейнеры!$B$16:$AB$104,8,0)</f>
        <v>42103</v>
      </c>
      <c r="AF39" s="173">
        <f>VLOOKUP($C39,Контейнеры!$B$16:$AB$104,11,0)</f>
        <v>7450</v>
      </c>
      <c r="AG39" s="216">
        <f>VLOOKUP($C39,Контейнеры!$B$16:$AB$104,17,0)</f>
        <v>0.150344076039796</v>
      </c>
      <c r="AH39" s="213"/>
      <c r="AI39" s="214">
        <f>VLOOKUP($C39,Контейнеры!$B$16:$AB$104,13,0)</f>
        <v>14.7931218641519</v>
      </c>
      <c r="AJ39" s="215">
        <f>VLOOKUP($C39,Контейнеры!$B$16:$AB$104,18,0)</f>
        <v>0.51786570890887</v>
      </c>
      <c r="AK39" s="231"/>
      <c r="AL39" s="170"/>
      <c r="AM39" s="170"/>
      <c r="AN39" s="232"/>
      <c r="AO39" s="261">
        <f>VLOOKUP($C39,Обработка!$B$16:$L$104,6,0)</f>
        <v>0.398</v>
      </c>
      <c r="AP39" s="250">
        <f t="shared" si="7"/>
        <v>-0.145</v>
      </c>
      <c r="AQ39" s="250">
        <f>VLOOKUP($C39,Обработка!$B$16:$L$104,7,0)</f>
        <v>1</v>
      </c>
      <c r="AR39" s="255">
        <f t="shared" si="8"/>
        <v>0.193</v>
      </c>
      <c r="AS39" s="253">
        <f>VLOOKUP($C39,Утилизация!$B$16:$L$104,6,0)</f>
        <v>0.033</v>
      </c>
      <c r="AT39" s="251">
        <f t="shared" si="9"/>
        <v>-0.106</v>
      </c>
      <c r="AU39" s="259">
        <f>VLOOKUP($C39,Утилизация!$B$16:$L$104,7,0)</f>
        <v>0.204</v>
      </c>
      <c r="AV39" s="260">
        <f t="shared" si="10"/>
        <v>-0.082</v>
      </c>
      <c r="AW39" s="279" t="str">
        <f>VLOOKUP(C39,Захоронение!$B$16:$Q$104,16,0)</f>
        <v>белые пятна</v>
      </c>
      <c r="AX39" s="231"/>
      <c r="AY39" s="170"/>
      <c r="AZ39" s="170"/>
      <c r="BA39" s="171"/>
      <c r="BB39" s="280" t="str">
        <f>VLOOKUP(C39,'ДК ИП'!$B$16:$S$104,5,0)</f>
        <v>среднее</v>
      </c>
      <c r="BC39" s="281">
        <f>VLOOKUP(C39,Радар!$B$16:$G$104,6,0)</f>
        <v>0.0316219976669993</v>
      </c>
      <c r="BD39" s="171"/>
      <c r="BF39" s="290">
        <f t="shared" si="11"/>
        <v>1.08333333333333</v>
      </c>
      <c r="BI39" s="9">
        <f t="shared" si="12"/>
        <v>1</v>
      </c>
      <c r="BJ39" s="9">
        <f>VLOOKUP(C39,Штаб!$B$16:$C$104,2)</f>
        <v>1</v>
      </c>
      <c r="BK39" s="9">
        <f>VLOOKUP(C39,'РО - регионы'!$B$16:$C$104,2)</f>
        <v>1</v>
      </c>
      <c r="BL39" s="9">
        <f>VLOOKUP(C39,'РО - регионы'!$B$16:$L$104,11)</f>
        <v>2</v>
      </c>
      <c r="BM39" s="9">
        <f>VLOOKUP(C39,Спецтехника!$B$16:$C$104,2)</f>
        <v>0</v>
      </c>
      <c r="BN39" s="9">
        <f>VLOOKUP($C39,МНО!$B$16:$AB$104,6,0)</f>
        <v>1</v>
      </c>
      <c r="BO39" s="9">
        <f>VLOOKUP($C39,МНО!$B$16:$AB$104,4,0)</f>
        <v>1</v>
      </c>
      <c r="BP39" s="9">
        <f>VLOOKUP($C39,МНО!$B$16:$AB$104,5,0)</f>
        <v>2</v>
      </c>
      <c r="BQ39" s="9">
        <f>VLOOKUP($C39,Контейнеры!$B$16:$G$104,6,0)</f>
        <v>0</v>
      </c>
      <c r="BR39" s="9">
        <f>VLOOKUP($C39,Контейнеры!$B$16:$G$104,4,0)</f>
        <v>0</v>
      </c>
      <c r="BS39" s="9">
        <f>VLOOKUP($C39,Контейнеры!$B$16:$G$104,5,0)</f>
        <v>2</v>
      </c>
      <c r="BT39" s="9">
        <f>VLOOKUP($C39,'ДК МНО'!$B$16:$C$104,2,0)</f>
        <v>2</v>
      </c>
      <c r="BU39" s="9">
        <f>VLOOKUP($C39,Обработка!$B$16:$F$104,5,0)</f>
        <v>0</v>
      </c>
      <c r="BV39" s="9">
        <f>VLOOKUP($C39,Обработка!$B$16:$F$104,4,0)</f>
        <v>1</v>
      </c>
      <c r="BW39" s="9">
        <f>VLOOKUP($C39,Утилизация!$B$16:$F$104,5,0)</f>
        <v>1</v>
      </c>
      <c r="BX39" s="9">
        <f>VLOOKUP($C39,Утилизация!$B$16:$F$104,4,0)</f>
        <v>2</v>
      </c>
      <c r="BY39" s="9">
        <f>VLOOKUP($C39,Захоронение!$B$16:$C$104,2,0)</f>
        <v>2</v>
      </c>
      <c r="BZ39" s="9">
        <f>VLOOKUP($C39,'ДК ИП'!$B$16:$C$104,2,0)</f>
        <v>1</v>
      </c>
      <c r="CA39" s="9">
        <f>VLOOKUP(C39,Радар!$B$16:$G$104,2,0)</f>
        <v>2</v>
      </c>
      <c r="CB39" s="9">
        <f>SUMPRODUCT(BJ39:BZ39,$BJ$5:$BZ$5)</f>
        <v>1.1</v>
      </c>
    </row>
    <row r="40" ht="15.75" spans="1:80">
      <c r="A40" s="6" t="s">
        <v>78</v>
      </c>
      <c r="B40" s="137">
        <f t="shared" si="6"/>
        <v>30</v>
      </c>
      <c r="C40" s="3" t="s">
        <v>132</v>
      </c>
      <c r="D40" s="133" t="str">
        <f>VLOOKUP($C40,Штаб!$B$16:$J$104,6,0)</f>
        <v/>
      </c>
      <c r="E40" s="134" t="str">
        <f>VLOOKUP($C40,Штаб!$B$16:$J$104,7,0)</f>
        <v/>
      </c>
      <c r="F40" s="134" t="str">
        <f>VLOOKUP($C40,Штаб!$B$16:$J$104,8,0)</f>
        <v>✔️</v>
      </c>
      <c r="G40" s="135" t="str">
        <f>VLOOKUP($C40,Штаб!$B$16:$J$104,9,0)</f>
        <v/>
      </c>
      <c r="H40" s="140" t="str">
        <f>VLOOKUP(C40,'РО - регионы'!$B$16:$I$104,8,0)</f>
        <v>1 / 0 / 0 из 1</v>
      </c>
      <c r="I40" s="169"/>
      <c r="J40" s="137"/>
      <c r="K40" s="170"/>
      <c r="L40" s="170"/>
      <c r="M40" s="171"/>
      <c r="N40" s="172">
        <f>VLOOKUP(C40,Спецтехника!$B$16:$J$104,4,0)</f>
        <v>80</v>
      </c>
      <c r="O40" s="173">
        <f>VLOOKUP(C40,Спецтехника!$B$16:$J$104,5,0)</f>
        <v>80</v>
      </c>
      <c r="P40" s="173">
        <f>VLOOKUP(C40,Спецтехника!$B$16:$J$104,6,0)</f>
        <v>0</v>
      </c>
      <c r="Q40" s="196">
        <f>VLOOKUP(C40,Спецтехника!$B$16:$J$104,7,0)</f>
        <v>0</v>
      </c>
      <c r="R40" s="197"/>
      <c r="S40" s="137"/>
      <c r="T40" s="170"/>
      <c r="U40" s="170"/>
      <c r="V40" s="171"/>
      <c r="W40" s="176">
        <f>VLOOKUP($C40,МНО!$B$16:$AB$104,16,0)</f>
        <v>8593</v>
      </c>
      <c r="X40" s="177">
        <f>VLOOKUP($C40,МНО!$B$16:$AB$104,8,0)</f>
        <v>8593</v>
      </c>
      <c r="Y40" s="177">
        <f>VLOOKUP($C40,МНО!$B$16:$AB$104,11,0)</f>
        <v>0</v>
      </c>
      <c r="Z40" s="217">
        <f>VLOOKUP($C40,МНО!$B$16:$AB$104,17,0)</f>
        <v>0</v>
      </c>
      <c r="AA40" s="213"/>
      <c r="AB40" s="214">
        <f>VLOOKUP($C40,МНО!$B$16:$AB$104,13,0)</f>
        <v>11.405016188536</v>
      </c>
      <c r="AC40" s="215">
        <f>VLOOKUP($C40,МНО!$B$16:$AB$104,18,0)</f>
        <v>0.659933952845404</v>
      </c>
      <c r="AD40" s="176">
        <f>VLOOKUP($C40,Контейнеры!$B$16:$AB$104,16,0)</f>
        <v>10977</v>
      </c>
      <c r="AE40" s="177">
        <f>VLOOKUP($C40,Контейнеры!$B$16:$AB$104,8,0)</f>
        <v>10977</v>
      </c>
      <c r="AF40" s="177">
        <f>VLOOKUP($C40,Контейнеры!$B$16:$AB$104,11,0)</f>
        <v>0</v>
      </c>
      <c r="AG40" s="217">
        <f>VLOOKUP($C40,Контейнеры!$B$16:$AB$104,17,0)</f>
        <v>0</v>
      </c>
      <c r="AH40" s="213"/>
      <c r="AI40" s="214">
        <f>VLOOKUP($C40,Контейнеры!$B$16:$AB$104,13,0)</f>
        <v>14.5776505241686</v>
      </c>
      <c r="AJ40" s="215">
        <f>VLOOKUP($C40,Контейнеры!$B$16:$AB$104,18,0)</f>
        <v>0.622490643075876</v>
      </c>
      <c r="AK40" s="231"/>
      <c r="AL40" s="170"/>
      <c r="AM40" s="170"/>
      <c r="AN40" s="232"/>
      <c r="AO40" s="249">
        <f>VLOOKUP($C40,Обработка!$B$16:$L$104,6,0)</f>
        <v>0.188</v>
      </c>
      <c r="AP40" s="250">
        <f t="shared" si="7"/>
        <v>-0.355</v>
      </c>
      <c r="AQ40" s="250">
        <f>VLOOKUP($C40,Обработка!$B$16:$L$104,7,0)</f>
        <v>1</v>
      </c>
      <c r="AR40" s="255">
        <f t="shared" si="8"/>
        <v>0.193</v>
      </c>
      <c r="AS40" s="253">
        <f>VLOOKUP($C40,Утилизация!$B$16:$L$104,6,0)</f>
        <v>0.01</v>
      </c>
      <c r="AT40" s="251">
        <f t="shared" si="9"/>
        <v>-0.129</v>
      </c>
      <c r="AU40" s="259">
        <f>VLOOKUP($C40,Утилизация!$B$16:$L$104,7,0)</f>
        <v>0.25</v>
      </c>
      <c r="AV40" s="260">
        <f t="shared" si="10"/>
        <v>-0.036</v>
      </c>
      <c r="AW40" s="284" t="str">
        <f>VLOOKUP(C40,Захоронение!$B$16:$Q$104,16,0)</f>
        <v/>
      </c>
      <c r="AX40" s="231"/>
      <c r="AY40" s="170"/>
      <c r="AZ40" s="170"/>
      <c r="BA40" s="171"/>
      <c r="BB40" s="280" t="str">
        <f>VLOOKUP(C40,'ДК ИП'!$B$16:$S$104,5,0)</f>
        <v>среднее</v>
      </c>
      <c r="BC40" s="285">
        <f>VLOOKUP(C40,Радар!$B$16:$G$104,6,0)</f>
        <v>0.045152602516328</v>
      </c>
      <c r="BD40" s="171"/>
      <c r="BF40" s="291">
        <f t="shared" si="11"/>
        <v>0.5</v>
      </c>
      <c r="BI40" s="9">
        <f t="shared" si="12"/>
        <v>1</v>
      </c>
      <c r="BJ40" s="9">
        <f>VLOOKUP(C40,Штаб!$B$16:$C$104,2)</f>
        <v>1</v>
      </c>
      <c r="BK40" s="9">
        <f>VLOOKUP(C40,'РО - регионы'!$B$16:$C$104,2)</f>
        <v>2</v>
      </c>
      <c r="BL40" s="9">
        <f>VLOOKUP(C40,'РО - регионы'!$B$16:$L$104,11)</f>
        <v>0</v>
      </c>
      <c r="BM40" s="9">
        <f>VLOOKUP(C40,Спецтехника!$B$16:$C$104,2)</f>
        <v>0</v>
      </c>
      <c r="BN40" s="9">
        <f>VLOOKUP($C40,МНО!$B$16:$AB$104,6,0)</f>
        <v>2</v>
      </c>
      <c r="BO40" s="9">
        <f>VLOOKUP($C40,МНО!$B$16:$AB$104,4,0)</f>
        <v>0</v>
      </c>
      <c r="BP40" s="9">
        <f>VLOOKUP($C40,МНО!$B$16:$AB$104,5,0)</f>
        <v>2</v>
      </c>
      <c r="BQ40" s="9">
        <f>VLOOKUP($C40,Контейнеры!$B$16:$G$104,6,0)</f>
        <v>2</v>
      </c>
      <c r="BR40" s="9">
        <f>VLOOKUP($C40,Контейнеры!$B$16:$G$104,4,0)</f>
        <v>0</v>
      </c>
      <c r="BS40" s="9">
        <f>VLOOKUP($C40,Контейнеры!$B$16:$G$104,5,0)</f>
        <v>2</v>
      </c>
      <c r="BT40" s="9">
        <f>VLOOKUP($C40,'ДК МНО'!$B$16:$C$104,2,0)</f>
        <v>2</v>
      </c>
      <c r="BU40" s="9">
        <f>VLOOKUP($C40,Обработка!$B$16:$F$104,5,0)</f>
        <v>0</v>
      </c>
      <c r="BV40" s="9">
        <f>VLOOKUP($C40,Обработка!$B$16:$F$104,4,0)</f>
        <v>2</v>
      </c>
      <c r="BW40" s="9">
        <f>VLOOKUP($C40,Утилизация!$B$16:$F$104,5,0)</f>
        <v>1</v>
      </c>
      <c r="BX40" s="9">
        <f>VLOOKUP($C40,Утилизация!$B$16:$F$104,4,0)</f>
        <v>2</v>
      </c>
      <c r="BY40" s="9">
        <f>VLOOKUP($C40,Захоронение!$B$16:$C$104,2,0)</f>
        <v>0</v>
      </c>
      <c r="BZ40" s="9">
        <f>VLOOKUP($C40,'ДК ИП'!$B$16:$C$104,2,0)</f>
        <v>1</v>
      </c>
      <c r="CA40" s="9">
        <f>VLOOKUP(C40,Радар!$B$16:$G$104,2,0)</f>
        <v>0</v>
      </c>
      <c r="CB40" s="9">
        <f>SUMPRODUCT(BJ40:BZ40,$BJ$5:$BZ$5)</f>
        <v>0.95</v>
      </c>
    </row>
    <row r="41" ht="15.75" spans="1:80">
      <c r="A41" s="6" t="s">
        <v>67</v>
      </c>
      <c r="B41" s="131">
        <f t="shared" si="6"/>
        <v>31</v>
      </c>
      <c r="C41" s="3" t="s">
        <v>77</v>
      </c>
      <c r="D41" s="133" t="str">
        <f>VLOOKUP($C41,Штаб!$B$16:$J$104,6,0)</f>
        <v/>
      </c>
      <c r="E41" s="134" t="str">
        <f>VLOOKUP($C41,Штаб!$B$16:$J$104,7,0)</f>
        <v/>
      </c>
      <c r="F41" s="134" t="str">
        <f>VLOOKUP($C41,Штаб!$B$16:$J$104,8,0)</f>
        <v>✔️</v>
      </c>
      <c r="G41" s="135" t="str">
        <f>VLOOKUP($C41,Штаб!$B$16:$J$104,9,0)</f>
        <v/>
      </c>
      <c r="H41" s="139" t="str">
        <f>VLOOKUP(C41,'РО - регионы'!$B$16:$I$104,8,0)</f>
        <v>0 / 0 / 2 из 2</v>
      </c>
      <c r="I41" s="169"/>
      <c r="J41" s="137"/>
      <c r="K41" s="170"/>
      <c r="L41" s="170"/>
      <c r="M41" s="171"/>
      <c r="N41" s="172">
        <f>VLOOKUP(C41,Спецтехника!$B$16:$J$104,4,0)</f>
        <v>225</v>
      </c>
      <c r="O41" s="173">
        <f>VLOOKUP(C41,Спецтехника!$B$16:$J$104,5,0)</f>
        <v>207</v>
      </c>
      <c r="P41" s="173">
        <f>VLOOKUP(C41,Спецтехника!$B$16:$J$104,6,0)</f>
        <v>18</v>
      </c>
      <c r="Q41" s="196">
        <f>VLOOKUP(C41,Спецтехника!$B$16:$J$104,7,0)</f>
        <v>0.08</v>
      </c>
      <c r="R41" s="197"/>
      <c r="S41" s="137"/>
      <c r="T41" s="170"/>
      <c r="U41" s="170"/>
      <c r="V41" s="171"/>
      <c r="W41" s="174">
        <f>VLOOKUP($C41,МНО!$B$16:$AB$104,16,0)</f>
        <v>10443</v>
      </c>
      <c r="X41" s="175">
        <f>VLOOKUP($C41,МНО!$B$16:$AB$104,8,0)</f>
        <v>7506</v>
      </c>
      <c r="Y41" s="175">
        <f>VLOOKUP($C41,МНО!$B$16:$AB$104,11,0)</f>
        <v>2937</v>
      </c>
      <c r="Z41" s="212">
        <f>VLOOKUP($C41,МНО!$B$16:$AB$104,17,0)</f>
        <v>0.281241022694628</v>
      </c>
      <c r="AA41" s="213"/>
      <c r="AB41" s="214">
        <f>VLOOKUP($C41,МНО!$B$16:$AB$104,13,0)</f>
        <v>6.91399313030921</v>
      </c>
      <c r="AC41" s="215">
        <f>VLOOKUP($C41,МНО!$B$16:$AB$104,18,0)</f>
        <v>1</v>
      </c>
      <c r="AD41" s="174">
        <f>VLOOKUP($C41,Контейнеры!$B$16:$AB$104,16,0)</f>
        <v>23217</v>
      </c>
      <c r="AE41" s="175">
        <f>VLOOKUP($C41,Контейнеры!$B$16:$AB$104,8,0)</f>
        <v>16513</v>
      </c>
      <c r="AF41" s="175">
        <f>VLOOKUP($C41,Контейнеры!$B$16:$AB$104,11,0)</f>
        <v>6704</v>
      </c>
      <c r="AG41" s="212">
        <f>VLOOKUP($C41,Контейнеры!$B$16:$AB$104,17,0)</f>
        <v>0.288753930309687</v>
      </c>
      <c r="AH41" s="213"/>
      <c r="AI41" s="214">
        <f>VLOOKUP($C41,Контейнеры!$B$16:$AB$104,13,0)</f>
        <v>15.5652036211038</v>
      </c>
      <c r="AJ41" s="215">
        <f>VLOOKUP($C41,Контейнеры!$B$16:$AB$104,18,0)</f>
        <v>0.90018534670737</v>
      </c>
      <c r="AK41" s="231"/>
      <c r="AL41" s="170"/>
      <c r="AM41" s="170"/>
      <c r="AN41" s="232"/>
      <c r="AO41" s="261">
        <f>VLOOKUP($C41,Обработка!$B$16:$L$104,6,0)</f>
        <v>0.375</v>
      </c>
      <c r="AP41" s="250">
        <f t="shared" si="7"/>
        <v>-0.168</v>
      </c>
      <c r="AQ41" s="250">
        <f>VLOOKUP($C41,Обработка!$B$16:$L$104,7,0)</f>
        <v>1</v>
      </c>
      <c r="AR41" s="255">
        <f t="shared" si="8"/>
        <v>0.193</v>
      </c>
      <c r="AS41" s="253">
        <f>VLOOKUP($C41,Утилизация!$B$16:$L$104,6,0)</f>
        <v>0.015</v>
      </c>
      <c r="AT41" s="251">
        <f t="shared" si="9"/>
        <v>-0.124</v>
      </c>
      <c r="AU41" s="250">
        <f>VLOOKUP($C41,Утилизация!$B$16:$L$104,7,0)</f>
        <v>0.3</v>
      </c>
      <c r="AV41" s="256">
        <f t="shared" si="10"/>
        <v>0.014</v>
      </c>
      <c r="AW41" s="284" t="str">
        <f>VLOOKUP(C41,Захоронение!$B$16:$Q$104,16,0)</f>
        <v/>
      </c>
      <c r="AX41" s="231"/>
      <c r="AY41" s="170"/>
      <c r="AZ41" s="170"/>
      <c r="BA41" s="171"/>
      <c r="BB41" s="280" t="str">
        <f>VLOOKUP(C41,'ДК ИП'!$B$16:$S$104,5,0)</f>
        <v>нет</v>
      </c>
      <c r="BC41" s="285">
        <f>VLOOKUP(C41,Радар!$B$16:$G$104,6,0)</f>
        <v>0.0499579599054381</v>
      </c>
      <c r="BD41" s="171"/>
      <c r="BF41" s="292">
        <f t="shared" si="11"/>
        <v>0.25</v>
      </c>
      <c r="BI41" s="9">
        <f t="shared" si="12"/>
        <v>0</v>
      </c>
      <c r="BJ41" s="9">
        <f>VLOOKUP(C41,Штаб!$B$16:$C$104,2)</f>
        <v>1</v>
      </c>
      <c r="BK41" s="9">
        <f>VLOOKUP(C41,'РО - регионы'!$B$16:$C$104,2)</f>
        <v>0</v>
      </c>
      <c r="BL41" s="9">
        <f>VLOOKUP(C41,'РО - регионы'!$B$16:$L$104,11)</f>
        <v>0</v>
      </c>
      <c r="BM41" s="9">
        <f>VLOOKUP(C41,Спецтехника!$B$16:$C$104,2)</f>
        <v>0</v>
      </c>
      <c r="BN41" s="9">
        <f>VLOOKUP($C41,МНО!$B$16:$AB$104,6,0)</f>
        <v>1</v>
      </c>
      <c r="BO41" s="9">
        <f>VLOOKUP($C41,МНО!$B$16:$AB$104,4,0)</f>
        <v>0</v>
      </c>
      <c r="BP41" s="9">
        <f>VLOOKUP($C41,МНО!$B$16:$AB$104,5,0)</f>
        <v>0</v>
      </c>
      <c r="BQ41" s="9">
        <f>VLOOKUP($C41,Контейнеры!$B$16:$G$104,6,0)</f>
        <v>1</v>
      </c>
      <c r="BR41" s="9">
        <f>VLOOKUP($C41,Контейнеры!$B$16:$G$104,4,0)</f>
        <v>0</v>
      </c>
      <c r="BS41" s="9">
        <f>VLOOKUP($C41,Контейнеры!$B$16:$G$104,5,0)</f>
        <v>1</v>
      </c>
      <c r="BT41" s="9">
        <f>VLOOKUP($C41,'ДК МНО'!$B$16:$C$104,2,0)</f>
        <v>2</v>
      </c>
      <c r="BU41" s="9">
        <f>VLOOKUP($C41,Обработка!$B$16:$F$104,5,0)</f>
        <v>0</v>
      </c>
      <c r="BV41" s="9">
        <f>VLOOKUP($C41,Обработка!$B$16:$F$104,4,0)</f>
        <v>1</v>
      </c>
      <c r="BW41" s="9">
        <f>VLOOKUP($C41,Утилизация!$B$16:$F$104,5,0)</f>
        <v>0</v>
      </c>
      <c r="BX41" s="9">
        <f>VLOOKUP($C41,Утилизация!$B$16:$F$104,4,0)</f>
        <v>2</v>
      </c>
      <c r="BY41" s="9">
        <f>VLOOKUP($C41,Захоронение!$B$16:$C$104,2,0)</f>
        <v>0</v>
      </c>
      <c r="BZ41" s="9">
        <f>VLOOKUP($C41,'ДК ИП'!$B$16:$C$104,2,0)</f>
        <v>0</v>
      </c>
      <c r="CA41" s="9">
        <f>VLOOKUP(C41,Радар!$B$16:$G$104,2,0)</f>
        <v>0</v>
      </c>
      <c r="CB41" s="9">
        <f>SUMPRODUCT(BJ41:BZ41,$BJ$5:$BZ$5)</f>
        <v>0.25</v>
      </c>
    </row>
    <row r="42" ht="15.75" spans="1:80">
      <c r="A42" s="6" t="s">
        <v>70</v>
      </c>
      <c r="B42" s="137">
        <f t="shared" si="6"/>
        <v>32</v>
      </c>
      <c r="C42" s="3" t="s">
        <v>92</v>
      </c>
      <c r="D42" s="133" t="str">
        <f>VLOOKUP($C42,Штаб!$B$16:$J$104,6,0)</f>
        <v/>
      </c>
      <c r="E42" s="134" t="str">
        <f>VLOOKUP($C42,Штаб!$B$16:$J$104,7,0)</f>
        <v/>
      </c>
      <c r="F42" s="134" t="str">
        <f>VLOOKUP($C42,Штаб!$B$16:$J$104,8,0)</f>
        <v/>
      </c>
      <c r="G42" s="135" t="str">
        <f>VLOOKUP($C42,Штаб!$B$16:$J$104,9,0)</f>
        <v>✔️</v>
      </c>
      <c r="H42" s="139" t="str">
        <f>VLOOKUP(C42,'РО - регионы'!$B$16:$I$104,8,0)</f>
        <v>0 / 0 / 1 из 1</v>
      </c>
      <c r="I42" s="169"/>
      <c r="J42" s="137"/>
      <c r="K42" s="170"/>
      <c r="L42" s="170"/>
      <c r="M42" s="171"/>
      <c r="N42" s="174">
        <f>VLOOKUP(C42,Спецтехника!$B$16:$J$104,4,0)</f>
        <v>341</v>
      </c>
      <c r="O42" s="175">
        <f>VLOOKUP(C42,Спецтехника!$B$16:$J$104,5,0)</f>
        <v>290</v>
      </c>
      <c r="P42" s="175">
        <f>VLOOKUP(C42,Спецтехника!$B$16:$J$104,6,0)</f>
        <v>51</v>
      </c>
      <c r="Q42" s="198">
        <f>VLOOKUP(C42,Спецтехника!$B$16:$J$104,7,0)</f>
        <v>0.149560117302053</v>
      </c>
      <c r="R42" s="197"/>
      <c r="S42" s="137"/>
      <c r="T42" s="170"/>
      <c r="U42" s="170"/>
      <c r="V42" s="171"/>
      <c r="W42" s="172">
        <f>VLOOKUP($C42,МНО!$B$16:$AB$104,16,0)</f>
        <v>10785</v>
      </c>
      <c r="X42" s="173">
        <f>VLOOKUP($C42,МНО!$B$16:$AB$104,8,0)</f>
        <v>10166</v>
      </c>
      <c r="Y42" s="173">
        <f>VLOOKUP($C42,МНО!$B$16:$AB$104,11,0)</f>
        <v>619</v>
      </c>
      <c r="Z42" s="216">
        <f>VLOOKUP($C42,МНО!$B$16:$AB$104,17,0)</f>
        <v>0.0573945294390357</v>
      </c>
      <c r="AA42" s="213"/>
      <c r="AB42" s="214">
        <f>VLOOKUP($C42,МНО!$B$16:$AB$104,13,0)</f>
        <v>4.82325537071622</v>
      </c>
      <c r="AC42" s="215">
        <f>VLOOKUP($C42,МНО!$B$16:$AB$104,18,0)</f>
        <v>0.462700832916117</v>
      </c>
      <c r="AD42" s="172">
        <f>VLOOKUP($C42,Контейнеры!$B$16:$AB$104,16,0)</f>
        <v>27626</v>
      </c>
      <c r="AE42" s="173">
        <f>VLOOKUP($C42,Контейнеры!$B$16:$AB$104,8,0)</f>
        <v>25688</v>
      </c>
      <c r="AF42" s="173">
        <f>VLOOKUP($C42,Контейнеры!$B$16:$AB$104,11,0)</f>
        <v>1938</v>
      </c>
      <c r="AG42" s="216">
        <f>VLOOKUP($C42,Контейнеры!$B$16:$AB$104,17,0)</f>
        <v>0.0701513067400275</v>
      </c>
      <c r="AH42" s="213"/>
      <c r="AI42" s="214">
        <f>VLOOKUP($C42,Контейнеры!$B$16:$AB$104,13,0)</f>
        <v>12.6183709097625</v>
      </c>
      <c r="AJ42" s="215">
        <f>VLOOKUP($C42,Контейнеры!$B$16:$AB$104,18,0)</f>
        <v>0.54886543310115</v>
      </c>
      <c r="AK42" s="231"/>
      <c r="AL42" s="170"/>
      <c r="AM42" s="170"/>
      <c r="AN42" s="232"/>
      <c r="AO42" s="257">
        <f>VLOOKUP($C42,Обработка!$B$16:$L$104,6,0)</f>
        <v>0.615</v>
      </c>
      <c r="AP42" s="250">
        <f t="shared" si="7"/>
        <v>0.072</v>
      </c>
      <c r="AQ42" s="250">
        <f>VLOOKUP($C42,Обработка!$B$16:$L$104,7,0)</f>
        <v>1</v>
      </c>
      <c r="AR42" s="255">
        <f t="shared" si="8"/>
        <v>0.193</v>
      </c>
      <c r="AS42" s="258">
        <f>VLOOKUP($C42,Утилизация!$B$16:$L$104,6,0)</f>
        <v>0.08</v>
      </c>
      <c r="AT42" s="259">
        <f t="shared" si="9"/>
        <v>-0.059</v>
      </c>
      <c r="AU42" s="250">
        <f>VLOOKUP($C42,Утилизация!$B$16:$L$104,7,0)</f>
        <v>0.5</v>
      </c>
      <c r="AV42" s="256">
        <f t="shared" si="10"/>
        <v>0.214</v>
      </c>
      <c r="AW42" s="283" t="str">
        <f>VLOOKUP(C42,Захоронение!$B$16:$Q$104,16,0)</f>
        <v>765 приказ</v>
      </c>
      <c r="AX42" s="231"/>
      <c r="AY42" s="170"/>
      <c r="AZ42" s="170"/>
      <c r="BA42" s="171"/>
      <c r="BB42" s="280" t="str">
        <f>VLOOKUP(C42,'ДК ИП'!$B$16:$S$104,5,0)</f>
        <v>не подписана</v>
      </c>
      <c r="BC42" s="281">
        <f>VLOOKUP(C42,Радар!$B$16:$G$104,6,0)</f>
        <v>0.200907571710249</v>
      </c>
      <c r="BD42" s="171"/>
      <c r="BF42" s="292">
        <f t="shared" si="11"/>
        <v>0.416666666666667</v>
      </c>
      <c r="BI42" s="9">
        <f t="shared" si="12"/>
        <v>0</v>
      </c>
      <c r="BJ42" s="9">
        <f>VLOOKUP(C42,Штаб!$B$16:$C$104,2)</f>
        <v>2</v>
      </c>
      <c r="BK42" s="9">
        <f>VLOOKUP(C42,'РО - регионы'!$B$16:$C$104,2)</f>
        <v>0</v>
      </c>
      <c r="BL42" s="9">
        <f>VLOOKUP(C42,'РО - регионы'!$B$16:$L$104,11)</f>
        <v>0</v>
      </c>
      <c r="BM42" s="9">
        <f>VLOOKUP(C42,Спецтехника!$B$16:$C$104,2)</f>
        <v>1</v>
      </c>
      <c r="BN42" s="9">
        <f>VLOOKUP($C42,МНО!$B$16:$AB$104,6,0)</f>
        <v>0</v>
      </c>
      <c r="BO42" s="9">
        <f>VLOOKUP($C42,МНО!$B$16:$AB$104,4,0)</f>
        <v>1</v>
      </c>
      <c r="BP42" s="9">
        <f>VLOOKUP($C42,МНО!$B$16:$AB$104,5,0)</f>
        <v>2</v>
      </c>
      <c r="BQ42" s="9">
        <f>VLOOKUP($C42,Контейнеры!$B$16:$G$104,6,0)</f>
        <v>0</v>
      </c>
      <c r="BR42" s="9">
        <f>VLOOKUP($C42,Контейнеры!$B$16:$G$104,4,0)</f>
        <v>0</v>
      </c>
      <c r="BS42" s="9">
        <f>VLOOKUP($C42,Контейнеры!$B$16:$G$104,5,0)</f>
        <v>2</v>
      </c>
      <c r="BT42" s="9">
        <f>VLOOKUP($C42,'ДК МНО'!$B$16:$C$104,2,0)</f>
        <v>2</v>
      </c>
      <c r="BU42" s="9">
        <f>VLOOKUP($C42,Обработка!$B$16:$F$104,5,0)</f>
        <v>0</v>
      </c>
      <c r="BV42" s="9">
        <f>VLOOKUP($C42,Обработка!$B$16:$F$104,4,0)</f>
        <v>0</v>
      </c>
      <c r="BW42" s="9">
        <f>VLOOKUP($C42,Утилизация!$B$16:$F$104,5,0)</f>
        <v>0</v>
      </c>
      <c r="BX42" s="9">
        <f>VLOOKUP($C42,Утилизация!$B$16:$F$104,4,0)</f>
        <v>1</v>
      </c>
      <c r="BY42" s="9">
        <f>VLOOKUP($C42,Захоронение!$B$16:$C$104,2,0)</f>
        <v>1</v>
      </c>
      <c r="BZ42" s="9">
        <f>VLOOKUP($C42,'ДК ИП'!$B$16:$C$104,2,0)</f>
        <v>0</v>
      </c>
      <c r="CA42" s="9">
        <f>VLOOKUP(C42,Радар!$B$16:$G$104,2,0)</f>
        <v>2</v>
      </c>
      <c r="CB42" s="9">
        <f>SUMPRODUCT(BJ42:BZ42,$BJ$5:$BZ$5)</f>
        <v>0.4</v>
      </c>
    </row>
    <row r="43" ht="15.75" spans="1:80">
      <c r="A43" s="6" t="s">
        <v>67</v>
      </c>
      <c r="B43" s="131">
        <f t="shared" si="6"/>
        <v>33</v>
      </c>
      <c r="C43" s="3" t="s">
        <v>101</v>
      </c>
      <c r="D43" s="133" t="str">
        <f>VLOOKUP($C43,Штаб!$B$16:$J$104,6,0)</f>
        <v/>
      </c>
      <c r="E43" s="134" t="str">
        <f>VLOOKUP($C43,Штаб!$B$16:$J$104,7,0)</f>
        <v>✔️</v>
      </c>
      <c r="F43" s="134" t="str">
        <f>VLOOKUP($C43,Штаб!$B$16:$J$104,8,0)</f>
        <v/>
      </c>
      <c r="G43" s="135" t="str">
        <f>VLOOKUP($C43,Штаб!$B$16:$J$104,9,0)</f>
        <v/>
      </c>
      <c r="H43" s="139" t="str">
        <f>VLOOKUP(C43,'РО - регионы'!$B$16:$I$104,8,0)</f>
        <v>0 / 0 / 4 из 4</v>
      </c>
      <c r="I43" s="169"/>
      <c r="J43" s="137"/>
      <c r="K43" s="170"/>
      <c r="L43" s="170"/>
      <c r="M43" s="171"/>
      <c r="N43" s="172">
        <f>VLOOKUP(C43,Спецтехника!$B$16:$J$104,4,0)</f>
        <v>205</v>
      </c>
      <c r="O43" s="173">
        <f>VLOOKUP(C43,Спецтехника!$B$16:$J$104,5,0)</f>
        <v>191</v>
      </c>
      <c r="P43" s="173">
        <f>VLOOKUP(C43,Спецтехника!$B$16:$J$104,6,0)</f>
        <v>14</v>
      </c>
      <c r="Q43" s="196">
        <f>VLOOKUP(C43,Спецтехника!$B$16:$J$104,7,0)</f>
        <v>0.0682926829268293</v>
      </c>
      <c r="R43" s="197"/>
      <c r="S43" s="137"/>
      <c r="T43" s="170"/>
      <c r="U43" s="170"/>
      <c r="V43" s="171"/>
      <c r="W43" s="174">
        <f>VLOOKUP($C43,МНО!$B$16:$AB$104,16,0)</f>
        <v>22879</v>
      </c>
      <c r="X43" s="175">
        <f>VLOOKUP($C43,МНО!$B$16:$AB$104,8,0)</f>
        <v>17046</v>
      </c>
      <c r="Y43" s="175">
        <f>VLOOKUP($C43,МНО!$B$16:$AB$104,11,0)</f>
        <v>5833</v>
      </c>
      <c r="Z43" s="212">
        <f>VLOOKUP($C43,МНО!$B$16:$AB$104,17,0)</f>
        <v>0.254949954106386</v>
      </c>
      <c r="AA43" s="213"/>
      <c r="AB43" s="214">
        <f>VLOOKUP($C43,МНО!$B$16:$AB$104,13,0)</f>
        <v>15.2642965604046</v>
      </c>
      <c r="AC43" s="215">
        <f>VLOOKUP($C43,МНО!$B$16:$AB$104,18,0)</f>
        <v>1</v>
      </c>
      <c r="AD43" s="174">
        <f>VLOOKUP($C43,Контейнеры!$B$16:$AB$104,16,0)</f>
        <v>41803</v>
      </c>
      <c r="AE43" s="175">
        <f>VLOOKUP($C43,Контейнеры!$B$16:$AB$104,8,0)</f>
        <v>35095</v>
      </c>
      <c r="AF43" s="175">
        <f>VLOOKUP($C43,Контейнеры!$B$16:$AB$104,11,0)</f>
        <v>6708</v>
      </c>
      <c r="AG43" s="212">
        <f>VLOOKUP($C43,Контейнеры!$B$16:$AB$104,17,0)</f>
        <v>0.160466952132622</v>
      </c>
      <c r="AH43" s="213"/>
      <c r="AI43" s="214">
        <f>VLOOKUP($C43,Контейнеры!$B$16:$AB$104,13,0)</f>
        <v>31.4396671041375</v>
      </c>
      <c r="AJ43" s="215">
        <f>VLOOKUP($C43,Контейнеры!$B$16:$AB$104,18,0)</f>
        <v>1</v>
      </c>
      <c r="AK43" s="231"/>
      <c r="AL43" s="170"/>
      <c r="AM43" s="170"/>
      <c r="AN43" s="232"/>
      <c r="AO43" s="261">
        <f>VLOOKUP($C43,Обработка!$B$16:$L$104,6,0)</f>
        <v>0.53</v>
      </c>
      <c r="AP43" s="250">
        <f t="shared" si="7"/>
        <v>-0.013</v>
      </c>
      <c r="AQ43" s="259">
        <f>VLOOKUP($C43,Обработка!$B$16:$L$104,7,0)</f>
        <v>0.629</v>
      </c>
      <c r="AR43" s="262">
        <f t="shared" si="8"/>
        <v>-0.178</v>
      </c>
      <c r="AS43" s="253">
        <f>VLOOKUP($C43,Утилизация!$B$16:$L$104,6,0)</f>
        <v>0.03</v>
      </c>
      <c r="AT43" s="251">
        <f t="shared" si="9"/>
        <v>-0.109</v>
      </c>
      <c r="AU43" s="259">
        <f>VLOOKUP($C43,Утилизация!$B$16:$L$104,7,0)</f>
        <v>0.21</v>
      </c>
      <c r="AV43" s="260">
        <f t="shared" si="10"/>
        <v>-0.076</v>
      </c>
      <c r="AW43" s="283" t="str">
        <f>VLOOKUP(C43,Захоронение!$B$16:$Q$104,16,0)</f>
        <v>перегруз</v>
      </c>
      <c r="AX43" s="231"/>
      <c r="AY43" s="170"/>
      <c r="AZ43" s="170"/>
      <c r="BA43" s="171"/>
      <c r="BB43" s="280" t="str">
        <f>VLOOKUP(C43,'ДК ИП'!$B$16:$S$104,5,0)</f>
        <v>нет</v>
      </c>
      <c r="BC43" s="281">
        <f>VLOOKUP(C43,Радар!$B$16:$G$104,6,0)</f>
        <v>0.0842093947225793</v>
      </c>
      <c r="BD43" s="171"/>
      <c r="BF43" s="291">
        <f t="shared" si="11"/>
        <v>0.75</v>
      </c>
      <c r="BI43" s="9">
        <f t="shared" si="12"/>
        <v>0</v>
      </c>
      <c r="BJ43" s="9">
        <f>VLOOKUP(C43,Штаб!$B$16:$C$104,2)</f>
        <v>1</v>
      </c>
      <c r="BK43" s="9">
        <f>VLOOKUP(C43,'РО - регионы'!$B$16:$C$104,2)</f>
        <v>0</v>
      </c>
      <c r="BL43" s="9">
        <f>VLOOKUP(C43,'РО - регионы'!$B$16:$L$104,11)</f>
        <v>0</v>
      </c>
      <c r="BM43" s="9">
        <f>VLOOKUP(C43,Спецтехника!$B$16:$C$104,2)</f>
        <v>0</v>
      </c>
      <c r="BN43" s="9">
        <f>VLOOKUP($C43,МНО!$B$16:$AB$104,6,0)</f>
        <v>1</v>
      </c>
      <c r="BO43" s="9">
        <f>VLOOKUP($C43,МНО!$B$16:$AB$104,4,0)</f>
        <v>0</v>
      </c>
      <c r="BP43" s="9">
        <f>VLOOKUP($C43,МНО!$B$16:$AB$104,5,0)</f>
        <v>0</v>
      </c>
      <c r="BQ43" s="9">
        <f>VLOOKUP($C43,Контейнеры!$B$16:$G$104,6,0)</f>
        <v>1</v>
      </c>
      <c r="BR43" s="9">
        <f>VLOOKUP($C43,Контейнеры!$B$16:$G$104,4,0)</f>
        <v>0</v>
      </c>
      <c r="BS43" s="9">
        <f>VLOOKUP($C43,Контейнеры!$B$16:$G$104,5,0)</f>
        <v>0</v>
      </c>
      <c r="BT43" s="9">
        <f>VLOOKUP($C43,'ДК МНО'!$B$16:$C$104,2,0)</f>
        <v>2</v>
      </c>
      <c r="BU43" s="9">
        <f>VLOOKUP($C43,Обработка!$B$16:$F$104,5,0)</f>
        <v>1</v>
      </c>
      <c r="BV43" s="9">
        <f>VLOOKUP($C43,Обработка!$B$16:$F$104,4,0)</f>
        <v>1</v>
      </c>
      <c r="BW43" s="9">
        <f>VLOOKUP($C43,Утилизация!$B$16:$F$104,5,0)</f>
        <v>1</v>
      </c>
      <c r="BX43" s="9">
        <f>VLOOKUP($C43,Утилизация!$B$16:$F$104,4,0)</f>
        <v>2</v>
      </c>
      <c r="BY43" s="9">
        <f>VLOOKUP($C43,Захоронение!$B$16:$C$104,2,0)</f>
        <v>1</v>
      </c>
      <c r="BZ43" s="9">
        <f>VLOOKUP($C43,'ДК ИП'!$B$16:$C$104,2,0)</f>
        <v>0</v>
      </c>
      <c r="CA43" s="9">
        <f>VLOOKUP(C43,Радар!$B$16:$G$104,2,0)</f>
        <v>2</v>
      </c>
      <c r="CB43" s="9">
        <f>SUMPRODUCT(BJ43:BZ43,$BJ$5:$BZ$5)</f>
        <v>0.6</v>
      </c>
    </row>
    <row r="44" ht="15.75" spans="2:80">
      <c r="B44" s="137">
        <f t="shared" si="6"/>
        <v>34</v>
      </c>
      <c r="C44" s="3" t="s">
        <v>162</v>
      </c>
      <c r="D44" s="133" t="str">
        <f>VLOOKUP($C44,Штаб!$B$16:$J$104,6,0)</f>
        <v/>
      </c>
      <c r="E44" s="134" t="str">
        <f>VLOOKUP($C44,Штаб!$B$16:$J$104,7,0)</f>
        <v/>
      </c>
      <c r="F44" s="134" t="str">
        <f>VLOOKUP($C44,Штаб!$B$16:$J$104,8,0)</f>
        <v/>
      </c>
      <c r="G44" s="135" t="str">
        <f>VLOOKUP($C44,Штаб!$B$16:$J$104,9,0)</f>
        <v>✔️</v>
      </c>
      <c r="H44" s="139" t="str">
        <f>VLOOKUP(C44,'РО - регионы'!$B$16:$I$104,8,0)</f>
        <v>0 / 0 / 0 из 0</v>
      </c>
      <c r="I44" s="169"/>
      <c r="J44" s="137"/>
      <c r="K44" s="170"/>
      <c r="L44" s="170"/>
      <c r="M44" s="171"/>
      <c r="N44" s="176">
        <f>VLOOKUP(C44,Спецтехника!$B$16:$J$104,4,0)</f>
        <v>532</v>
      </c>
      <c r="O44" s="177">
        <f>VLOOKUP(C44,Спецтехника!$B$16:$J$104,5,0)</f>
        <v>344</v>
      </c>
      <c r="P44" s="177">
        <f>VLOOKUP(C44,Спецтехника!$B$16:$J$104,6,0)</f>
        <v>188</v>
      </c>
      <c r="Q44" s="199">
        <f>VLOOKUP(C44,Спецтехника!$B$16:$J$104,7,0)</f>
        <v>0.353383458646617</v>
      </c>
      <c r="R44" s="197"/>
      <c r="S44" s="137"/>
      <c r="T44" s="170"/>
      <c r="U44" s="170"/>
      <c r="V44" s="171"/>
      <c r="W44" s="172">
        <f>VLOOKUP($C44,МНО!$B$16:$AB$104,16,0)</f>
        <v>5695</v>
      </c>
      <c r="X44" s="173">
        <f>VLOOKUP($C44,МНО!$B$16:$AB$104,8,0)</f>
        <v>0</v>
      </c>
      <c r="Y44" s="173">
        <f>VLOOKUP($C44,МНО!$B$16:$AB$104,11,0)</f>
        <v>5695</v>
      </c>
      <c r="Z44" s="216">
        <f>VLOOKUP($C44,МНО!$B$16:$AB$104,17,0)</f>
        <v>0</v>
      </c>
      <c r="AA44" s="213"/>
      <c r="AB44" s="214"/>
      <c r="AC44" s="215"/>
      <c r="AD44" s="172">
        <f>VLOOKUP($C44,Контейнеры!$B$16:$AB$104,16,0)</f>
        <v>13829</v>
      </c>
      <c r="AE44" s="173">
        <f>VLOOKUP($C44,Контейнеры!$B$16:$AB$104,8,0)</f>
        <v>0</v>
      </c>
      <c r="AF44" s="173">
        <f>VLOOKUP($C44,Контейнеры!$B$16:$AB$104,11,0)</f>
        <v>13829</v>
      </c>
      <c r="AG44" s="216">
        <f>VLOOKUP($C44,Контейнеры!$B$16:$AB$104,17,0)</f>
        <v>0</v>
      </c>
      <c r="AH44" s="213"/>
      <c r="AI44" s="214"/>
      <c r="AJ44" s="215"/>
      <c r="AK44" s="231"/>
      <c r="AL44" s="170"/>
      <c r="AM44" s="170"/>
      <c r="AN44" s="232"/>
      <c r="AO44" s="257">
        <f>VLOOKUP($C44,Обработка!$B$16:$L$104,6,0)</f>
        <v>0</v>
      </c>
      <c r="AP44" s="250">
        <f t="shared" si="7"/>
        <v>-0.543</v>
      </c>
      <c r="AQ44" s="250">
        <f>VLOOKUP($C44,Обработка!$B$16:$L$104,7,0)</f>
        <v>0</v>
      </c>
      <c r="AR44" s="255">
        <f t="shared" si="8"/>
        <v>-0.807</v>
      </c>
      <c r="AS44" s="263">
        <f>VLOOKUP($C44,Утилизация!$B$16:$L$104,6,0)</f>
        <v>0</v>
      </c>
      <c r="AT44" s="250">
        <f t="shared" si="9"/>
        <v>-0.139</v>
      </c>
      <c r="AU44" s="250">
        <f>VLOOKUP($C44,Утилизация!$B$16:$L$104,7,0)</f>
        <v>0</v>
      </c>
      <c r="AV44" s="256">
        <f t="shared" si="10"/>
        <v>-0.286</v>
      </c>
      <c r="AW44" s="284"/>
      <c r="AX44" s="231"/>
      <c r="AY44" s="170"/>
      <c r="AZ44" s="170"/>
      <c r="BA44" s="171"/>
      <c r="BB44" s="280" t="str">
        <f>VLOOKUP(C44,'ДК ИП'!$B$16:$S$104,5,0)</f>
        <v>нет</v>
      </c>
      <c r="BC44" s="281" t="str">
        <f>VLOOKUP(C44,Радар!$B$16:$G$104,6,0)</f>
        <v/>
      </c>
      <c r="BD44" s="171"/>
      <c r="BF44" s="292">
        <f t="shared" si="11"/>
        <v>0</v>
      </c>
      <c r="BI44" s="9">
        <f t="shared" si="12"/>
        <v>0</v>
      </c>
      <c r="BJ44" s="9">
        <f>VLOOKUP(C44,Штаб!$B$16:$C$104,2)</f>
        <v>2</v>
      </c>
      <c r="BK44" s="9">
        <f>VLOOKUP(C44,'РО - регионы'!$B$16:$C$104,2)</f>
        <v>0</v>
      </c>
      <c r="BL44" s="9">
        <f>VLOOKUP(C44,'РО - регионы'!$B$16:$L$104,11)</f>
        <v>0</v>
      </c>
      <c r="BM44" s="9">
        <f>VLOOKUP(C44,Спецтехника!$B$16:$C$104,2)</f>
        <v>2</v>
      </c>
      <c r="BN44" s="9">
        <f>VLOOKUP($C44,МНО!$B$16:$AB$104,6,0)</f>
        <v>0</v>
      </c>
      <c r="BO44" s="9">
        <f>VLOOKUP($C44,МНО!$B$16:$AB$104,4,0)</f>
        <v>0</v>
      </c>
      <c r="BP44" s="9">
        <f>VLOOKUP($C44,МНО!$B$16:$AB$104,5,0)</f>
        <v>0</v>
      </c>
      <c r="BQ44" s="9">
        <f>VLOOKUP($C44,Контейнеры!$B$16:$G$104,6,0)</f>
        <v>0</v>
      </c>
      <c r="BR44" s="9">
        <f>VLOOKUP($C44,Контейнеры!$B$16:$G$104,4,0)</f>
        <v>0</v>
      </c>
      <c r="BS44" s="9">
        <f>VLOOKUP($C44,Контейнеры!$B$16:$G$104,5,0)</f>
        <v>0</v>
      </c>
      <c r="BT44" s="9">
        <f>VLOOKUP($C44,'ДК МНО'!$B$16:$C$104,2,0)</f>
        <v>2</v>
      </c>
      <c r="BU44" s="9">
        <f>VLOOKUP($C44,Обработка!$B$16:$F$104,5,0)</f>
        <v>0</v>
      </c>
      <c r="BV44" s="9">
        <f>VLOOKUP($C44,Обработка!$B$16:$F$104,4,0)</f>
        <v>0</v>
      </c>
      <c r="BW44" s="9">
        <f>VLOOKUP($C44,Утилизация!$B$16:$F$104,5,0)</f>
        <v>0</v>
      </c>
      <c r="BX44" s="9">
        <f>VLOOKUP($C44,Утилизация!$B$16:$F$104,4,0)</f>
        <v>0</v>
      </c>
      <c r="BY44" s="9">
        <f>VLOOKUP($C44,Захоронение!$B$16:$C$104,2,0)</f>
        <v>0</v>
      </c>
      <c r="BZ44" s="9">
        <f>VLOOKUP($C44,'ДК ИП'!$B$16:$C$104,2,0)</f>
        <v>0</v>
      </c>
      <c r="CA44" s="9">
        <f>VLOOKUP(C44,Радар!$B$16:$G$104,2,0)</f>
        <v>2</v>
      </c>
      <c r="CB44" s="9">
        <f>SUMPRODUCT(BJ44:BZ44,$BJ$5:$BZ$5)</f>
        <v>0.1</v>
      </c>
    </row>
    <row r="45" ht="15.75" spans="1:80">
      <c r="A45" s="6" t="s">
        <v>129</v>
      </c>
      <c r="B45" s="131">
        <f t="shared" si="6"/>
        <v>35</v>
      </c>
      <c r="C45" s="3" t="s">
        <v>153</v>
      </c>
      <c r="D45" s="133" t="str">
        <f>VLOOKUP($C45,Штаб!$B$16:$J$104,6,0)</f>
        <v/>
      </c>
      <c r="E45" s="134" t="str">
        <f>VLOOKUP($C45,Штаб!$B$16:$J$104,7,0)</f>
        <v/>
      </c>
      <c r="F45" s="134" t="str">
        <f>VLOOKUP($C45,Штаб!$B$16:$J$104,8,0)</f>
        <v/>
      </c>
      <c r="G45" s="135" t="str">
        <f>VLOOKUP($C45,Штаб!$B$16:$J$104,9,0)</f>
        <v>✔️</v>
      </c>
      <c r="H45" s="140" t="str">
        <f>VLOOKUP(C45,'РО - регионы'!$B$16:$I$104,8,0)</f>
        <v>1 / 5 / 3 из 9</v>
      </c>
      <c r="I45" s="169"/>
      <c r="J45" s="137"/>
      <c r="K45" s="170"/>
      <c r="L45" s="170"/>
      <c r="M45" s="171"/>
      <c r="N45" s="176">
        <f>VLOOKUP(C45,Спецтехника!$B$16:$J$104,4,0)</f>
        <v>63</v>
      </c>
      <c r="O45" s="177">
        <f>VLOOKUP(C45,Спецтехника!$B$16:$J$104,5,0)</f>
        <v>34</v>
      </c>
      <c r="P45" s="177">
        <f>VLOOKUP(C45,Спецтехника!$B$16:$J$104,6,0)</f>
        <v>29</v>
      </c>
      <c r="Q45" s="199">
        <f>VLOOKUP(C45,Спецтехника!$B$16:$J$104,7,0)</f>
        <v>0.46031746031746</v>
      </c>
      <c r="R45" s="197"/>
      <c r="S45" s="137"/>
      <c r="T45" s="170"/>
      <c r="U45" s="170"/>
      <c r="V45" s="171"/>
      <c r="W45" s="176">
        <f>VLOOKUP($C45,МНО!$B$16:$AB$104,16,0)</f>
        <v>954</v>
      </c>
      <c r="X45" s="177">
        <f>VLOOKUP($C45,МНО!$B$16:$AB$104,8,0)</f>
        <v>954</v>
      </c>
      <c r="Y45" s="177">
        <f>VLOOKUP($C45,МНО!$B$16:$AB$104,11,0)</f>
        <v>0</v>
      </c>
      <c r="Z45" s="217">
        <f>VLOOKUP($C45,МНО!$B$16:$AB$104,17,0)</f>
        <v>0</v>
      </c>
      <c r="AA45" s="213"/>
      <c r="AB45" s="214">
        <f>VLOOKUP($C45,МНО!$B$16:$AB$104,13,0)</f>
        <v>6.86723593753514</v>
      </c>
      <c r="AC45" s="215">
        <f>VLOOKUP($C45,МНО!$B$16:$AB$104,18,0)</f>
        <v>1</v>
      </c>
      <c r="AD45" s="176">
        <f>VLOOKUP($C45,Контейнеры!$B$16:$AB$104,16,0)</f>
        <v>2657</v>
      </c>
      <c r="AE45" s="177">
        <f>VLOOKUP($C45,Контейнеры!$B$16:$AB$104,8,0)</f>
        <v>2657</v>
      </c>
      <c r="AF45" s="177">
        <f>VLOOKUP($C45,Контейнеры!$B$16:$AB$104,11,0)</f>
        <v>0</v>
      </c>
      <c r="AG45" s="217">
        <f>VLOOKUP($C45,Контейнеры!$B$16:$AB$104,17,0)</f>
        <v>0</v>
      </c>
      <c r="AH45" s="213"/>
      <c r="AI45" s="214">
        <f>VLOOKUP($C45,Контейнеры!$B$16:$AB$104,13,0)</f>
        <v>19.9194824083306</v>
      </c>
      <c r="AJ45" s="215">
        <f>VLOOKUP($C45,Контейнеры!$B$16:$AB$104,18,0)</f>
        <v>1</v>
      </c>
      <c r="AK45" s="231"/>
      <c r="AL45" s="170"/>
      <c r="AM45" s="170"/>
      <c r="AN45" s="232"/>
      <c r="AO45" s="249">
        <f>VLOOKUP($C45,Обработка!$B$16:$L$104,6,0)</f>
        <v>0</v>
      </c>
      <c r="AP45" s="250">
        <f t="shared" si="7"/>
        <v>-0.543</v>
      </c>
      <c r="AQ45" s="250">
        <f>VLOOKUP($C45,Обработка!$B$16:$L$104,7,0)</f>
        <v>1</v>
      </c>
      <c r="AR45" s="255">
        <f t="shared" si="8"/>
        <v>0.193</v>
      </c>
      <c r="AS45" s="253">
        <f>VLOOKUP($C45,Утилизация!$B$16:$L$104,6,0)</f>
        <v>0</v>
      </c>
      <c r="AT45" s="251">
        <f t="shared" si="9"/>
        <v>-0.139</v>
      </c>
      <c r="AU45" s="250">
        <f>VLOOKUP($C45,Утилизация!$B$16:$L$104,7,0)</f>
        <v>0.4</v>
      </c>
      <c r="AV45" s="256">
        <f t="shared" si="10"/>
        <v>0.114</v>
      </c>
      <c r="AW45" s="279" t="str">
        <f>VLOOKUP(C45,Захоронение!$B$16:$Q$104,16,0)</f>
        <v>белые пятна</v>
      </c>
      <c r="AX45" s="231"/>
      <c r="AY45" s="170"/>
      <c r="AZ45" s="170"/>
      <c r="BA45" s="171"/>
      <c r="BB45" s="280" t="str">
        <f>VLOOKUP(C45,'ДК ИП'!$B$16:$S$104,5,0)</f>
        <v>нет</v>
      </c>
      <c r="BC45" s="285">
        <f>VLOOKUP(C45,Радар!$B$16:$G$104,6,0)</f>
        <v>0.022490947393674</v>
      </c>
      <c r="BD45" s="171"/>
      <c r="BF45" s="290">
        <f t="shared" si="11"/>
        <v>1</v>
      </c>
      <c r="BI45" s="9">
        <f t="shared" si="12"/>
        <v>2</v>
      </c>
      <c r="BJ45" s="9">
        <f>VLOOKUP(C45,Штаб!$B$16:$C$104,2)</f>
        <v>2</v>
      </c>
      <c r="BK45" s="9">
        <f>VLOOKUP(C45,'РО - регионы'!$B$16:$C$104,2)</f>
        <v>2</v>
      </c>
      <c r="BL45" s="9">
        <f>VLOOKUP(C45,'РО - регионы'!$B$16:$L$104,11)</f>
        <v>2</v>
      </c>
      <c r="BM45" s="9">
        <f>VLOOKUP(C45,Спецтехника!$B$16:$C$104,2)</f>
        <v>2</v>
      </c>
      <c r="BN45" s="9">
        <f>VLOOKUP($C45,МНО!$B$16:$AB$104,6,0)</f>
        <v>2</v>
      </c>
      <c r="BO45" s="9">
        <f>VLOOKUP($C45,МНО!$B$16:$AB$104,4,0)</f>
        <v>0</v>
      </c>
      <c r="BP45" s="9">
        <f>VLOOKUP($C45,МНО!$B$16:$AB$104,5,0)</f>
        <v>0</v>
      </c>
      <c r="BQ45" s="9">
        <f>VLOOKUP($C45,Контейнеры!$B$16:$G$104,6,0)</f>
        <v>2</v>
      </c>
      <c r="BR45" s="9">
        <f>VLOOKUP($C45,Контейнеры!$B$16:$G$104,4,0)</f>
        <v>0</v>
      </c>
      <c r="BS45" s="9">
        <f>VLOOKUP($C45,Контейнеры!$B$16:$G$104,5,0)</f>
        <v>0</v>
      </c>
      <c r="BT45" s="9">
        <f>VLOOKUP($C45,'ДК МНО'!$B$16:$C$104,2,0)</f>
        <v>2</v>
      </c>
      <c r="BU45" s="9">
        <f>VLOOKUP($C45,Обработка!$B$16:$F$104,5,0)</f>
        <v>0</v>
      </c>
      <c r="BV45" s="9">
        <f>VLOOKUP($C45,Обработка!$B$16:$F$104,4,0)</f>
        <v>2</v>
      </c>
      <c r="BW45" s="9">
        <f>VLOOKUP($C45,Утилизация!$B$16:$F$104,5,0)</f>
        <v>0</v>
      </c>
      <c r="BX45" s="9">
        <f>VLOOKUP($C45,Утилизация!$B$16:$F$104,4,0)</f>
        <v>2</v>
      </c>
      <c r="BY45" s="9">
        <f>VLOOKUP($C45,Захоронение!$B$16:$C$104,2,0)</f>
        <v>2</v>
      </c>
      <c r="BZ45" s="9">
        <f>VLOOKUP($C45,'ДК ИП'!$B$16:$C$104,2,0)</f>
        <v>0</v>
      </c>
      <c r="CA45" s="9">
        <f>VLOOKUP(C45,Радар!$B$16:$G$104,2,0)</f>
        <v>0</v>
      </c>
      <c r="CB45" s="9">
        <f>SUMPRODUCT(BJ45:BZ45,$BJ$5:$BZ$5)</f>
        <v>1.4</v>
      </c>
    </row>
    <row r="46" ht="15.75" spans="1:80">
      <c r="A46" s="6" t="s">
        <v>67</v>
      </c>
      <c r="B46" s="137">
        <f t="shared" si="6"/>
        <v>36</v>
      </c>
      <c r="C46" s="3" t="s">
        <v>69</v>
      </c>
      <c r="D46" s="133" t="str">
        <f>VLOOKUP($C46,Штаб!$B$16:$J$104,6,0)</f>
        <v/>
      </c>
      <c r="E46" s="134" t="str">
        <f>VLOOKUP($C46,Штаб!$B$16:$J$104,7,0)</f>
        <v/>
      </c>
      <c r="F46" s="134" t="str">
        <f>VLOOKUP($C46,Штаб!$B$16:$J$104,8,0)</f>
        <v/>
      </c>
      <c r="G46" s="135" t="str">
        <f>VLOOKUP($C46,Штаб!$B$16:$J$104,9,0)</f>
        <v>✔️</v>
      </c>
      <c r="H46" s="139" t="str">
        <f>VLOOKUP(C46,'РО - регионы'!$B$16:$I$104,8,0)</f>
        <v>0 / 0 / 7 из 7</v>
      </c>
      <c r="I46" s="169"/>
      <c r="J46" s="137"/>
      <c r="K46" s="170"/>
      <c r="L46" s="170"/>
      <c r="M46" s="171"/>
      <c r="N46" s="172">
        <f>VLOOKUP(C46,Спецтехника!$B$16:$J$104,4,0)</f>
        <v>1653</v>
      </c>
      <c r="O46" s="173">
        <f>VLOOKUP(C46,Спецтехника!$B$16:$J$104,5,0)</f>
        <v>1515</v>
      </c>
      <c r="P46" s="173">
        <f>VLOOKUP(C46,Спецтехника!$B$16:$J$104,6,0)</f>
        <v>138</v>
      </c>
      <c r="Q46" s="196">
        <f>VLOOKUP(C46,Спецтехника!$B$16:$J$104,7,0)</f>
        <v>0.0834845735027223</v>
      </c>
      <c r="R46" s="197"/>
      <c r="S46" s="137"/>
      <c r="T46" s="170"/>
      <c r="U46" s="170"/>
      <c r="V46" s="171"/>
      <c r="W46" s="172">
        <f>VLOOKUP($C46,МНО!$B$16:$AB$104,16,0)</f>
        <v>80049</v>
      </c>
      <c r="X46" s="173">
        <f>VLOOKUP($C46,МНО!$B$16:$AB$104,8,0)</f>
        <v>79870</v>
      </c>
      <c r="Y46" s="173">
        <f>VLOOKUP($C46,МНО!$B$16:$AB$104,11,0)</f>
        <v>179</v>
      </c>
      <c r="Z46" s="216">
        <f>VLOOKUP($C46,МНО!$B$16:$AB$104,17,0)</f>
        <v>0.00223613037014828</v>
      </c>
      <c r="AA46" s="213"/>
      <c r="AB46" s="214">
        <f>VLOOKUP($C46,МНО!$B$16:$AB$104,13,0)</f>
        <v>7.68003735872</v>
      </c>
      <c r="AC46" s="215">
        <f>VLOOKUP($C46,МНО!$B$16:$AB$104,18,0)</f>
        <v>1</v>
      </c>
      <c r="AD46" s="172">
        <f>VLOOKUP($C46,Контейнеры!$B$16:$AB$104,16,0)</f>
        <v>222866</v>
      </c>
      <c r="AE46" s="173">
        <f>VLOOKUP($C46,Контейнеры!$B$16:$AB$104,8,0)</f>
        <v>207855</v>
      </c>
      <c r="AF46" s="173">
        <f>VLOOKUP($C46,Контейнеры!$B$16:$AB$104,11,0)</f>
        <v>15011</v>
      </c>
      <c r="AG46" s="216">
        <f>VLOOKUP($C46,Контейнеры!$B$16:$AB$104,17,0)</f>
        <v>0.0673543743774286</v>
      </c>
      <c r="AH46" s="213"/>
      <c r="AI46" s="214">
        <f>VLOOKUP($C46,Контейнеры!$B$16:$AB$104,13,0)</f>
        <v>24.0259800306545</v>
      </c>
      <c r="AJ46" s="215">
        <f>VLOOKUP($C46,Контейнеры!$B$16:$AB$104,18,0)</f>
        <v>1</v>
      </c>
      <c r="AK46" s="231"/>
      <c r="AL46" s="170"/>
      <c r="AM46" s="170"/>
      <c r="AN46" s="232"/>
      <c r="AO46" s="257">
        <f>VLOOKUP($C46,Обработка!$B$16:$L$104,6,0)</f>
        <v>1</v>
      </c>
      <c r="AP46" s="250">
        <f t="shared" si="7"/>
        <v>0.457</v>
      </c>
      <c r="AQ46" s="250">
        <f>VLOOKUP($C46,Обработка!$B$16:$L$104,7,0)</f>
        <v>1</v>
      </c>
      <c r="AR46" s="255">
        <f t="shared" si="8"/>
        <v>0.193</v>
      </c>
      <c r="AS46" s="263">
        <f>VLOOKUP($C46,Утилизация!$B$16:$L$104,6,0)</f>
        <v>0.5</v>
      </c>
      <c r="AT46" s="250">
        <f t="shared" si="9"/>
        <v>0.361</v>
      </c>
      <c r="AU46" s="250">
        <f>VLOOKUP($C46,Утилизация!$B$16:$L$104,7,0)</f>
        <v>0.6</v>
      </c>
      <c r="AV46" s="256">
        <f t="shared" si="10"/>
        <v>0.314</v>
      </c>
      <c r="AW46" s="284" t="str">
        <f>VLOOKUP(C46,Захоронение!$B$16:$Q$104,16,0)</f>
        <v/>
      </c>
      <c r="AX46" s="231"/>
      <c r="AY46" s="170"/>
      <c r="AZ46" s="170"/>
      <c r="BA46" s="171"/>
      <c r="BB46" s="280" t="str">
        <f>VLOOKUP(C46,'ДК ИП'!$B$16:$S$104,5,0)</f>
        <v>не подписана</v>
      </c>
      <c r="BC46" s="281">
        <f>VLOOKUP(C46,Радар!$B$16:$G$104,6,0)</f>
        <v>0.109001463370654</v>
      </c>
      <c r="BD46" s="171"/>
      <c r="BF46" s="292">
        <f t="shared" si="11"/>
        <v>0</v>
      </c>
      <c r="BI46" s="9">
        <f t="shared" si="12"/>
        <v>0</v>
      </c>
      <c r="BJ46" s="9">
        <f>VLOOKUP(C46,Штаб!$B$16:$C$104,2)</f>
        <v>2</v>
      </c>
      <c r="BK46" s="9">
        <f>VLOOKUP(C46,'РО - регионы'!$B$16:$C$104,2)</f>
        <v>0</v>
      </c>
      <c r="BL46" s="9">
        <f>VLOOKUP(C46,'РО - регионы'!$B$16:$L$104,11)</f>
        <v>0</v>
      </c>
      <c r="BM46" s="9">
        <f>VLOOKUP(C46,Спецтехника!$B$16:$C$104,2)</f>
        <v>0</v>
      </c>
      <c r="BN46" s="9">
        <f>VLOOKUP($C46,МНО!$B$16:$AB$104,6,0)</f>
        <v>0</v>
      </c>
      <c r="BO46" s="9">
        <f>VLOOKUP($C46,МНО!$B$16:$AB$104,4,0)</f>
        <v>0</v>
      </c>
      <c r="BP46" s="9">
        <f>VLOOKUP($C46,МНО!$B$16:$AB$104,5,0)</f>
        <v>0</v>
      </c>
      <c r="BQ46" s="9">
        <f>VLOOKUP($C46,Контейнеры!$B$16:$G$104,6,0)</f>
        <v>0</v>
      </c>
      <c r="BR46" s="9">
        <f>VLOOKUP($C46,Контейнеры!$B$16:$G$104,4,0)</f>
        <v>0</v>
      </c>
      <c r="BS46" s="9">
        <f>VLOOKUP($C46,Контейнеры!$B$16:$G$104,5,0)</f>
        <v>0</v>
      </c>
      <c r="BT46" s="9">
        <f>VLOOKUP($C46,'ДК МНО'!$B$16:$C$104,2,0)</f>
        <v>2</v>
      </c>
      <c r="BU46" s="9">
        <f>VLOOKUP($C46,Обработка!$B$16:$F$104,5,0)</f>
        <v>0</v>
      </c>
      <c r="BV46" s="9">
        <f>VLOOKUP($C46,Обработка!$B$16:$F$104,4,0)</f>
        <v>0</v>
      </c>
      <c r="BW46" s="9">
        <f>VLOOKUP($C46,Утилизация!$B$16:$F$104,5,0)</f>
        <v>0</v>
      </c>
      <c r="BX46" s="9">
        <f>VLOOKUP($C46,Утилизация!$B$16:$F$104,4,0)</f>
        <v>0</v>
      </c>
      <c r="BY46" s="9">
        <f>VLOOKUP($C46,Захоронение!$B$16:$C$104,2,0)</f>
        <v>0</v>
      </c>
      <c r="BZ46" s="9">
        <f>VLOOKUP($C46,'ДК ИП'!$B$16:$C$104,2,0)</f>
        <v>0</v>
      </c>
      <c r="CA46" s="9">
        <f>VLOOKUP(C46,Радар!$B$16:$G$104,2,0)</f>
        <v>2</v>
      </c>
      <c r="CB46" s="9">
        <f>SUMPRODUCT(BJ46:BZ46,$BJ$5:$BZ$5)</f>
        <v>0</v>
      </c>
    </row>
    <row r="47" ht="15.75" spans="1:80">
      <c r="A47" s="6" t="s">
        <v>70</v>
      </c>
      <c r="B47" s="131">
        <f t="shared" si="6"/>
        <v>37</v>
      </c>
      <c r="C47" s="3" t="s">
        <v>72</v>
      </c>
      <c r="D47" s="133" t="str">
        <f>VLOOKUP($C47,Штаб!$B$16:$J$104,6,0)</f>
        <v/>
      </c>
      <c r="E47" s="134" t="str">
        <f>VLOOKUP($C47,Штаб!$B$16:$J$104,7,0)</f>
        <v/>
      </c>
      <c r="F47" s="134" t="str">
        <f>VLOOKUP($C47,Штаб!$B$16:$J$104,8,0)</f>
        <v>✔️</v>
      </c>
      <c r="G47" s="135" t="str">
        <f>VLOOKUP($C47,Штаб!$B$16:$J$104,9,0)</f>
        <v/>
      </c>
      <c r="H47" s="139" t="str">
        <f>VLOOKUP(C47,'РО - регионы'!$B$16:$I$104,8,0)</f>
        <v>0 / 0 / 1 из 1</v>
      </c>
      <c r="I47" s="169"/>
      <c r="J47" s="137"/>
      <c r="K47" s="170"/>
      <c r="L47" s="170"/>
      <c r="M47" s="171"/>
      <c r="N47" s="172">
        <f>VLOOKUP(C47,Спецтехника!$B$16:$J$104,4,0)</f>
        <v>171</v>
      </c>
      <c r="O47" s="173">
        <f>VLOOKUP(C47,Спецтехника!$B$16:$J$104,5,0)</f>
        <v>171</v>
      </c>
      <c r="P47" s="173">
        <f>VLOOKUP(C47,Спецтехника!$B$16:$J$104,6,0)</f>
        <v>0</v>
      </c>
      <c r="Q47" s="196">
        <f>VLOOKUP(C47,Спецтехника!$B$16:$J$104,7,0)</f>
        <v>0</v>
      </c>
      <c r="R47" s="197"/>
      <c r="S47" s="137"/>
      <c r="T47" s="170"/>
      <c r="U47" s="170"/>
      <c r="V47" s="171"/>
      <c r="W47" s="172">
        <f>VLOOKUP($C47,МНО!$B$16:$AB$104,16,0)</f>
        <v>4970</v>
      </c>
      <c r="X47" s="173">
        <f>VLOOKUP($C47,МНО!$B$16:$AB$104,8,0)</f>
        <v>4920</v>
      </c>
      <c r="Y47" s="173">
        <f>VLOOKUP($C47,МНО!$B$16:$AB$104,11,0)</f>
        <v>50</v>
      </c>
      <c r="Z47" s="216">
        <f>VLOOKUP($C47,МНО!$B$16:$AB$104,17,0)</f>
        <v>0.0100603621730382</v>
      </c>
      <c r="AA47" s="213"/>
      <c r="AB47" s="214">
        <f>VLOOKUP($C47,МНО!$B$16:$AB$104,13,0)</f>
        <v>6.53070053836006</v>
      </c>
      <c r="AC47" s="215">
        <f>VLOOKUP($C47,МНО!$B$16:$AB$104,18,0)</f>
        <v>1</v>
      </c>
      <c r="AD47" s="172">
        <f>VLOOKUP($C47,Контейнеры!$B$16:$AB$104,16,0)</f>
        <v>12524</v>
      </c>
      <c r="AE47" s="173">
        <f>VLOOKUP($C47,Контейнеры!$B$16:$AB$104,8,0)</f>
        <v>12374</v>
      </c>
      <c r="AF47" s="173">
        <f>VLOOKUP($C47,Контейнеры!$B$16:$AB$104,11,0)</f>
        <v>150</v>
      </c>
      <c r="AG47" s="216">
        <f>VLOOKUP($C47,Контейнеры!$B$16:$AB$104,17,0)</f>
        <v>0.0119770041520281</v>
      </c>
      <c r="AH47" s="213"/>
      <c r="AI47" s="214">
        <f>VLOOKUP($C47,Контейнеры!$B$16:$AB$104,13,0)</f>
        <v>18.8502189087164</v>
      </c>
      <c r="AJ47" s="215">
        <f>VLOOKUP($C47,Контейнеры!$B$16:$AB$104,18,0)</f>
        <v>1</v>
      </c>
      <c r="AK47" s="231"/>
      <c r="AL47" s="170"/>
      <c r="AM47" s="170"/>
      <c r="AN47" s="232"/>
      <c r="AO47" s="257">
        <f>VLOOKUP($C47,Обработка!$B$16:$L$104,6,0)</f>
        <v>0.996</v>
      </c>
      <c r="AP47" s="250">
        <f t="shared" si="7"/>
        <v>0.453</v>
      </c>
      <c r="AQ47" s="250">
        <f>VLOOKUP($C47,Обработка!$B$16:$L$104,7,0)</f>
        <v>0.85</v>
      </c>
      <c r="AR47" s="255">
        <f t="shared" si="8"/>
        <v>0.0429999999999999</v>
      </c>
      <c r="AS47" s="258">
        <f>VLOOKUP($C47,Утилизация!$B$16:$L$104,6,0)</f>
        <v>0.07</v>
      </c>
      <c r="AT47" s="259">
        <f t="shared" si="9"/>
        <v>-0.069</v>
      </c>
      <c r="AU47" s="251">
        <f>VLOOKUP($C47,Утилизация!$B$16:$L$104,7,0)</f>
        <v>0.063</v>
      </c>
      <c r="AV47" s="254">
        <f t="shared" si="10"/>
        <v>-0.223</v>
      </c>
      <c r="AW47" s="284" t="str">
        <f>VLOOKUP(C47,Захоронение!$B$16:$Q$104,16,0)</f>
        <v/>
      </c>
      <c r="AX47" s="231"/>
      <c r="AY47" s="170"/>
      <c r="AZ47" s="170"/>
      <c r="BA47" s="171"/>
      <c r="BB47" s="280" t="str">
        <f>VLOOKUP(C47,'ДК ИП'!$B$16:$S$104,5,0)</f>
        <v>не подписана</v>
      </c>
      <c r="BC47" s="282">
        <f>VLOOKUP(C47,Радар!$B$16:$G$104,6,0)</f>
        <v>0.0655050438883794</v>
      </c>
      <c r="BD47" s="171"/>
      <c r="BF47" s="292">
        <f t="shared" si="11"/>
        <v>0.25</v>
      </c>
      <c r="BI47" s="9">
        <f t="shared" si="12"/>
        <v>0</v>
      </c>
      <c r="BJ47" s="9">
        <f>VLOOKUP(C47,Штаб!$B$16:$C$104,2)</f>
        <v>1</v>
      </c>
      <c r="BK47" s="9">
        <f>VLOOKUP(C47,'РО - регионы'!$B$16:$C$104,2)</f>
        <v>0</v>
      </c>
      <c r="BL47" s="9">
        <f>VLOOKUP(C47,'РО - регионы'!$B$16:$L$104,11)</f>
        <v>0</v>
      </c>
      <c r="BM47" s="9">
        <f>VLOOKUP(C47,Спецтехника!$B$16:$C$104,2)</f>
        <v>0</v>
      </c>
      <c r="BN47" s="9">
        <f>VLOOKUP($C47,МНО!$B$16:$AB$104,6,0)</f>
        <v>0</v>
      </c>
      <c r="BO47" s="9">
        <f>VLOOKUP($C47,МНО!$B$16:$AB$104,4,0)</f>
        <v>0</v>
      </c>
      <c r="BP47" s="9">
        <f>VLOOKUP($C47,МНО!$B$16:$AB$104,5,0)</f>
        <v>0</v>
      </c>
      <c r="BQ47" s="9">
        <f>VLOOKUP($C47,Контейнеры!$B$16:$G$104,6,0)</f>
        <v>0</v>
      </c>
      <c r="BR47" s="9">
        <f>VLOOKUP($C47,Контейнеры!$B$16:$G$104,4,0)</f>
        <v>0</v>
      </c>
      <c r="BS47" s="9">
        <f>VLOOKUP($C47,Контейнеры!$B$16:$G$104,5,0)</f>
        <v>0</v>
      </c>
      <c r="BT47" s="9">
        <f>VLOOKUP($C47,'ДК МНО'!$B$16:$C$104,2,0)</f>
        <v>2</v>
      </c>
      <c r="BU47" s="9">
        <f>VLOOKUP($C47,Обработка!$B$16:$F$104,5,0)</f>
        <v>0</v>
      </c>
      <c r="BV47" s="9">
        <f>VLOOKUP($C47,Обработка!$B$16:$F$104,4,0)</f>
        <v>0</v>
      </c>
      <c r="BW47" s="9">
        <f>VLOOKUP($C47,Утилизация!$B$16:$F$104,5,0)</f>
        <v>2</v>
      </c>
      <c r="BX47" s="9">
        <f>VLOOKUP($C47,Утилизация!$B$16:$F$104,4,0)</f>
        <v>1</v>
      </c>
      <c r="BY47" s="9">
        <f>VLOOKUP($C47,Захоронение!$B$16:$C$104,2,0)</f>
        <v>0</v>
      </c>
      <c r="BZ47" s="9">
        <f>VLOOKUP($C47,'ДК ИП'!$B$16:$C$104,2,0)</f>
        <v>0</v>
      </c>
      <c r="CA47" s="9">
        <f>VLOOKUP(C47,Радар!$B$16:$G$104,2,0)</f>
        <v>1</v>
      </c>
      <c r="CB47" s="9">
        <f>SUMPRODUCT(BJ47:BZ47,$BJ$5:$BZ$5)</f>
        <v>0.15</v>
      </c>
    </row>
    <row r="48" ht="15.75" spans="1:80">
      <c r="A48" s="6" t="s">
        <v>70</v>
      </c>
      <c r="B48" s="137">
        <f t="shared" si="6"/>
        <v>38</v>
      </c>
      <c r="C48" s="3" t="s">
        <v>127</v>
      </c>
      <c r="D48" s="133" t="str">
        <f>VLOOKUP($C48,Штаб!$B$16:$J$104,6,0)</f>
        <v/>
      </c>
      <c r="E48" s="134" t="str">
        <f>VLOOKUP($C48,Штаб!$B$16:$J$104,7,0)</f>
        <v/>
      </c>
      <c r="F48" s="134" t="str">
        <f>VLOOKUP($C48,Штаб!$B$16:$J$104,8,0)</f>
        <v/>
      </c>
      <c r="G48" s="135" t="str">
        <f>VLOOKUP($C48,Штаб!$B$16:$J$104,9,0)</f>
        <v>✔️</v>
      </c>
      <c r="H48" s="139" t="str">
        <f>VLOOKUP(C48,'РО - регионы'!$B$16:$I$104,8,0)</f>
        <v>0 / 0 / 2 из 2</v>
      </c>
      <c r="I48" s="169"/>
      <c r="J48" s="137"/>
      <c r="K48" s="170"/>
      <c r="L48" s="170"/>
      <c r="M48" s="171"/>
      <c r="N48" s="174">
        <f>VLOOKUP(C48,Спецтехника!$B$16:$J$104,4,0)</f>
        <v>41</v>
      </c>
      <c r="O48" s="175">
        <f>VLOOKUP(C48,Спецтехника!$B$16:$J$104,5,0)</f>
        <v>37</v>
      </c>
      <c r="P48" s="175">
        <f>VLOOKUP(C48,Спецтехника!$B$16:$J$104,6,0)</f>
        <v>4</v>
      </c>
      <c r="Q48" s="198">
        <f>VLOOKUP(C48,Спецтехника!$B$16:$J$104,7,0)</f>
        <v>0.0975609756097561</v>
      </c>
      <c r="R48" s="197"/>
      <c r="S48" s="137"/>
      <c r="T48" s="170"/>
      <c r="U48" s="170"/>
      <c r="V48" s="171"/>
      <c r="W48" s="172">
        <f>VLOOKUP($C48,МНО!$B$16:$AB$104,16,0)</f>
        <v>904</v>
      </c>
      <c r="X48" s="173">
        <f>VLOOKUP($C48,МНО!$B$16:$AB$104,8,0)</f>
        <v>826</v>
      </c>
      <c r="Y48" s="173">
        <f>VLOOKUP($C48,МНО!$B$16:$AB$104,11,0)</f>
        <v>78</v>
      </c>
      <c r="Z48" s="216">
        <f>VLOOKUP($C48,МНО!$B$16:$AB$104,17,0)</f>
        <v>0.086283185840708</v>
      </c>
      <c r="AA48" s="213"/>
      <c r="AB48" s="214">
        <f>VLOOKUP($C48,МНО!$B$16:$AB$104,13,0)</f>
        <v>18.662372110648</v>
      </c>
      <c r="AC48" s="215">
        <f>VLOOKUP($C48,МНО!$B$16:$AB$104,18,0)</f>
        <v>1</v>
      </c>
      <c r="AD48" s="172">
        <f>VLOOKUP($C48,Контейнеры!$B$16:$AB$104,16,0)</f>
        <v>1592</v>
      </c>
      <c r="AE48" s="173">
        <f>VLOOKUP($C48,Контейнеры!$B$16:$AB$104,8,0)</f>
        <v>1580</v>
      </c>
      <c r="AF48" s="173">
        <f>VLOOKUP($C48,Контейнеры!$B$16:$AB$104,11,0)</f>
        <v>12</v>
      </c>
      <c r="AG48" s="216">
        <f>VLOOKUP($C48,Контейнеры!$B$16:$AB$104,17,0)</f>
        <v>0.00753768844221105</v>
      </c>
      <c r="AH48" s="213"/>
      <c r="AI48" s="214">
        <f>VLOOKUP($C48,Контейнеры!$B$16:$AB$104,13,0)</f>
        <v>37.4194770746495</v>
      </c>
      <c r="AJ48" s="215">
        <f>VLOOKUP($C48,Контейнеры!$B$16:$AB$104,18,0)</f>
        <v>1</v>
      </c>
      <c r="AK48" s="231"/>
      <c r="AL48" s="170"/>
      <c r="AM48" s="170"/>
      <c r="AN48" s="232"/>
      <c r="AO48" s="249">
        <f>VLOOKUP($C48,Обработка!$B$16:$L$104,6,0)</f>
        <v>0.128</v>
      </c>
      <c r="AP48" s="250">
        <f t="shared" si="7"/>
        <v>-0.415</v>
      </c>
      <c r="AQ48" s="251">
        <f>VLOOKUP($C48,Обработка!$B$16:$L$104,7,0)</f>
        <v>0.1</v>
      </c>
      <c r="AR48" s="252">
        <f t="shared" si="8"/>
        <v>-0.707</v>
      </c>
      <c r="AS48" s="258">
        <f>VLOOKUP($C48,Утилизация!$B$16:$L$104,6,0)</f>
        <v>0.091</v>
      </c>
      <c r="AT48" s="259">
        <f t="shared" si="9"/>
        <v>-0.048</v>
      </c>
      <c r="AU48" s="251">
        <f>VLOOKUP($C48,Утилизация!$B$16:$L$104,7,0)</f>
        <v>0.07</v>
      </c>
      <c r="AV48" s="254">
        <f t="shared" si="10"/>
        <v>-0.216</v>
      </c>
      <c r="AW48" s="279" t="str">
        <f>VLOOKUP(C48,Захоронение!$B$16:$Q$104,16,0)</f>
        <v>белые пятна</v>
      </c>
      <c r="AX48" s="231"/>
      <c r="AY48" s="170"/>
      <c r="AZ48" s="170"/>
      <c r="BA48" s="171"/>
      <c r="BB48" s="280" t="str">
        <f>VLOOKUP(C48,'ДК ИП'!$B$16:$S$104,5,0)</f>
        <v>нет</v>
      </c>
      <c r="BC48" s="281">
        <f>VLOOKUP(C48,Радар!$B$16:$G$104,6,0)</f>
        <v>7.24706328154604</v>
      </c>
      <c r="BD48" s="171"/>
      <c r="BF48" s="290">
        <f t="shared" si="11"/>
        <v>1.25</v>
      </c>
      <c r="BI48" s="9">
        <f t="shared" si="12"/>
        <v>1</v>
      </c>
      <c r="BJ48" s="9">
        <f>VLOOKUP(C48,Штаб!$B$16:$C$104,2)</f>
        <v>2</v>
      </c>
      <c r="BK48" s="9">
        <f>VLOOKUP(C48,'РО - регионы'!$B$16:$C$104,2)</f>
        <v>0</v>
      </c>
      <c r="BL48" s="9">
        <f>VLOOKUP(C48,'РО - регионы'!$B$16:$L$104,11)</f>
        <v>0</v>
      </c>
      <c r="BM48" s="9">
        <f>VLOOKUP(C48,Спецтехника!$B$16:$C$104,2)</f>
        <v>1</v>
      </c>
      <c r="BN48" s="9">
        <f>VLOOKUP($C48,МНО!$B$16:$AB$104,6,0)</f>
        <v>0</v>
      </c>
      <c r="BO48" s="9">
        <f>VLOOKUP($C48,МНО!$B$16:$AB$104,4,0)</f>
        <v>0</v>
      </c>
      <c r="BP48" s="9">
        <f>VLOOKUP($C48,МНО!$B$16:$AB$104,5,0)</f>
        <v>0</v>
      </c>
      <c r="BQ48" s="9">
        <f>VLOOKUP($C48,Контейнеры!$B$16:$G$104,6,0)</f>
        <v>0</v>
      </c>
      <c r="BR48" s="9">
        <f>VLOOKUP($C48,Контейнеры!$B$16:$G$104,4,0)</f>
        <v>0</v>
      </c>
      <c r="BS48" s="9">
        <f>VLOOKUP($C48,Контейнеры!$B$16:$G$104,5,0)</f>
        <v>0</v>
      </c>
      <c r="BT48" s="9">
        <f>VLOOKUP($C48,'ДК МНО'!$B$16:$C$104,2,0)</f>
        <v>2</v>
      </c>
      <c r="BU48" s="9">
        <f>VLOOKUP($C48,Обработка!$B$16:$F$104,5,0)</f>
        <v>2</v>
      </c>
      <c r="BV48" s="9">
        <f>VLOOKUP($C48,Обработка!$B$16:$F$104,4,0)</f>
        <v>2</v>
      </c>
      <c r="BW48" s="9">
        <f>VLOOKUP($C48,Утилизация!$B$16:$F$104,5,0)</f>
        <v>2</v>
      </c>
      <c r="BX48" s="9">
        <f>VLOOKUP($C48,Утилизация!$B$16:$F$104,4,0)</f>
        <v>1</v>
      </c>
      <c r="BY48" s="9">
        <f>VLOOKUP($C48,Захоронение!$B$16:$C$104,2,0)</f>
        <v>2</v>
      </c>
      <c r="BZ48" s="9">
        <f>VLOOKUP($C48,'ДК ИП'!$B$16:$C$104,2,0)</f>
        <v>0</v>
      </c>
      <c r="CA48" s="9">
        <f>VLOOKUP(C48,Радар!$B$16:$G$104,2,0)</f>
        <v>2</v>
      </c>
      <c r="CB48" s="9">
        <f>SUMPRODUCT(BJ48:BZ48,$BJ$5:$BZ$5)</f>
        <v>0.9</v>
      </c>
    </row>
    <row r="49" ht="15.75" spans="1:80">
      <c r="A49" s="6" t="s">
        <v>74</v>
      </c>
      <c r="B49" s="131">
        <f t="shared" si="6"/>
        <v>39</v>
      </c>
      <c r="C49" s="3" t="s">
        <v>93</v>
      </c>
      <c r="D49" s="133" t="str">
        <f>VLOOKUP($C49,Штаб!$B$16:$J$104,6,0)</f>
        <v>✔️</v>
      </c>
      <c r="E49" s="134" t="str">
        <f>VLOOKUP($C49,Штаб!$B$16:$J$104,7,0)</f>
        <v/>
      </c>
      <c r="F49" s="134" t="str">
        <f>VLOOKUP($C49,Штаб!$B$16:$J$104,8,0)</f>
        <v/>
      </c>
      <c r="G49" s="135" t="str">
        <f>VLOOKUP($C49,Штаб!$B$16:$J$104,9,0)</f>
        <v/>
      </c>
      <c r="H49" s="138" t="str">
        <f>VLOOKUP(C49,'РО - регионы'!$B$16:$I$104,8,0)</f>
        <v>0 / 2 / 7 из 9</v>
      </c>
      <c r="I49" s="169"/>
      <c r="J49" s="137"/>
      <c r="K49" s="170"/>
      <c r="L49" s="170"/>
      <c r="M49" s="171"/>
      <c r="N49" s="174">
        <f>VLOOKUP(C49,Спецтехника!$B$16:$J$104,4,0)</f>
        <v>534</v>
      </c>
      <c r="O49" s="175">
        <f>VLOOKUP(C49,Спецтехника!$B$16:$J$104,5,0)</f>
        <v>482</v>
      </c>
      <c r="P49" s="175">
        <f>VLOOKUP(C49,Спецтехника!$B$16:$J$104,6,0)</f>
        <v>52</v>
      </c>
      <c r="Q49" s="198">
        <f>VLOOKUP(C49,Спецтехника!$B$16:$J$104,7,0)</f>
        <v>0.0973782771535581</v>
      </c>
      <c r="R49" s="197"/>
      <c r="S49" s="137"/>
      <c r="T49" s="170"/>
      <c r="U49" s="170"/>
      <c r="V49" s="171"/>
      <c r="W49" s="174">
        <f>VLOOKUP($C49,МНО!$B$16:$AB$104,16,0)</f>
        <v>37162</v>
      </c>
      <c r="X49" s="175">
        <f>VLOOKUP($C49,МНО!$B$16:$AB$104,8,0)</f>
        <v>28895</v>
      </c>
      <c r="Y49" s="175">
        <f>VLOOKUP($C49,МНО!$B$16:$AB$104,11,0)</f>
        <v>8267</v>
      </c>
      <c r="Z49" s="212">
        <f>VLOOKUP($C49,МНО!$B$16:$AB$104,17,0)</f>
        <v>0.222458425273128</v>
      </c>
      <c r="AA49" s="213"/>
      <c r="AB49" s="214">
        <f>VLOOKUP($C49,МНО!$B$16:$AB$104,13,0)</f>
        <v>8.6500334113749</v>
      </c>
      <c r="AC49" s="215">
        <f>VLOOKUP($C49,МНО!$B$16:$AB$104,18,0)</f>
        <v>0.932247136634941</v>
      </c>
      <c r="AD49" s="176">
        <f>VLOOKUP($C49,Контейнеры!$B$16:$AB$104,16,0)</f>
        <v>59725</v>
      </c>
      <c r="AE49" s="177">
        <f>VLOOKUP($C49,Контейнеры!$B$16:$AB$104,8,0)</f>
        <v>59725</v>
      </c>
      <c r="AF49" s="177">
        <f>VLOOKUP($C49,Контейнеры!$B$16:$AB$104,11,0)</f>
        <v>0</v>
      </c>
      <c r="AG49" s="217">
        <f>VLOOKUP($C49,Контейнеры!$B$16:$AB$104,17,0)</f>
        <v>0</v>
      </c>
      <c r="AH49" s="213"/>
      <c r="AI49" s="214">
        <f>VLOOKUP($C49,Контейнеры!$B$16:$AB$104,13,0)</f>
        <v>19.5158373184635</v>
      </c>
      <c r="AJ49" s="215">
        <f>VLOOKUP($C49,Контейнеры!$B$16:$AB$104,18,0)</f>
        <v>0.883362174794042</v>
      </c>
      <c r="AK49" s="231"/>
      <c r="AL49" s="170"/>
      <c r="AM49" s="170"/>
      <c r="AN49" s="232"/>
      <c r="AO49" s="257">
        <f>VLOOKUP($C49,Обработка!$B$16:$L$104,6,0)</f>
        <v>0.805</v>
      </c>
      <c r="AP49" s="250">
        <f t="shared" si="7"/>
        <v>0.262</v>
      </c>
      <c r="AQ49" s="250">
        <f>VLOOKUP($C49,Обработка!$B$16:$L$104,7,0)</f>
        <v>0.96</v>
      </c>
      <c r="AR49" s="255">
        <f t="shared" si="8"/>
        <v>0.153</v>
      </c>
      <c r="AS49" s="258">
        <f>VLOOKUP($C49,Утилизация!$B$16:$L$104,6,0)</f>
        <v>0.125</v>
      </c>
      <c r="AT49" s="259">
        <f t="shared" si="9"/>
        <v>-0.014</v>
      </c>
      <c r="AU49" s="259">
        <f>VLOOKUP($C49,Утилизация!$B$16:$L$104,7,0)</f>
        <v>0.182</v>
      </c>
      <c r="AV49" s="260">
        <f t="shared" si="10"/>
        <v>-0.104</v>
      </c>
      <c r="AW49" s="284" t="str">
        <f>VLOOKUP(C49,Захоронение!$B$16:$Q$104,16,0)</f>
        <v/>
      </c>
      <c r="AX49" s="231"/>
      <c r="AY49" s="170"/>
      <c r="AZ49" s="170"/>
      <c r="BA49" s="171"/>
      <c r="BB49" s="280" t="str">
        <f>VLOOKUP(C49,'ДК ИП'!$B$16:$S$104,5,0)</f>
        <v>небольшое</v>
      </c>
      <c r="BC49" s="285">
        <f>VLOOKUP(C49,Радар!$B$16:$G$104,6,0)</f>
        <v>0.00849580193018085</v>
      </c>
      <c r="BD49" s="171"/>
      <c r="BF49" s="292">
        <f t="shared" si="11"/>
        <v>0.166666666666667</v>
      </c>
      <c r="BI49" s="9">
        <f t="shared" si="12"/>
        <v>0</v>
      </c>
      <c r="BJ49" s="9">
        <f>VLOOKUP(C49,Штаб!$B$16:$C$104,2)</f>
        <v>0</v>
      </c>
      <c r="BK49" s="9">
        <f>VLOOKUP(C49,'РО - регионы'!$B$16:$C$104,2)</f>
        <v>1</v>
      </c>
      <c r="BL49" s="9">
        <f>VLOOKUP(C49,'РО - регионы'!$B$16:$L$104,11)</f>
        <v>2</v>
      </c>
      <c r="BM49" s="9">
        <f>VLOOKUP(C49,Спецтехника!$B$16:$C$104,2)</f>
        <v>1</v>
      </c>
      <c r="BN49" s="9">
        <f>VLOOKUP($C49,МНО!$B$16:$AB$104,6,0)</f>
        <v>1</v>
      </c>
      <c r="BO49" s="9">
        <f>VLOOKUP($C49,МНО!$B$16:$AB$104,4,0)</f>
        <v>0</v>
      </c>
      <c r="BP49" s="9">
        <f>VLOOKUP($C49,МНО!$B$16:$AB$104,5,0)</f>
        <v>0</v>
      </c>
      <c r="BQ49" s="9">
        <f>VLOOKUP($C49,Контейнеры!$B$16:$G$104,6,0)</f>
        <v>2</v>
      </c>
      <c r="BR49" s="9">
        <f>VLOOKUP($C49,Контейнеры!$B$16:$G$104,4,0)</f>
        <v>0</v>
      </c>
      <c r="BS49" s="9">
        <f>VLOOKUP($C49,Контейнеры!$B$16:$G$104,5,0)</f>
        <v>1</v>
      </c>
      <c r="BT49" s="9">
        <f>VLOOKUP($C49,'ДК МНО'!$B$16:$C$104,2,0)</f>
        <v>2</v>
      </c>
      <c r="BU49" s="9">
        <f>VLOOKUP($C49,Обработка!$B$16:$F$104,5,0)</f>
        <v>0</v>
      </c>
      <c r="BV49" s="9">
        <f>VLOOKUP($C49,Обработка!$B$16:$F$104,4,0)</f>
        <v>0</v>
      </c>
      <c r="BW49" s="9">
        <f>VLOOKUP($C49,Утилизация!$B$16:$F$104,5,0)</f>
        <v>1</v>
      </c>
      <c r="BX49" s="9">
        <f>VLOOKUP($C49,Утилизация!$B$16:$F$104,4,0)</f>
        <v>1</v>
      </c>
      <c r="BY49" s="9">
        <f>VLOOKUP($C49,Захоронение!$B$16:$C$104,2,0)</f>
        <v>0</v>
      </c>
      <c r="BZ49" s="9">
        <f>VLOOKUP($C49,'ДК ИП'!$B$16:$C$104,2,0)</f>
        <v>0</v>
      </c>
      <c r="CA49" s="9">
        <f>VLOOKUP(C49,Радар!$B$16:$G$104,2,0)</f>
        <v>0</v>
      </c>
      <c r="CB49" s="9">
        <f>SUMPRODUCT(BJ49:BZ49,$BJ$5:$BZ$5)</f>
        <v>0.5</v>
      </c>
    </row>
    <row r="50" ht="15.75" spans="1:80">
      <c r="A50" s="6" t="s">
        <v>70</v>
      </c>
      <c r="B50" s="137">
        <f t="shared" si="6"/>
        <v>40</v>
      </c>
      <c r="C50" s="3" t="s">
        <v>90</v>
      </c>
      <c r="D50" s="133" t="str">
        <f>VLOOKUP($C50,Штаб!$B$16:$J$104,6,0)</f>
        <v>✔️</v>
      </c>
      <c r="E50" s="134" t="str">
        <f>VLOOKUP($C50,Штаб!$B$16:$J$104,7,0)</f>
        <v/>
      </c>
      <c r="F50" s="134" t="str">
        <f>VLOOKUP($C50,Штаб!$B$16:$J$104,8,0)</f>
        <v/>
      </c>
      <c r="G50" s="135" t="str">
        <f>VLOOKUP($C50,Штаб!$B$16:$J$104,9,0)</f>
        <v/>
      </c>
      <c r="H50" s="140" t="str">
        <f>VLOOKUP(C50,'РО - регионы'!$B$16:$I$104,8,0)</f>
        <v>1 / 2 / 1 из 4</v>
      </c>
      <c r="I50" s="169"/>
      <c r="J50" s="137"/>
      <c r="K50" s="170"/>
      <c r="L50" s="170"/>
      <c r="M50" s="171"/>
      <c r="N50" s="174">
        <f>VLOOKUP(C50,Спецтехника!$B$16:$J$104,4,0)</f>
        <v>79</v>
      </c>
      <c r="O50" s="175">
        <f>VLOOKUP(C50,Спецтехника!$B$16:$J$104,5,0)</f>
        <v>65</v>
      </c>
      <c r="P50" s="175">
        <f>VLOOKUP(C50,Спецтехника!$B$16:$J$104,6,0)</f>
        <v>14</v>
      </c>
      <c r="Q50" s="198">
        <f>VLOOKUP(C50,Спецтехника!$B$16:$J$104,7,0)</f>
        <v>0.177215189873418</v>
      </c>
      <c r="R50" s="197"/>
      <c r="S50" s="137"/>
      <c r="T50" s="170"/>
      <c r="U50" s="170"/>
      <c r="V50" s="171"/>
      <c r="W50" s="172">
        <f>VLOOKUP($C50,МНО!$B$16:$AB$104,16,0)</f>
        <v>4953</v>
      </c>
      <c r="X50" s="173">
        <f>VLOOKUP($C50,МНО!$B$16:$AB$104,8,0)</f>
        <v>4932</v>
      </c>
      <c r="Y50" s="173">
        <f>VLOOKUP($C50,МНО!$B$16:$AB$104,11,0)</f>
        <v>21</v>
      </c>
      <c r="Z50" s="216">
        <f>VLOOKUP($C50,МНО!$B$16:$AB$104,17,0)</f>
        <v>0.00423985463355542</v>
      </c>
      <c r="AA50" s="213"/>
      <c r="AB50" s="214">
        <f>VLOOKUP($C50,МНО!$B$16:$AB$104,13,0)</f>
        <v>8.24923396220472</v>
      </c>
      <c r="AC50" s="215">
        <f>VLOOKUP($C50,МНО!$B$16:$AB$104,18,0)</f>
        <v>1</v>
      </c>
      <c r="AD50" s="172">
        <f>VLOOKUP($C50,Контейнеры!$B$16:$AB$104,16,0)</f>
        <v>9764</v>
      </c>
      <c r="AE50" s="173">
        <f>VLOOKUP($C50,Контейнеры!$B$16:$AB$104,8,0)</f>
        <v>9744</v>
      </c>
      <c r="AF50" s="173">
        <f>VLOOKUP($C50,Контейнеры!$B$16:$AB$104,11,0)</f>
        <v>20</v>
      </c>
      <c r="AG50" s="216">
        <f>VLOOKUP($C50,Контейнеры!$B$16:$AB$104,17,0)</f>
        <v>0.00204834084391643</v>
      </c>
      <c r="AH50" s="213"/>
      <c r="AI50" s="214">
        <f>VLOOKUP($C50,Контейнеры!$B$16:$AB$104,13,0)</f>
        <v>17.0514500907346</v>
      </c>
      <c r="AJ50" s="215">
        <f>VLOOKUP($C50,Контейнеры!$B$16:$AB$104,18,0)</f>
        <v>1</v>
      </c>
      <c r="AK50" s="231"/>
      <c r="AL50" s="170"/>
      <c r="AM50" s="170"/>
      <c r="AN50" s="232"/>
      <c r="AO50" s="257">
        <f>VLOOKUP($C50,Обработка!$B$16:$L$104,6,0)</f>
        <v>0.814</v>
      </c>
      <c r="AP50" s="250">
        <f t="shared" si="7"/>
        <v>0.271</v>
      </c>
      <c r="AQ50" s="259">
        <f>VLOOKUP($C50,Обработка!$B$16:$L$104,7,0)</f>
        <v>0.6</v>
      </c>
      <c r="AR50" s="262">
        <f t="shared" si="8"/>
        <v>-0.207</v>
      </c>
      <c r="AS50" s="258">
        <f>VLOOKUP($C50,Утилизация!$B$16:$L$104,6,0)</f>
        <v>0.129</v>
      </c>
      <c r="AT50" s="259">
        <f t="shared" si="9"/>
        <v>-0.01</v>
      </c>
      <c r="AU50" s="251">
        <f>VLOOKUP($C50,Утилизация!$B$16:$L$104,7,0)</f>
        <v>0.078</v>
      </c>
      <c r="AV50" s="254">
        <f t="shared" si="10"/>
        <v>-0.208</v>
      </c>
      <c r="AW50" s="284" t="str">
        <f>VLOOKUP(C50,Захоронение!$B$16:$Q$104,16,0)</f>
        <v/>
      </c>
      <c r="AX50" s="231"/>
      <c r="AY50" s="170"/>
      <c r="AZ50" s="170"/>
      <c r="BA50" s="171"/>
      <c r="BB50" s="280" t="str">
        <f>VLOOKUP(C50,'ДК ИП'!$B$16:$S$104,5,0)</f>
        <v>небольшое</v>
      </c>
      <c r="BC50" s="281">
        <f>VLOOKUP(C50,Радар!$B$16:$G$104,6,0)</f>
        <v>0.201243509896806</v>
      </c>
      <c r="BD50" s="171"/>
      <c r="BF50" s="292">
        <f t="shared" si="11"/>
        <v>0.333333333333333</v>
      </c>
      <c r="BI50" s="9">
        <f t="shared" si="12"/>
        <v>0</v>
      </c>
      <c r="BJ50" s="9">
        <f>VLOOKUP(C50,Штаб!$B$16:$C$104,2)</f>
        <v>0</v>
      </c>
      <c r="BK50" s="9">
        <f>VLOOKUP(C50,'РО - регионы'!$B$16:$C$104,2)</f>
        <v>2</v>
      </c>
      <c r="BL50" s="9">
        <f>VLOOKUP(C50,'РО - регионы'!$B$16:$L$104,11)</f>
        <v>2</v>
      </c>
      <c r="BM50" s="9">
        <f>VLOOKUP(C50,Спецтехника!$B$16:$C$104,2)</f>
        <v>1</v>
      </c>
      <c r="BN50" s="9">
        <f>VLOOKUP($C50,МНО!$B$16:$AB$104,6,0)</f>
        <v>0</v>
      </c>
      <c r="BO50" s="9">
        <f>VLOOKUP($C50,МНО!$B$16:$AB$104,4,0)</f>
        <v>0</v>
      </c>
      <c r="BP50" s="9">
        <f>VLOOKUP($C50,МНО!$B$16:$AB$104,5,0)</f>
        <v>0</v>
      </c>
      <c r="BQ50" s="9">
        <f>VLOOKUP($C50,Контейнеры!$B$16:$G$104,6,0)</f>
        <v>0</v>
      </c>
      <c r="BR50" s="9">
        <f>VLOOKUP($C50,Контейнеры!$B$16:$G$104,4,0)</f>
        <v>0</v>
      </c>
      <c r="BS50" s="9">
        <f>VLOOKUP($C50,Контейнеры!$B$16:$G$104,5,0)</f>
        <v>0</v>
      </c>
      <c r="BT50" s="9">
        <f>VLOOKUP($C50,'ДК МНО'!$B$16:$C$104,2,0)</f>
        <v>2</v>
      </c>
      <c r="BU50" s="9">
        <f>VLOOKUP($C50,Обработка!$B$16:$F$104,5,0)</f>
        <v>1</v>
      </c>
      <c r="BV50" s="9">
        <f>VLOOKUP($C50,Обработка!$B$16:$F$104,4,0)</f>
        <v>0</v>
      </c>
      <c r="BW50" s="9">
        <f>VLOOKUP($C50,Утилизация!$B$16:$F$104,5,0)</f>
        <v>2</v>
      </c>
      <c r="BX50" s="9">
        <f>VLOOKUP($C50,Утилизация!$B$16:$F$104,4,0)</f>
        <v>1</v>
      </c>
      <c r="BY50" s="9">
        <f>VLOOKUP($C50,Захоронение!$B$16:$C$104,2,0)</f>
        <v>0</v>
      </c>
      <c r="BZ50" s="9">
        <f>VLOOKUP($C50,'ДК ИП'!$B$16:$C$104,2,0)</f>
        <v>0</v>
      </c>
      <c r="CA50" s="9">
        <f>VLOOKUP(C50,Радар!$B$16:$G$104,2,0)</f>
        <v>2</v>
      </c>
      <c r="CB50" s="9">
        <f>SUMPRODUCT(BJ50:BZ50,$BJ$5:$BZ$5)</f>
        <v>0.65</v>
      </c>
    </row>
    <row r="51" ht="15.75" spans="1:80">
      <c r="A51" s="6" t="s">
        <v>108</v>
      </c>
      <c r="B51" s="131">
        <f t="shared" si="6"/>
        <v>41</v>
      </c>
      <c r="C51" s="3" t="s">
        <v>123</v>
      </c>
      <c r="D51" s="133" t="str">
        <f>VLOOKUP($C51,Штаб!$B$16:$J$104,6,0)</f>
        <v/>
      </c>
      <c r="E51" s="134" t="str">
        <f>VLOOKUP($C51,Штаб!$B$16:$J$104,7,0)</f>
        <v/>
      </c>
      <c r="F51" s="134" t="str">
        <f>VLOOKUP($C51,Штаб!$B$16:$J$104,8,0)</f>
        <v/>
      </c>
      <c r="G51" s="135" t="str">
        <f>VLOOKUP($C51,Штаб!$B$16:$J$104,9,0)</f>
        <v>✔️</v>
      </c>
      <c r="H51" s="139" t="str">
        <f>VLOOKUP(C51,'РО - регионы'!$B$16:$I$104,8,0)</f>
        <v>0 / 0 / 1 из 1</v>
      </c>
      <c r="I51" s="169"/>
      <c r="J51" s="137"/>
      <c r="K51" s="170"/>
      <c r="L51" s="170"/>
      <c r="M51" s="171"/>
      <c r="N51" s="172">
        <f>VLOOKUP(C51,Спецтехника!$B$16:$J$104,4,0)</f>
        <v>631</v>
      </c>
      <c r="O51" s="173">
        <f>VLOOKUP(C51,Спецтехника!$B$16:$J$104,5,0)</f>
        <v>597</v>
      </c>
      <c r="P51" s="173">
        <f>VLOOKUP(C51,Спецтехника!$B$16:$J$104,6,0)</f>
        <v>34</v>
      </c>
      <c r="Q51" s="196">
        <f>VLOOKUP(C51,Спецтехника!$B$16:$J$104,7,0)</f>
        <v>0.0538827258320127</v>
      </c>
      <c r="R51" s="197"/>
      <c r="S51" s="137"/>
      <c r="T51" s="170"/>
      <c r="U51" s="170"/>
      <c r="V51" s="171"/>
      <c r="W51" s="172">
        <f>VLOOKUP($C51,МНО!$B$16:$AB$104,16,0)</f>
        <v>18031</v>
      </c>
      <c r="X51" s="173">
        <f>VLOOKUP($C51,МНО!$B$16:$AB$104,8,0)</f>
        <v>16196</v>
      </c>
      <c r="Y51" s="173">
        <f>VLOOKUP($C51,МНО!$B$16:$AB$104,11,0)</f>
        <v>1835</v>
      </c>
      <c r="Z51" s="216">
        <f>VLOOKUP($C51,МНО!$B$16:$AB$104,17,0)</f>
        <v>0.10176917530919</v>
      </c>
      <c r="AA51" s="213"/>
      <c r="AB51" s="214">
        <f>VLOOKUP($C51,МНО!$B$16:$AB$104,13,0)</f>
        <v>3.61315087978915</v>
      </c>
      <c r="AC51" s="215">
        <f>VLOOKUP($C51,МНО!$B$16:$AB$104,18,0)</f>
        <v>1</v>
      </c>
      <c r="AD51" s="172">
        <f>VLOOKUP($C51,Контейнеры!$B$16:$AB$104,16,0)</f>
        <v>42807</v>
      </c>
      <c r="AE51" s="173">
        <f>VLOOKUP($C51,Контейнеры!$B$16:$AB$104,8,0)</f>
        <v>38649</v>
      </c>
      <c r="AF51" s="173">
        <f>VLOOKUP($C51,Контейнеры!$B$16:$AB$104,11,0)</f>
        <v>4158</v>
      </c>
      <c r="AG51" s="216">
        <f>VLOOKUP($C51,Контейнеры!$B$16:$AB$104,17,0)</f>
        <v>0.0971336463662485</v>
      </c>
      <c r="AH51" s="213"/>
      <c r="AI51" s="214">
        <f>VLOOKUP($C51,Контейнеры!$B$16:$AB$104,13,0)</f>
        <v>13.8550122386121</v>
      </c>
      <c r="AJ51" s="215">
        <f>VLOOKUP($C51,Контейнеры!$B$16:$AB$104,18,0)</f>
        <v>1</v>
      </c>
      <c r="AK51" s="231"/>
      <c r="AL51" s="170"/>
      <c r="AM51" s="170"/>
      <c r="AN51" s="232"/>
      <c r="AO51" s="249">
        <f>VLOOKUP($C51,Обработка!$B$16:$L$104,6,0)</f>
        <v>0.096</v>
      </c>
      <c r="AP51" s="250">
        <f t="shared" si="7"/>
        <v>-0.447</v>
      </c>
      <c r="AQ51" s="259">
        <f>VLOOKUP($C51,Обработка!$B$16:$L$104,7,0)</f>
        <v>0.8</v>
      </c>
      <c r="AR51" s="262">
        <f t="shared" si="8"/>
        <v>-0.00700000000000001</v>
      </c>
      <c r="AS51" s="253">
        <f>VLOOKUP($C51,Утилизация!$B$16:$L$104,6,0)</f>
        <v>0.024</v>
      </c>
      <c r="AT51" s="251">
        <f t="shared" si="9"/>
        <v>-0.115</v>
      </c>
      <c r="AU51" s="250">
        <f>VLOOKUP($C51,Утилизация!$B$16:$L$104,7,0)</f>
        <v>0.432</v>
      </c>
      <c r="AV51" s="256">
        <f t="shared" si="10"/>
        <v>0.146</v>
      </c>
      <c r="AW51" s="279" t="str">
        <f>VLOOKUP(C51,Захоронение!$B$16:$Q$104,16,0)</f>
        <v>765 приказ</v>
      </c>
      <c r="AX51" s="231"/>
      <c r="AY51" s="170"/>
      <c r="AZ51" s="170"/>
      <c r="BA51" s="171"/>
      <c r="BB51" s="280" t="str">
        <f>VLOOKUP(C51,'ДК ИП'!$B$16:$S$104,5,0)</f>
        <v>небольшое</v>
      </c>
      <c r="BC51" s="285">
        <f>VLOOKUP(C51,Радар!$B$16:$G$104,6,0)</f>
        <v>0.0326219595258273</v>
      </c>
      <c r="BD51" s="171"/>
      <c r="BF51" s="290">
        <f t="shared" si="11"/>
        <v>1.08333333333333</v>
      </c>
      <c r="BI51" s="9">
        <f t="shared" si="12"/>
        <v>1</v>
      </c>
      <c r="BJ51" s="9">
        <f>VLOOKUP(C51,Штаб!$B$16:$C$104,2)</f>
        <v>2</v>
      </c>
      <c r="BK51" s="9">
        <f>VLOOKUP(C51,'РО - регионы'!$B$16:$C$104,2)</f>
        <v>0</v>
      </c>
      <c r="BL51" s="9">
        <f>VLOOKUP(C51,'РО - регионы'!$B$16:$L$104,11)</f>
        <v>0</v>
      </c>
      <c r="BM51" s="9">
        <f>VLOOKUP(C51,Спецтехника!$B$16:$C$104,2)</f>
        <v>0</v>
      </c>
      <c r="BN51" s="9">
        <f>VLOOKUP($C51,МНО!$B$16:$AB$104,6,0)</f>
        <v>0</v>
      </c>
      <c r="BO51" s="9">
        <f>VLOOKUP($C51,МНО!$B$16:$AB$104,4,0)</f>
        <v>1</v>
      </c>
      <c r="BP51" s="9">
        <f>VLOOKUP($C51,МНО!$B$16:$AB$104,5,0)</f>
        <v>0</v>
      </c>
      <c r="BQ51" s="9">
        <f>VLOOKUP($C51,Контейнеры!$B$16:$G$104,6,0)</f>
        <v>0</v>
      </c>
      <c r="BR51" s="9">
        <f>VLOOKUP($C51,Контейнеры!$B$16:$G$104,4,0)</f>
        <v>0</v>
      </c>
      <c r="BS51" s="9">
        <f>VLOOKUP($C51,Контейнеры!$B$16:$G$104,5,0)</f>
        <v>0</v>
      </c>
      <c r="BT51" s="9">
        <f>VLOOKUP($C51,'ДК МНО'!$B$16:$C$104,2,0)</f>
        <v>2</v>
      </c>
      <c r="BU51" s="9">
        <f>VLOOKUP($C51,Обработка!$B$16:$F$104,5,0)</f>
        <v>1</v>
      </c>
      <c r="BV51" s="9">
        <f>VLOOKUP($C51,Обработка!$B$16:$F$104,4,0)</f>
        <v>2</v>
      </c>
      <c r="BW51" s="9">
        <f>VLOOKUP($C51,Утилизация!$B$16:$F$104,5,0)</f>
        <v>0</v>
      </c>
      <c r="BX51" s="9">
        <f>VLOOKUP($C51,Утилизация!$B$16:$F$104,4,0)</f>
        <v>2</v>
      </c>
      <c r="BY51" s="9">
        <f>VLOOKUP($C51,Захоронение!$B$16:$C$104,2,0)</f>
        <v>2</v>
      </c>
      <c r="BZ51" s="9">
        <f>VLOOKUP($C51,'ДК ИП'!$B$16:$C$104,2,0)</f>
        <v>0</v>
      </c>
      <c r="CA51" s="9">
        <f>VLOOKUP(C51,Радар!$B$16:$G$104,2,0)</f>
        <v>0</v>
      </c>
      <c r="CB51" s="9">
        <f>SUMPRODUCT(BJ51:BZ51,$BJ$5:$BZ$5)</f>
        <v>0.8</v>
      </c>
    </row>
    <row r="52" ht="15.75" spans="1:80">
      <c r="A52" s="6" t="s">
        <v>108</v>
      </c>
      <c r="B52" s="137">
        <f t="shared" si="6"/>
        <v>42</v>
      </c>
      <c r="C52" s="3" t="s">
        <v>139</v>
      </c>
      <c r="D52" s="133" t="str">
        <f>VLOOKUP($C52,Штаб!$B$16:$J$104,6,0)</f>
        <v>✔️</v>
      </c>
      <c r="E52" s="134" t="str">
        <f>VLOOKUP($C52,Штаб!$B$16:$J$104,7,0)</f>
        <v/>
      </c>
      <c r="F52" s="134" t="str">
        <f>VLOOKUP($C52,Штаб!$B$16:$J$104,8,0)</f>
        <v/>
      </c>
      <c r="G52" s="135" t="str">
        <f>VLOOKUP($C52,Штаб!$B$16:$J$104,9,0)</f>
        <v/>
      </c>
      <c r="H52" s="138" t="str">
        <f>VLOOKUP(C52,'РО - регионы'!$B$16:$I$104,8,0)</f>
        <v>0 / 1 / 0 из 1</v>
      </c>
      <c r="I52" s="169"/>
      <c r="J52" s="137"/>
      <c r="K52" s="170"/>
      <c r="L52" s="170"/>
      <c r="M52" s="171"/>
      <c r="N52" s="172">
        <f>VLOOKUP(C52,Спецтехника!$B$16:$J$104,4,0)</f>
        <v>191</v>
      </c>
      <c r="O52" s="173">
        <f>VLOOKUP(C52,Спецтехника!$B$16:$J$104,5,0)</f>
        <v>191</v>
      </c>
      <c r="P52" s="173">
        <f>VLOOKUP(C52,Спецтехника!$B$16:$J$104,6,0)</f>
        <v>0</v>
      </c>
      <c r="Q52" s="196">
        <f>VLOOKUP(C52,Спецтехника!$B$16:$J$104,7,0)</f>
        <v>0</v>
      </c>
      <c r="R52" s="197"/>
      <c r="S52" s="137"/>
      <c r="T52" s="170"/>
      <c r="U52" s="170"/>
      <c r="V52" s="171"/>
      <c r="W52" s="172">
        <f>VLOOKUP($C52,МНО!$B$16:$AB$104,16,0)</f>
        <v>21898</v>
      </c>
      <c r="X52" s="173">
        <f>VLOOKUP($C52,МНО!$B$16:$AB$104,8,0)</f>
        <v>19250</v>
      </c>
      <c r="Y52" s="173">
        <f>VLOOKUP($C52,МНО!$B$16:$AB$104,11,0)</f>
        <v>2648</v>
      </c>
      <c r="Z52" s="216">
        <f>VLOOKUP($C52,МНО!$B$16:$AB$104,17,0)</f>
        <v>0.120924285322861</v>
      </c>
      <c r="AA52" s="213"/>
      <c r="AB52" s="214">
        <f>VLOOKUP($C52,МНО!$B$16:$AB$104,13,0)</f>
        <v>10.0451407051234</v>
      </c>
      <c r="AC52" s="215">
        <f>VLOOKUP($C52,МНО!$B$16:$AB$104,18,0)</f>
        <v>1</v>
      </c>
      <c r="AD52" s="172">
        <f>VLOOKUP($C52,Контейнеры!$B$16:$AB$104,16,0)</f>
        <v>42882</v>
      </c>
      <c r="AE52" s="173">
        <f>VLOOKUP($C52,Контейнеры!$B$16:$AB$104,8,0)</f>
        <v>38248</v>
      </c>
      <c r="AF52" s="173">
        <f>VLOOKUP($C52,Контейнеры!$B$16:$AB$104,11,0)</f>
        <v>4634</v>
      </c>
      <c r="AG52" s="216">
        <f>VLOOKUP($C52,Контейнеры!$B$16:$AB$104,17,0)</f>
        <v>0.108063989552726</v>
      </c>
      <c r="AH52" s="213"/>
      <c r="AI52" s="214">
        <f>VLOOKUP($C52,Контейнеры!$B$16:$AB$104,13,0)</f>
        <v>21.0374276783421</v>
      </c>
      <c r="AJ52" s="215">
        <f>VLOOKUP($C52,Контейнеры!$B$16:$AB$104,18,0)</f>
        <v>0.987121583606473</v>
      </c>
      <c r="AK52" s="231"/>
      <c r="AL52" s="170"/>
      <c r="AM52" s="170"/>
      <c r="AN52" s="232"/>
      <c r="AO52" s="261">
        <f>VLOOKUP($C52,Обработка!$B$16:$L$104,6,0)</f>
        <v>0.467</v>
      </c>
      <c r="AP52" s="250">
        <f t="shared" si="7"/>
        <v>-0.076</v>
      </c>
      <c r="AQ52" s="250">
        <f>VLOOKUP($C52,Обработка!$B$16:$L$104,7,0)</f>
        <v>1</v>
      </c>
      <c r="AR52" s="255">
        <f t="shared" si="8"/>
        <v>0.193</v>
      </c>
      <c r="AS52" s="253">
        <f>VLOOKUP($C52,Утилизация!$B$16:$L$104,6,0)</f>
        <v>0.019</v>
      </c>
      <c r="AT52" s="251">
        <f t="shared" si="9"/>
        <v>-0.12</v>
      </c>
      <c r="AU52" s="250">
        <f>VLOOKUP($C52,Утилизация!$B$16:$L$104,7,0)</f>
        <v>0.309</v>
      </c>
      <c r="AV52" s="256">
        <f t="shared" si="10"/>
        <v>0.023</v>
      </c>
      <c r="AW52" s="279" t="str">
        <f>VLOOKUP(C52,Захоронение!$B$16:$Q$104,16,0)</f>
        <v>765 приказ</v>
      </c>
      <c r="AX52" s="231"/>
      <c r="AY52" s="170"/>
      <c r="AZ52" s="170"/>
      <c r="BA52" s="171"/>
      <c r="BB52" s="280" t="str">
        <f>VLOOKUP(C52,'ДК ИП'!$B$16:$S$104,5,0)</f>
        <v>существенное</v>
      </c>
      <c r="BC52" s="281">
        <f>VLOOKUP(C52,Радар!$B$16:$G$104,6,0)</f>
        <v>0.166108114381388</v>
      </c>
      <c r="BD52" s="171"/>
      <c r="BF52" s="290">
        <f t="shared" si="11"/>
        <v>1.08333333333333</v>
      </c>
      <c r="BI52" s="9">
        <f t="shared" si="12"/>
        <v>1</v>
      </c>
      <c r="BJ52" s="9">
        <f>VLOOKUP(C52,Штаб!$B$16:$C$104,2)</f>
        <v>0</v>
      </c>
      <c r="BK52" s="9">
        <f>VLOOKUP(C52,'РО - регионы'!$B$16:$C$104,2)</f>
        <v>1</v>
      </c>
      <c r="BL52" s="9">
        <f>VLOOKUP(C52,'РО - регионы'!$B$16:$L$104,11)</f>
        <v>0</v>
      </c>
      <c r="BM52" s="9">
        <f>VLOOKUP(C52,Спецтехника!$B$16:$C$104,2)</f>
        <v>0</v>
      </c>
      <c r="BN52" s="9">
        <f>VLOOKUP($C52,МНО!$B$16:$AB$104,6,0)</f>
        <v>0</v>
      </c>
      <c r="BO52" s="9">
        <f>VLOOKUP($C52,МНО!$B$16:$AB$104,4,0)</f>
        <v>0</v>
      </c>
      <c r="BP52" s="9">
        <f>VLOOKUP($C52,МНО!$B$16:$AB$104,5,0)</f>
        <v>0</v>
      </c>
      <c r="BQ52" s="9">
        <f>VLOOKUP($C52,Контейнеры!$B$16:$G$104,6,0)</f>
        <v>0</v>
      </c>
      <c r="BR52" s="9">
        <f>VLOOKUP($C52,Контейнеры!$B$16:$G$104,4,0)</f>
        <v>0</v>
      </c>
      <c r="BS52" s="9">
        <f>VLOOKUP($C52,Контейнеры!$B$16:$G$104,5,0)</f>
        <v>0</v>
      </c>
      <c r="BT52" s="9">
        <f>VLOOKUP($C52,'ДК МНО'!$B$16:$C$104,2,0)</f>
        <v>2</v>
      </c>
      <c r="BU52" s="9">
        <f>VLOOKUP($C52,Обработка!$B$16:$F$104,5,0)</f>
        <v>0</v>
      </c>
      <c r="BV52" s="9">
        <f>VLOOKUP($C52,Обработка!$B$16:$F$104,4,0)</f>
        <v>1</v>
      </c>
      <c r="BW52" s="9">
        <f>VLOOKUP($C52,Утилизация!$B$16:$F$104,5,0)</f>
        <v>0</v>
      </c>
      <c r="BX52" s="9">
        <f>VLOOKUP($C52,Утилизация!$B$16:$F$104,4,0)</f>
        <v>2</v>
      </c>
      <c r="BY52" s="9">
        <f>VLOOKUP($C52,Захоронение!$B$16:$C$104,2,0)</f>
        <v>2</v>
      </c>
      <c r="BZ52" s="9">
        <f>VLOOKUP($C52,'ДК ИП'!$B$16:$C$104,2,0)</f>
        <v>2</v>
      </c>
      <c r="CA52" s="9">
        <f>VLOOKUP(C52,Радар!$B$16:$G$104,2,0)</f>
        <v>2</v>
      </c>
      <c r="CB52" s="9">
        <f>SUMPRODUCT(BJ52:BZ52,$BJ$5:$BZ$5)</f>
        <v>1.05</v>
      </c>
    </row>
    <row r="53" ht="15.75" spans="1:80">
      <c r="A53" s="6" t="s">
        <v>74</v>
      </c>
      <c r="B53" s="131">
        <f t="shared" si="6"/>
        <v>43</v>
      </c>
      <c r="C53" s="3" t="s">
        <v>94</v>
      </c>
      <c r="D53" s="133" t="str">
        <f>VLOOKUP($C53,Штаб!$B$16:$J$104,6,0)</f>
        <v/>
      </c>
      <c r="E53" s="134" t="str">
        <f>VLOOKUP($C53,Штаб!$B$16:$J$104,7,0)</f>
        <v/>
      </c>
      <c r="F53" s="134" t="str">
        <f>VLOOKUP($C53,Штаб!$B$16:$J$104,8,0)</f>
        <v>✔️</v>
      </c>
      <c r="G53" s="135" t="str">
        <f>VLOOKUP($C53,Штаб!$B$16:$J$104,9,0)</f>
        <v/>
      </c>
      <c r="H53" s="139" t="str">
        <f>VLOOKUP(C53,'РО - регионы'!$B$16:$I$104,8,0)</f>
        <v>0 / 0 / 1 из 1</v>
      </c>
      <c r="I53" s="169"/>
      <c r="J53" s="137"/>
      <c r="K53" s="170"/>
      <c r="L53" s="170"/>
      <c r="M53" s="171"/>
      <c r="N53" s="172">
        <f>VLOOKUP(C53,Спецтехника!$B$16:$J$104,4,0)</f>
        <v>202</v>
      </c>
      <c r="O53" s="173">
        <f>VLOOKUP(C53,Спецтехника!$B$16:$J$104,5,0)</f>
        <v>202</v>
      </c>
      <c r="P53" s="173">
        <f>VLOOKUP(C53,Спецтехника!$B$16:$J$104,6,0)</f>
        <v>0</v>
      </c>
      <c r="Q53" s="196">
        <f>VLOOKUP(C53,Спецтехника!$B$16:$J$104,7,0)</f>
        <v>0</v>
      </c>
      <c r="R53" s="197"/>
      <c r="S53" s="137"/>
      <c r="T53" s="170"/>
      <c r="U53" s="170"/>
      <c r="V53" s="171"/>
      <c r="W53" s="174">
        <f>VLOOKUP($C53,МНО!$B$16:$AB$104,16,0)</f>
        <v>16230</v>
      </c>
      <c r="X53" s="175">
        <f>VLOOKUP($C53,МНО!$B$16:$AB$104,8,0)</f>
        <v>12551</v>
      </c>
      <c r="Y53" s="175">
        <f>VLOOKUP($C53,МНО!$B$16:$AB$104,11,0)</f>
        <v>3679</v>
      </c>
      <c r="Z53" s="212">
        <f>VLOOKUP($C53,МНО!$B$16:$AB$104,17,0)</f>
        <v>0.22667898952557</v>
      </c>
      <c r="AA53" s="213"/>
      <c r="AB53" s="214">
        <f>VLOOKUP($C53,МНО!$B$16:$AB$104,13,0)</f>
        <v>6.65898889676352</v>
      </c>
      <c r="AC53" s="215">
        <f>VLOOKUP($C53,МНО!$B$16:$AB$104,18,0)</f>
        <v>1</v>
      </c>
      <c r="AD53" s="174">
        <f>VLOOKUP($C53,Контейнеры!$B$16:$AB$104,16,0)</f>
        <v>35675</v>
      </c>
      <c r="AE53" s="175">
        <f>VLOOKUP($C53,Контейнеры!$B$16:$AB$104,8,0)</f>
        <v>29484</v>
      </c>
      <c r="AF53" s="175">
        <f>VLOOKUP($C53,Контейнеры!$B$16:$AB$104,11,0)</f>
        <v>6191</v>
      </c>
      <c r="AG53" s="212">
        <f>VLOOKUP($C53,Контейнеры!$B$16:$AB$104,17,0)</f>
        <v>0.17353889278206</v>
      </c>
      <c r="AH53" s="213"/>
      <c r="AI53" s="214">
        <f>VLOOKUP($C53,Контейнеры!$B$16:$AB$104,13,0)</f>
        <v>16.1233167965982</v>
      </c>
      <c r="AJ53" s="215">
        <f>VLOOKUP($C53,Контейнеры!$B$16:$AB$104,18,0)</f>
        <v>1</v>
      </c>
      <c r="AK53" s="231"/>
      <c r="AL53" s="170"/>
      <c r="AM53" s="170"/>
      <c r="AN53" s="232"/>
      <c r="AO53" s="257">
        <f>VLOOKUP($C53,Обработка!$B$16:$L$104,6,0)</f>
        <v>0.685</v>
      </c>
      <c r="AP53" s="250">
        <f t="shared" si="7"/>
        <v>0.142</v>
      </c>
      <c r="AQ53" s="259">
        <f>VLOOKUP($C53,Обработка!$B$16:$L$104,7,0)</f>
        <v>0.6</v>
      </c>
      <c r="AR53" s="262">
        <f t="shared" si="8"/>
        <v>-0.207</v>
      </c>
      <c r="AS53" s="253">
        <f>VLOOKUP($C53,Утилизация!$B$16:$L$104,6,0)</f>
        <v>0.022</v>
      </c>
      <c r="AT53" s="251">
        <f t="shared" si="9"/>
        <v>-0.117</v>
      </c>
      <c r="AU53" s="259">
        <f>VLOOKUP($C53,Утилизация!$B$16:$L$104,7,0)</f>
        <v>0.28</v>
      </c>
      <c r="AV53" s="260">
        <f t="shared" si="10"/>
        <v>-0.00599999999999995</v>
      </c>
      <c r="AW53" s="284" t="str">
        <f>VLOOKUP(C53,Захоронение!$B$16:$Q$104,16,0)</f>
        <v/>
      </c>
      <c r="AX53" s="231"/>
      <c r="AY53" s="170"/>
      <c r="AZ53" s="170"/>
      <c r="BA53" s="171"/>
      <c r="BB53" s="280" t="str">
        <f>VLOOKUP(C53,'ДК ИП'!$B$16:$S$104,5,0)</f>
        <v>среднее</v>
      </c>
      <c r="BC53" s="282">
        <f>VLOOKUP(C53,Радар!$B$16:$G$104,6,0)</f>
        <v>0.1099167913484</v>
      </c>
      <c r="BD53" s="171"/>
      <c r="BF53" s="292">
        <f t="shared" si="11"/>
        <v>0.416666666666667</v>
      </c>
      <c r="BI53" s="9">
        <f t="shared" si="12"/>
        <v>0</v>
      </c>
      <c r="BJ53" s="9">
        <f>VLOOKUP(C53,Штаб!$B$16:$C$104,2)</f>
        <v>1</v>
      </c>
      <c r="BK53" s="9">
        <f>VLOOKUP(C53,'РО - регионы'!$B$16:$C$104,2)</f>
        <v>0</v>
      </c>
      <c r="BL53" s="9">
        <f>VLOOKUP(C53,'РО - регионы'!$B$16:$L$104,11)</f>
        <v>0</v>
      </c>
      <c r="BM53" s="9">
        <f>VLOOKUP(C53,Спецтехника!$B$16:$C$104,2)</f>
        <v>0</v>
      </c>
      <c r="BN53" s="9">
        <f>VLOOKUP($C53,МНО!$B$16:$AB$104,6,0)</f>
        <v>1</v>
      </c>
      <c r="BO53" s="9">
        <f>VLOOKUP($C53,МНО!$B$16:$AB$104,4,0)</f>
        <v>0</v>
      </c>
      <c r="BP53" s="9">
        <f>VLOOKUP($C53,МНО!$B$16:$AB$104,5,0)</f>
        <v>0</v>
      </c>
      <c r="BQ53" s="9">
        <f>VLOOKUP($C53,Контейнеры!$B$16:$G$104,6,0)</f>
        <v>1</v>
      </c>
      <c r="BR53" s="9">
        <f>VLOOKUP($C53,Контейнеры!$B$16:$G$104,4,0)</f>
        <v>0</v>
      </c>
      <c r="BS53" s="9">
        <f>VLOOKUP($C53,Контейнеры!$B$16:$G$104,5,0)</f>
        <v>0</v>
      </c>
      <c r="BT53" s="9">
        <f>VLOOKUP($C53,'ДК МНО'!$B$16:$C$104,2,0)</f>
        <v>2</v>
      </c>
      <c r="BU53" s="9">
        <f>VLOOKUP($C53,Обработка!$B$16:$F$104,5,0)</f>
        <v>1</v>
      </c>
      <c r="BV53" s="9">
        <f>VLOOKUP($C53,Обработка!$B$16:$F$104,4,0)</f>
        <v>0</v>
      </c>
      <c r="BW53" s="9">
        <f>VLOOKUP($C53,Утилизация!$B$16:$F$104,5,0)</f>
        <v>1</v>
      </c>
      <c r="BX53" s="9">
        <f>VLOOKUP($C53,Утилизация!$B$16:$F$104,4,0)</f>
        <v>2</v>
      </c>
      <c r="BY53" s="9">
        <f>VLOOKUP($C53,Захоронение!$B$16:$C$104,2,0)</f>
        <v>0</v>
      </c>
      <c r="BZ53" s="9">
        <f>VLOOKUP($C53,'ДК ИП'!$B$16:$C$104,2,0)</f>
        <v>1</v>
      </c>
      <c r="CA53" s="9">
        <f>VLOOKUP(C53,Радар!$B$16:$G$104,2,0)</f>
        <v>1</v>
      </c>
      <c r="CB53" s="9">
        <f>SUMPRODUCT(BJ53:BZ53,$BJ$5:$BZ$5)</f>
        <v>0.4</v>
      </c>
    </row>
    <row r="54" ht="15.75" spans="1:80">
      <c r="A54" s="6" t="s">
        <v>67</v>
      </c>
      <c r="B54" s="137">
        <f t="shared" si="6"/>
        <v>44</v>
      </c>
      <c r="C54" s="3" t="s">
        <v>111</v>
      </c>
      <c r="D54" s="133" t="str">
        <f>VLOOKUP($C54,Штаб!$B$16:$J$104,6,0)</f>
        <v>✔️</v>
      </c>
      <c r="E54" s="134" t="str">
        <f>VLOOKUP($C54,Штаб!$B$16:$J$104,7,0)</f>
        <v/>
      </c>
      <c r="F54" s="134" t="str">
        <f>VLOOKUP($C54,Штаб!$B$16:$J$104,8,0)</f>
        <v/>
      </c>
      <c r="G54" s="135" t="str">
        <f>VLOOKUP($C54,Штаб!$B$16:$J$104,9,0)</f>
        <v/>
      </c>
      <c r="H54" s="139" t="str">
        <f>VLOOKUP(C54,'РО - регионы'!$B$16:$I$104,8,0)</f>
        <v>0 / 0 / 1 из 1</v>
      </c>
      <c r="I54" s="169"/>
      <c r="J54" s="137"/>
      <c r="K54" s="170"/>
      <c r="L54" s="170"/>
      <c r="M54" s="171"/>
      <c r="N54" s="172">
        <f>VLOOKUP(C54,Спецтехника!$B$16:$J$104,4,0)</f>
        <v>78</v>
      </c>
      <c r="O54" s="173">
        <f>VLOOKUP(C54,Спецтехника!$B$16:$J$104,5,0)</f>
        <v>78</v>
      </c>
      <c r="P54" s="173">
        <f>VLOOKUP(C54,Спецтехника!$B$16:$J$104,6,0)</f>
        <v>0</v>
      </c>
      <c r="Q54" s="196">
        <f>VLOOKUP(C54,Спецтехника!$B$16:$J$104,7,0)</f>
        <v>0</v>
      </c>
      <c r="R54" s="197"/>
      <c r="S54" s="137"/>
      <c r="T54" s="170"/>
      <c r="U54" s="170"/>
      <c r="V54" s="171"/>
      <c r="W54" s="174">
        <f>VLOOKUP($C54,МНО!$B$16:$AB$104,16,0)</f>
        <v>12095</v>
      </c>
      <c r="X54" s="175">
        <f>VLOOKUP($C54,МНО!$B$16:$AB$104,8,0)</f>
        <v>9385</v>
      </c>
      <c r="Y54" s="175">
        <f>VLOOKUP($C54,МНО!$B$16:$AB$104,11,0)</f>
        <v>2710</v>
      </c>
      <c r="Z54" s="212">
        <f>VLOOKUP($C54,МНО!$B$16:$AB$104,17,0)</f>
        <v>0.224059528730881</v>
      </c>
      <c r="AA54" s="213"/>
      <c r="AB54" s="214">
        <f>VLOOKUP($C54,МНО!$B$16:$AB$104,13,0)</f>
        <v>12.170643161017</v>
      </c>
      <c r="AC54" s="215">
        <f>VLOOKUP($C54,МНО!$B$16:$AB$104,18,0)</f>
        <v>1</v>
      </c>
      <c r="AD54" s="172">
        <f>VLOOKUP($C54,Контейнеры!$B$16:$AB$104,16,0)</f>
        <v>19592</v>
      </c>
      <c r="AE54" s="173">
        <f>VLOOKUP($C54,Контейнеры!$B$16:$AB$104,8,0)</f>
        <v>19433</v>
      </c>
      <c r="AF54" s="173">
        <f>VLOOKUP($C54,Контейнеры!$B$16:$AB$104,11,0)</f>
        <v>159</v>
      </c>
      <c r="AG54" s="216">
        <f>VLOOKUP($C54,Контейнеры!$B$16:$AB$104,17,0)</f>
        <v>0.00811555737035525</v>
      </c>
      <c r="AH54" s="213"/>
      <c r="AI54" s="214">
        <f>VLOOKUP($C54,Контейнеры!$B$16:$AB$104,13,0)</f>
        <v>28.0626611945945</v>
      </c>
      <c r="AJ54" s="215">
        <f>VLOOKUP($C54,Контейнеры!$B$16:$AB$104,18,0)</f>
        <v>1</v>
      </c>
      <c r="AK54" s="231"/>
      <c r="AL54" s="170"/>
      <c r="AM54" s="170"/>
      <c r="AN54" s="232"/>
      <c r="AO54" s="257">
        <f>VLOOKUP($C54,Обработка!$B$16:$L$104,6,0)</f>
        <v>0.626</v>
      </c>
      <c r="AP54" s="250">
        <f t="shared" si="7"/>
        <v>0.083</v>
      </c>
      <c r="AQ54" s="250">
        <f>VLOOKUP($C54,Обработка!$B$16:$L$104,7,0)</f>
        <v>0.819</v>
      </c>
      <c r="AR54" s="255">
        <f t="shared" si="8"/>
        <v>0.012</v>
      </c>
      <c r="AS54" s="263">
        <f>VLOOKUP($C54,Утилизация!$B$16:$L$104,6,0)</f>
        <v>0.218</v>
      </c>
      <c r="AT54" s="250">
        <f t="shared" si="9"/>
        <v>0.079</v>
      </c>
      <c r="AU54" s="251">
        <f>VLOOKUP($C54,Утилизация!$B$16:$L$104,7,0)</f>
        <v>0.105</v>
      </c>
      <c r="AV54" s="254">
        <f t="shared" si="10"/>
        <v>-0.181</v>
      </c>
      <c r="AW54" s="283" t="str">
        <f>VLOOKUP(C54,Захоронение!$B$16:$Q$104,16,0)</f>
        <v>перегруз</v>
      </c>
      <c r="AX54" s="231"/>
      <c r="AY54" s="170"/>
      <c r="AZ54" s="170"/>
      <c r="BA54" s="171"/>
      <c r="BB54" s="280" t="str">
        <f>VLOOKUP(C54,'ДК ИП'!$B$16:$S$104,5,0)</f>
        <v>существенное</v>
      </c>
      <c r="BC54" s="281">
        <f>VLOOKUP(C54,Радар!$B$16:$G$104,6,0)</f>
        <v>0.108305438665908</v>
      </c>
      <c r="BD54" s="171"/>
      <c r="BF54" s="291">
        <f t="shared" si="11"/>
        <v>0.666666666666667</v>
      </c>
      <c r="BI54" s="9">
        <f t="shared" si="12"/>
        <v>0</v>
      </c>
      <c r="BJ54" s="9">
        <f>VLOOKUP(C54,Штаб!$B$16:$C$104,2)</f>
        <v>0</v>
      </c>
      <c r="BK54" s="9">
        <f>VLOOKUP(C54,'РО - регионы'!$B$16:$C$104,2)</f>
        <v>0</v>
      </c>
      <c r="BL54" s="9">
        <f>VLOOKUP(C54,'РО - регионы'!$B$16:$L$104,11)</f>
        <v>0</v>
      </c>
      <c r="BM54" s="9">
        <f>VLOOKUP(C54,Спецтехника!$B$16:$C$104,2)</f>
        <v>0</v>
      </c>
      <c r="BN54" s="9">
        <f>VLOOKUP($C54,МНО!$B$16:$AB$104,6,0)</f>
        <v>1</v>
      </c>
      <c r="BO54" s="9">
        <f>VLOOKUP($C54,МНО!$B$16:$AB$104,4,0)</f>
        <v>0</v>
      </c>
      <c r="BP54" s="9">
        <f>VLOOKUP($C54,МНО!$B$16:$AB$104,5,0)</f>
        <v>0</v>
      </c>
      <c r="BQ54" s="9">
        <f>VLOOKUP($C54,Контейнеры!$B$16:$G$104,6,0)</f>
        <v>0</v>
      </c>
      <c r="BR54" s="9">
        <f>VLOOKUP($C54,Контейнеры!$B$16:$G$104,4,0)</f>
        <v>0</v>
      </c>
      <c r="BS54" s="9">
        <f>VLOOKUP($C54,Контейнеры!$B$16:$G$104,5,0)</f>
        <v>0</v>
      </c>
      <c r="BT54" s="9">
        <f>VLOOKUP($C54,'ДК МНО'!$B$16:$C$104,2,0)</f>
        <v>2</v>
      </c>
      <c r="BU54" s="9">
        <f>VLOOKUP($C54,Обработка!$B$16:$F$104,5,0)</f>
        <v>0</v>
      </c>
      <c r="BV54" s="9">
        <f>VLOOKUP($C54,Обработка!$B$16:$F$104,4,0)</f>
        <v>0</v>
      </c>
      <c r="BW54" s="9">
        <f>VLOOKUP($C54,Утилизация!$B$16:$F$104,5,0)</f>
        <v>2</v>
      </c>
      <c r="BX54" s="9">
        <f>VLOOKUP($C54,Утилизация!$B$16:$F$104,4,0)</f>
        <v>0</v>
      </c>
      <c r="BY54" s="9">
        <f>VLOOKUP($C54,Захоронение!$B$16:$C$104,2,0)</f>
        <v>1</v>
      </c>
      <c r="BZ54" s="9">
        <f>VLOOKUP($C54,'ДК ИП'!$B$16:$C$104,2,0)</f>
        <v>2</v>
      </c>
      <c r="CA54" s="9">
        <f>VLOOKUP(C54,Радар!$B$16:$G$104,2,0)</f>
        <v>2</v>
      </c>
      <c r="CB54" s="9">
        <f>SUMPRODUCT(BJ54:BZ54,$BJ$5:$BZ$5)</f>
        <v>0.6</v>
      </c>
    </row>
    <row r="55" ht="15.75" spans="1:80">
      <c r="A55" s="6" t="s">
        <v>74</v>
      </c>
      <c r="B55" s="131">
        <f t="shared" si="6"/>
        <v>45</v>
      </c>
      <c r="C55" s="3" t="s">
        <v>124</v>
      </c>
      <c r="D55" s="133" t="str">
        <f>VLOOKUP($C55,Штаб!$B$16:$J$104,6,0)</f>
        <v>✔️</v>
      </c>
      <c r="E55" s="134" t="str">
        <f>VLOOKUP($C55,Штаб!$B$16:$J$104,7,0)</f>
        <v/>
      </c>
      <c r="F55" s="134" t="str">
        <f>VLOOKUP($C55,Штаб!$B$16:$J$104,8,0)</f>
        <v/>
      </c>
      <c r="G55" s="135" t="str">
        <f>VLOOKUP($C55,Штаб!$B$16:$J$104,9,0)</f>
        <v/>
      </c>
      <c r="H55" s="139" t="str">
        <f>VLOOKUP(C55,'РО - регионы'!$B$16:$I$104,8,0)</f>
        <v>0 / 0 / 4 из 4</v>
      </c>
      <c r="I55" s="169"/>
      <c r="J55" s="137"/>
      <c r="K55" s="170"/>
      <c r="L55" s="170"/>
      <c r="M55" s="171"/>
      <c r="N55" s="172">
        <f>VLOOKUP(C55,Спецтехника!$B$16:$J$104,4,0)</f>
        <v>260</v>
      </c>
      <c r="O55" s="173">
        <f>VLOOKUP(C55,Спецтехника!$B$16:$J$104,5,0)</f>
        <v>239</v>
      </c>
      <c r="P55" s="173">
        <f>VLOOKUP(C55,Спецтехника!$B$16:$J$104,6,0)</f>
        <v>21</v>
      </c>
      <c r="Q55" s="196">
        <f>VLOOKUP(C55,Спецтехника!$B$16:$J$104,7,0)</f>
        <v>0.0807692307692308</v>
      </c>
      <c r="R55" s="197"/>
      <c r="S55" s="137"/>
      <c r="T55" s="170"/>
      <c r="U55" s="170"/>
      <c r="V55" s="171"/>
      <c r="W55" s="172">
        <f>VLOOKUP($C55,МНО!$B$16:$AB$104,16,0)</f>
        <v>11847</v>
      </c>
      <c r="X55" s="173">
        <f>VLOOKUP($C55,МНО!$B$16:$AB$104,8,0)</f>
        <v>11623</v>
      </c>
      <c r="Y55" s="173">
        <f>VLOOKUP($C55,МНО!$B$16:$AB$104,11,0)</f>
        <v>224</v>
      </c>
      <c r="Z55" s="216">
        <f>VLOOKUP($C55,МНО!$B$16:$AB$104,17,0)</f>
        <v>0.0189077403562083</v>
      </c>
      <c r="AA55" s="213"/>
      <c r="AB55" s="214">
        <f>VLOOKUP($C55,МНО!$B$16:$AB$104,13,0)</f>
        <v>7.20807887304801</v>
      </c>
      <c r="AC55" s="215">
        <f>VLOOKUP($C55,МНО!$B$16:$AB$104,18,0)</f>
        <v>1</v>
      </c>
      <c r="AD55" s="174">
        <f>VLOOKUP($C55,Контейнеры!$B$16:$AB$104,16,0)</f>
        <v>19932</v>
      </c>
      <c r="AE55" s="175">
        <f>VLOOKUP($C55,Контейнеры!$B$16:$AB$104,8,0)</f>
        <v>16381</v>
      </c>
      <c r="AF55" s="175">
        <f>VLOOKUP($C55,Контейнеры!$B$16:$AB$104,11,0)</f>
        <v>3551</v>
      </c>
      <c r="AG55" s="212">
        <f>VLOOKUP($C55,Контейнеры!$B$16:$AB$104,17,0)</f>
        <v>0.178155729480233</v>
      </c>
      <c r="AH55" s="213"/>
      <c r="AI55" s="214">
        <f>VLOOKUP($C55,Контейнеры!$B$16:$AB$104,13,0)</f>
        <v>13.2520246935353</v>
      </c>
      <c r="AJ55" s="215">
        <f>VLOOKUP($C55,Контейнеры!$B$16:$AB$104,18,0)</f>
        <v>0.857599078582273</v>
      </c>
      <c r="AK55" s="231"/>
      <c r="AL55" s="170"/>
      <c r="AM55" s="170"/>
      <c r="AN55" s="232"/>
      <c r="AO55" s="249">
        <f>VLOOKUP($C55,Обработка!$B$16:$L$104,6,0)</f>
        <v>0.184</v>
      </c>
      <c r="AP55" s="250">
        <f t="shared" si="7"/>
        <v>-0.359</v>
      </c>
      <c r="AQ55" s="251">
        <f>VLOOKUP($C55,Обработка!$B$16:$L$104,7,0)</f>
        <v>0.182</v>
      </c>
      <c r="AR55" s="252">
        <f t="shared" si="8"/>
        <v>-0.625</v>
      </c>
      <c r="AS55" s="253">
        <f>VLOOKUP($C55,Утилизация!$B$16:$L$104,6,0)</f>
        <v>0.016</v>
      </c>
      <c r="AT55" s="251">
        <f t="shared" si="9"/>
        <v>-0.123</v>
      </c>
      <c r="AU55" s="251">
        <f>VLOOKUP($C55,Утилизация!$B$16:$L$104,7,0)</f>
        <v>0.015</v>
      </c>
      <c r="AV55" s="254">
        <f t="shared" si="10"/>
        <v>-0.271</v>
      </c>
      <c r="AW55" s="283" t="str">
        <f>VLOOKUP(C55,Захоронение!$B$16:$Q$104,16,0)</f>
        <v>перегруз</v>
      </c>
      <c r="AX55" s="231"/>
      <c r="AY55" s="170"/>
      <c r="AZ55" s="170"/>
      <c r="BA55" s="171"/>
      <c r="BB55" s="280" t="str">
        <f>VLOOKUP(C55,'ДК ИП'!$B$16:$S$104,5,0)</f>
        <v>среднее</v>
      </c>
      <c r="BC55" s="285">
        <f>VLOOKUP(C55,Радар!$B$16:$G$104,6,0)</f>
        <v>0.0897976155901604</v>
      </c>
      <c r="BD55" s="171"/>
      <c r="BF55" s="290">
        <f t="shared" si="11"/>
        <v>1.08333333333333</v>
      </c>
      <c r="BI55" s="9">
        <f t="shared" si="12"/>
        <v>1</v>
      </c>
      <c r="BJ55" s="9">
        <f>VLOOKUP(C55,Штаб!$B$16:$C$104,2)</f>
        <v>0</v>
      </c>
      <c r="BK55" s="9">
        <f>VLOOKUP(C55,'РО - регионы'!$B$16:$C$104,2)</f>
        <v>0</v>
      </c>
      <c r="BL55" s="9">
        <f>VLOOKUP(C55,'РО - регионы'!$B$16:$L$104,11)</f>
        <v>0</v>
      </c>
      <c r="BM55" s="9">
        <f>VLOOKUP(C55,Спецтехника!$B$16:$C$104,2)</f>
        <v>0</v>
      </c>
      <c r="BN55" s="9">
        <f>VLOOKUP($C55,МНО!$B$16:$AB$104,6,0)</f>
        <v>0</v>
      </c>
      <c r="BO55" s="9">
        <f>VLOOKUP($C55,МНО!$B$16:$AB$104,4,0)</f>
        <v>0</v>
      </c>
      <c r="BP55" s="9">
        <f>VLOOKUP($C55,МНО!$B$16:$AB$104,5,0)</f>
        <v>0</v>
      </c>
      <c r="BQ55" s="9">
        <f>VLOOKUP($C55,Контейнеры!$B$16:$G$104,6,0)</f>
        <v>1</v>
      </c>
      <c r="BR55" s="9">
        <f>VLOOKUP($C55,Контейнеры!$B$16:$G$104,4,0)</f>
        <v>0</v>
      </c>
      <c r="BS55" s="9">
        <f>VLOOKUP($C55,Контейнеры!$B$16:$G$104,5,0)</f>
        <v>1</v>
      </c>
      <c r="BT55" s="9">
        <f>VLOOKUP($C55,'ДК МНО'!$B$16:$C$104,2,0)</f>
        <v>2</v>
      </c>
      <c r="BU55" s="9">
        <f>VLOOKUP($C55,Обработка!$B$16:$F$104,5,0)</f>
        <v>2</v>
      </c>
      <c r="BV55" s="9">
        <f>VLOOKUP($C55,Обработка!$B$16:$F$104,4,0)</f>
        <v>2</v>
      </c>
      <c r="BW55" s="9">
        <f>VLOOKUP($C55,Утилизация!$B$16:$F$104,5,0)</f>
        <v>2</v>
      </c>
      <c r="BX55" s="9">
        <f>VLOOKUP($C55,Утилизация!$B$16:$F$104,4,0)</f>
        <v>2</v>
      </c>
      <c r="BY55" s="9">
        <f>VLOOKUP($C55,Захоронение!$B$16:$C$104,2,0)</f>
        <v>1</v>
      </c>
      <c r="BZ55" s="9">
        <f>VLOOKUP($C55,'ДК ИП'!$B$16:$C$104,2,0)</f>
        <v>1</v>
      </c>
      <c r="CA55" s="9">
        <f>VLOOKUP(C55,Радар!$B$16:$G$104,2,0)</f>
        <v>0</v>
      </c>
      <c r="CB55" s="9">
        <f>SUMPRODUCT(BJ55:BZ55,$BJ$5:$BZ$5)</f>
        <v>0.8</v>
      </c>
    </row>
    <row r="56" ht="15.75" spans="1:80">
      <c r="A56" s="6" t="s">
        <v>74</v>
      </c>
      <c r="B56" s="137">
        <f t="shared" si="6"/>
        <v>46</v>
      </c>
      <c r="C56" s="3" t="s">
        <v>143</v>
      </c>
      <c r="D56" s="133" t="str">
        <f>VLOOKUP($C56,Штаб!$B$16:$J$104,6,0)</f>
        <v/>
      </c>
      <c r="E56" s="134" t="str">
        <f>VLOOKUP($C56,Штаб!$B$16:$J$104,7,0)</f>
        <v/>
      </c>
      <c r="F56" s="134" t="str">
        <f>VLOOKUP($C56,Штаб!$B$16:$J$104,8,0)</f>
        <v/>
      </c>
      <c r="G56" s="135" t="str">
        <f>VLOOKUP($C56,Штаб!$B$16:$J$104,9,0)</f>
        <v>✔️</v>
      </c>
      <c r="H56" s="139" t="str">
        <f>VLOOKUP(C56,'РО - регионы'!$B$16:$I$104,8,0)</f>
        <v>0 / 0 / 1 из 1</v>
      </c>
      <c r="I56" s="169"/>
      <c r="J56" s="137"/>
      <c r="K56" s="170"/>
      <c r="L56" s="170"/>
      <c r="M56" s="171"/>
      <c r="N56" s="172">
        <f>VLOOKUP(C56,Спецтехника!$B$16:$J$104,4,0)</f>
        <v>365</v>
      </c>
      <c r="O56" s="173">
        <f>VLOOKUP(C56,Спецтехника!$B$16:$J$104,5,0)</f>
        <v>354</v>
      </c>
      <c r="P56" s="173">
        <f>VLOOKUP(C56,Спецтехника!$B$16:$J$104,6,0)</f>
        <v>11</v>
      </c>
      <c r="Q56" s="196">
        <f>VLOOKUP(C56,Спецтехника!$B$16:$J$104,7,0)</f>
        <v>0.0301369863013699</v>
      </c>
      <c r="R56" s="197"/>
      <c r="S56" s="137"/>
      <c r="T56" s="170"/>
      <c r="U56" s="170"/>
      <c r="V56" s="171"/>
      <c r="W56" s="172">
        <f>VLOOKUP($C56,МНО!$B$16:$AB$104,16,0)</f>
        <v>23668</v>
      </c>
      <c r="X56" s="173">
        <f>VLOOKUP($C56,МНО!$B$16:$AB$104,8,0)</f>
        <v>19449</v>
      </c>
      <c r="Y56" s="173">
        <f>VLOOKUP($C56,МНО!$B$16:$AB$104,11,0)</f>
        <v>4219</v>
      </c>
      <c r="Z56" s="216">
        <f>VLOOKUP($C56,МНО!$B$16:$AB$104,17,0)</f>
        <v>0.1782575629542</v>
      </c>
      <c r="AA56" s="213"/>
      <c r="AB56" s="214">
        <f>VLOOKUP($C56,МНО!$B$16:$AB$104,13,0)</f>
        <v>7.16997706857706</v>
      </c>
      <c r="AC56" s="215">
        <f>VLOOKUP($C56,МНО!$B$16:$AB$104,18,0)</f>
        <v>1</v>
      </c>
      <c r="AD56" s="174">
        <f>VLOOKUP($C56,Контейнеры!$B$16:$AB$104,16,0)</f>
        <v>61976</v>
      </c>
      <c r="AE56" s="175">
        <f>VLOOKUP($C56,Контейнеры!$B$16:$AB$104,8,0)</f>
        <v>45020</v>
      </c>
      <c r="AF56" s="175">
        <f>VLOOKUP($C56,Контейнеры!$B$16:$AB$104,11,0)</f>
        <v>16956</v>
      </c>
      <c r="AG56" s="212">
        <f>VLOOKUP($C56,Контейнеры!$B$16:$AB$104,17,0)</f>
        <v>0.27358977668775</v>
      </c>
      <c r="AH56" s="213"/>
      <c r="AI56" s="214">
        <f>VLOOKUP($C56,Контейнеры!$B$16:$AB$104,13,0)</f>
        <v>18.0421646429679</v>
      </c>
      <c r="AJ56" s="215">
        <f>VLOOKUP($C56,Контейнеры!$B$16:$AB$104,18,0)</f>
        <v>1</v>
      </c>
      <c r="AK56" s="231"/>
      <c r="AL56" s="170"/>
      <c r="AM56" s="170"/>
      <c r="AN56" s="232"/>
      <c r="AO56" s="261">
        <f>VLOOKUP($C56,Обработка!$B$16:$L$104,6,0)</f>
        <v>0.311</v>
      </c>
      <c r="AP56" s="250">
        <f t="shared" si="7"/>
        <v>-0.232</v>
      </c>
      <c r="AQ56" s="259">
        <f>VLOOKUP($C56,Обработка!$B$16:$L$104,7,0)</f>
        <v>0.798</v>
      </c>
      <c r="AR56" s="262">
        <f t="shared" si="8"/>
        <v>-0.00900000000000012</v>
      </c>
      <c r="AS56" s="253">
        <f>VLOOKUP($C56,Утилизация!$B$16:$L$104,6,0)</f>
        <v>0.062</v>
      </c>
      <c r="AT56" s="251">
        <f t="shared" si="9"/>
        <v>-0.077</v>
      </c>
      <c r="AU56" s="251">
        <f>VLOOKUP($C56,Утилизация!$B$16:$L$104,7,0)</f>
        <v>0.105</v>
      </c>
      <c r="AV56" s="254">
        <f t="shared" si="10"/>
        <v>-0.181</v>
      </c>
      <c r="AW56" s="279" t="str">
        <f>VLOOKUP(C56,Захоронение!$B$16:$Q$104,16,0)</f>
        <v>765 приказ</v>
      </c>
      <c r="AX56" s="231"/>
      <c r="AY56" s="170"/>
      <c r="AZ56" s="170"/>
      <c r="BA56" s="171"/>
      <c r="BB56" s="280" t="str">
        <f>VLOOKUP(C56,'ДК ИП'!$B$16:$S$104,5,0)</f>
        <v>небольшое</v>
      </c>
      <c r="BC56" s="281">
        <f>VLOOKUP(C56,Радар!$B$16:$G$104,6,0)</f>
        <v>0.0725373567387204</v>
      </c>
      <c r="BD56" s="171"/>
      <c r="BF56" s="290">
        <f t="shared" si="11"/>
        <v>1.16666666666667</v>
      </c>
      <c r="BI56" s="9">
        <f t="shared" si="12"/>
        <v>1</v>
      </c>
      <c r="BJ56" s="9">
        <f>VLOOKUP(C56,Штаб!$B$16:$C$104,2)</f>
        <v>2</v>
      </c>
      <c r="BK56" s="9">
        <f>VLOOKUP(C56,'РО - регионы'!$B$16:$C$104,2)</f>
        <v>0</v>
      </c>
      <c r="BL56" s="9">
        <f>VLOOKUP(C56,'РО - регионы'!$B$16:$L$104,11)</f>
        <v>0</v>
      </c>
      <c r="BM56" s="9">
        <f>VLOOKUP(C56,Спецтехника!$B$16:$C$104,2)</f>
        <v>0</v>
      </c>
      <c r="BN56" s="9">
        <f>VLOOKUP($C56,МНО!$B$16:$AB$104,6,0)</f>
        <v>0</v>
      </c>
      <c r="BO56" s="9">
        <f>VLOOKUP($C56,МНО!$B$16:$AB$104,4,0)</f>
        <v>0</v>
      </c>
      <c r="BP56" s="9">
        <f>VLOOKUP($C56,МНО!$B$16:$AB$104,5,0)</f>
        <v>0</v>
      </c>
      <c r="BQ56" s="9">
        <f>VLOOKUP($C56,Контейнеры!$B$16:$G$104,6,0)</f>
        <v>1</v>
      </c>
      <c r="BR56" s="9">
        <f>VLOOKUP($C56,Контейнеры!$B$16:$G$104,4,0)</f>
        <v>0</v>
      </c>
      <c r="BS56" s="9">
        <f>VLOOKUP($C56,Контейнеры!$B$16:$G$104,5,0)</f>
        <v>0</v>
      </c>
      <c r="BT56" s="9">
        <f>VLOOKUP($C56,'ДК МНО'!$B$16:$C$104,2,0)</f>
        <v>2</v>
      </c>
      <c r="BU56" s="9">
        <f>VLOOKUP($C56,Обработка!$B$16:$F$104,5,0)</f>
        <v>1</v>
      </c>
      <c r="BV56" s="9">
        <f>VLOOKUP($C56,Обработка!$B$16:$F$104,4,0)</f>
        <v>1</v>
      </c>
      <c r="BW56" s="9">
        <f>VLOOKUP($C56,Утилизация!$B$16:$F$104,5,0)</f>
        <v>2</v>
      </c>
      <c r="BX56" s="9">
        <f>VLOOKUP($C56,Утилизация!$B$16:$F$104,4,0)</f>
        <v>2</v>
      </c>
      <c r="BY56" s="9">
        <f>VLOOKUP($C56,Захоронение!$B$16:$C$104,2,0)</f>
        <v>2</v>
      </c>
      <c r="BZ56" s="9">
        <f>VLOOKUP($C56,'ДК ИП'!$B$16:$C$104,2,0)</f>
        <v>0</v>
      </c>
      <c r="CA56" s="9">
        <f>VLOOKUP(C56,Радар!$B$16:$G$104,2,0)</f>
        <v>2</v>
      </c>
      <c r="CB56" s="9">
        <f>SUMPRODUCT(BJ56:BZ56,$BJ$5:$BZ$5)</f>
        <v>0.85</v>
      </c>
    </row>
    <row r="57" ht="15.75" spans="1:80">
      <c r="A57" s="6" t="s">
        <v>129</v>
      </c>
      <c r="B57" s="131">
        <f t="shared" si="6"/>
        <v>47</v>
      </c>
      <c r="C57" s="3" t="s">
        <v>144</v>
      </c>
      <c r="D57" s="133" t="str">
        <f>VLOOKUP($C57,Штаб!$B$16:$J$104,6,0)</f>
        <v>✔️</v>
      </c>
      <c r="E57" s="134" t="str">
        <f>VLOOKUP($C57,Штаб!$B$16:$J$104,7,0)</f>
        <v/>
      </c>
      <c r="F57" s="134" t="str">
        <f>VLOOKUP($C57,Штаб!$B$16:$J$104,8,0)</f>
        <v/>
      </c>
      <c r="G57" s="135" t="str">
        <f>VLOOKUP($C57,Штаб!$B$16:$J$104,9,0)</f>
        <v/>
      </c>
      <c r="H57" s="138" t="str">
        <f>VLOOKUP(C57,'РО - регионы'!$B$16:$I$104,8,0)</f>
        <v>0 / 1 / 0 из 1</v>
      </c>
      <c r="I57" s="169"/>
      <c r="J57" s="137"/>
      <c r="K57" s="170"/>
      <c r="L57" s="170"/>
      <c r="M57" s="171"/>
      <c r="N57" s="176">
        <f>VLOOKUP(C57,Спецтехника!$B$16:$J$104,4,0)</f>
        <v>368</v>
      </c>
      <c r="O57" s="177">
        <f>VLOOKUP(C57,Спецтехника!$B$16:$J$104,5,0)</f>
        <v>273</v>
      </c>
      <c r="P57" s="177">
        <f>VLOOKUP(C57,Спецтехника!$B$16:$J$104,6,0)</f>
        <v>95</v>
      </c>
      <c r="Q57" s="199">
        <f>VLOOKUP(C57,Спецтехника!$B$16:$J$104,7,0)</f>
        <v>0.258152173913043</v>
      </c>
      <c r="R57" s="197"/>
      <c r="S57" s="137"/>
      <c r="T57" s="170"/>
      <c r="U57" s="170"/>
      <c r="V57" s="171"/>
      <c r="W57" s="176">
        <f>VLOOKUP($C57,МНО!$B$16:$AB$104,16,0)</f>
        <v>24025</v>
      </c>
      <c r="X57" s="177">
        <f>VLOOKUP($C57,МНО!$B$16:$AB$104,8,0)</f>
        <v>3917</v>
      </c>
      <c r="Y57" s="177">
        <f>VLOOKUP($C57,МНО!$B$16:$AB$104,11,0)</f>
        <v>20108</v>
      </c>
      <c r="Z57" s="217">
        <f>VLOOKUP($C57,МНО!$B$16:$AB$104,17,0)</f>
        <v>0.836961498439126</v>
      </c>
      <c r="AA57" s="213"/>
      <c r="AB57" s="214">
        <f>VLOOKUP($C57,МНО!$B$16:$AB$104,13,0)</f>
        <v>2.05547740718659</v>
      </c>
      <c r="AC57" s="215">
        <f>VLOOKUP($C57,МНО!$B$16:$AB$104,18,0)</f>
        <v>0.0178323477057412</v>
      </c>
      <c r="AD57" s="176">
        <f>VLOOKUP($C57,Контейнеры!$B$16:$AB$104,16,0)</f>
        <v>49060</v>
      </c>
      <c r="AE57" s="177">
        <f>VLOOKUP($C57,Контейнеры!$B$16:$AB$104,8,0)</f>
        <v>9423</v>
      </c>
      <c r="AF57" s="177">
        <f>VLOOKUP($C57,Контейнеры!$B$16:$AB$104,11,0)</f>
        <v>39637</v>
      </c>
      <c r="AG57" s="217">
        <f>VLOOKUP($C57,Контейнеры!$B$16:$AB$104,17,0)</f>
        <v>0.807929066449246</v>
      </c>
      <c r="AH57" s="213"/>
      <c r="AI57" s="214">
        <f>VLOOKUP($C57,Контейнеры!$B$16:$AB$104,13,0)</f>
        <v>5.21647282734156</v>
      </c>
      <c r="AJ57" s="215">
        <f>VLOOKUP($C57,Контейнеры!$B$16:$AB$104,18,0)</f>
        <v>0.153097532047637</v>
      </c>
      <c r="AK57" s="231"/>
      <c r="AL57" s="170"/>
      <c r="AM57" s="170"/>
      <c r="AN57" s="232"/>
      <c r="AO57" s="261">
        <f>VLOOKUP($C57,Обработка!$B$16:$L$104,6,0)</f>
        <v>0.412</v>
      </c>
      <c r="AP57" s="250">
        <f t="shared" si="7"/>
        <v>-0.131</v>
      </c>
      <c r="AQ57" s="250">
        <f>VLOOKUP($C57,Обработка!$B$16:$L$104,7,0)</f>
        <v>0.924986</v>
      </c>
      <c r="AR57" s="255">
        <f t="shared" si="8"/>
        <v>0.117986</v>
      </c>
      <c r="AS57" s="253">
        <f>VLOOKUP($C57,Утилизация!$B$16:$L$104,6,0)</f>
        <v>0.02</v>
      </c>
      <c r="AT57" s="251">
        <f t="shared" si="9"/>
        <v>-0.119</v>
      </c>
      <c r="AU57" s="259">
        <f>VLOOKUP($C57,Утилизация!$B$16:$L$104,7,0)</f>
        <v>0.169</v>
      </c>
      <c r="AV57" s="260">
        <f t="shared" si="10"/>
        <v>-0.117</v>
      </c>
      <c r="AW57" s="279" t="str">
        <f>VLOOKUP(C57,Захоронение!$B$16:$Q$104,16,0)</f>
        <v>765 приказ</v>
      </c>
      <c r="AX57" s="231"/>
      <c r="AY57" s="170"/>
      <c r="AZ57" s="170"/>
      <c r="BA57" s="171"/>
      <c r="BB57" s="280" t="str">
        <f>VLOOKUP(C57,'ДК ИП'!$B$16:$S$104,5,0)</f>
        <v>нет</v>
      </c>
      <c r="BC57" s="285">
        <f>VLOOKUP(C57,Радар!$B$16:$G$104,6,0)</f>
        <v>0.0548053496664347</v>
      </c>
      <c r="BD57" s="171"/>
      <c r="BF57" s="290">
        <f t="shared" si="11"/>
        <v>1</v>
      </c>
      <c r="BI57" s="9">
        <f t="shared" si="12"/>
        <v>2</v>
      </c>
      <c r="BJ57" s="9">
        <f>VLOOKUP(C57,Штаб!$B$16:$C$104,2)</f>
        <v>0</v>
      </c>
      <c r="BK57" s="9">
        <f>VLOOKUP(C57,'РО - регионы'!$B$16:$C$104,2)</f>
        <v>1</v>
      </c>
      <c r="BL57" s="9">
        <f>VLOOKUP(C57,'РО - регионы'!$B$16:$L$104,11)</f>
        <v>2</v>
      </c>
      <c r="BM57" s="9">
        <f>VLOOKUP(C57,Спецтехника!$B$16:$C$104,2)</f>
        <v>2</v>
      </c>
      <c r="BN57" s="9">
        <f>VLOOKUP($C57,МНО!$B$16:$AB$104,6,0)</f>
        <v>2</v>
      </c>
      <c r="BO57" s="9">
        <f>VLOOKUP($C57,МНО!$B$16:$AB$104,4,0)</f>
        <v>2</v>
      </c>
      <c r="BP57" s="9">
        <f>VLOOKUP($C57,МНО!$B$16:$AB$104,5,0)</f>
        <v>2</v>
      </c>
      <c r="BQ57" s="9">
        <f>VLOOKUP($C57,Контейнеры!$B$16:$G$104,6,0)</f>
        <v>2</v>
      </c>
      <c r="BR57" s="9">
        <f>VLOOKUP($C57,Контейнеры!$B$16:$G$104,4,0)</f>
        <v>0</v>
      </c>
      <c r="BS57" s="9">
        <f>VLOOKUP($C57,Контейнеры!$B$16:$G$104,5,0)</f>
        <v>2</v>
      </c>
      <c r="BT57" s="9">
        <f>VLOOKUP($C57,'ДК МНО'!$B$16:$C$104,2,0)</f>
        <v>2</v>
      </c>
      <c r="BU57" s="9">
        <f>VLOOKUP($C57,Обработка!$B$16:$F$104,5,0)</f>
        <v>0</v>
      </c>
      <c r="BV57" s="9">
        <f>VLOOKUP($C57,Обработка!$B$16:$F$104,4,0)</f>
        <v>1</v>
      </c>
      <c r="BW57" s="9">
        <f>VLOOKUP($C57,Утилизация!$B$16:$F$104,5,0)</f>
        <v>1</v>
      </c>
      <c r="BX57" s="9">
        <f>VLOOKUP($C57,Утилизация!$B$16:$F$104,4,0)</f>
        <v>2</v>
      </c>
      <c r="BY57" s="9">
        <f>VLOOKUP($C57,Захоронение!$B$16:$C$104,2,0)</f>
        <v>2</v>
      </c>
      <c r="BZ57" s="9">
        <f>VLOOKUP($C57,'ДК ИП'!$B$16:$C$104,2,0)</f>
        <v>0</v>
      </c>
      <c r="CA57" s="9">
        <f>VLOOKUP(C57,Радар!$B$16:$G$104,2,0)</f>
        <v>0</v>
      </c>
      <c r="CB57" s="9">
        <f>SUMPRODUCT(BJ57:BZ57,$BJ$5:$BZ$5)</f>
        <v>1.3</v>
      </c>
    </row>
    <row r="58" ht="15.75" spans="1:80">
      <c r="A58" s="6" t="s">
        <v>70</v>
      </c>
      <c r="B58" s="137">
        <f t="shared" si="6"/>
        <v>48</v>
      </c>
      <c r="C58" s="3" t="s">
        <v>95</v>
      </c>
      <c r="D58" s="133" t="str">
        <f>VLOOKUP($C58,Штаб!$B$16:$J$104,6,0)</f>
        <v/>
      </c>
      <c r="E58" s="134" t="str">
        <f>VLOOKUP($C58,Штаб!$B$16:$J$104,7,0)</f>
        <v/>
      </c>
      <c r="F58" s="134" t="str">
        <f>VLOOKUP($C58,Штаб!$B$16:$J$104,8,0)</f>
        <v/>
      </c>
      <c r="G58" s="135" t="str">
        <f>VLOOKUP($C58,Штаб!$B$16:$J$104,9,0)</f>
        <v>✔️</v>
      </c>
      <c r="H58" s="138" t="str">
        <f>VLOOKUP(C58,'РО - регионы'!$B$16:$I$104,8,0)</f>
        <v>0 / 2 / 0 из 2</v>
      </c>
      <c r="I58" s="169"/>
      <c r="J58" s="137"/>
      <c r="K58" s="170"/>
      <c r="L58" s="170"/>
      <c r="M58" s="171"/>
      <c r="N58" s="176">
        <f>VLOOKUP(C58,Спецтехника!$B$16:$J$104,4,0)</f>
        <v>104</v>
      </c>
      <c r="O58" s="177">
        <f>VLOOKUP(C58,Спецтехника!$B$16:$J$104,5,0)</f>
        <v>84</v>
      </c>
      <c r="P58" s="177">
        <f>VLOOKUP(C58,Спецтехника!$B$16:$J$104,6,0)</f>
        <v>20</v>
      </c>
      <c r="Q58" s="199">
        <f>VLOOKUP(C58,Спецтехника!$B$16:$J$104,7,0)</f>
        <v>0.192307692307692</v>
      </c>
      <c r="R58" s="197"/>
      <c r="S58" s="137"/>
      <c r="T58" s="170"/>
      <c r="U58" s="170"/>
      <c r="V58" s="171"/>
      <c r="W58" s="174">
        <f>VLOOKUP($C58,МНО!$B$16:$AB$104,16,0)</f>
        <v>5731</v>
      </c>
      <c r="X58" s="175">
        <f>VLOOKUP($C58,МНО!$B$16:$AB$104,8,0)</f>
        <v>4417</v>
      </c>
      <c r="Y58" s="175">
        <f>VLOOKUP($C58,МНО!$B$16:$AB$104,11,0)</f>
        <v>1314</v>
      </c>
      <c r="Z58" s="212">
        <f>VLOOKUP($C58,МНО!$B$16:$AB$104,17,0)</f>
        <v>0.229279357878206</v>
      </c>
      <c r="AA58" s="213"/>
      <c r="AB58" s="214">
        <f>VLOOKUP($C58,МНО!$B$16:$AB$104,13,0)</f>
        <v>5.99848231170427</v>
      </c>
      <c r="AC58" s="215">
        <f>VLOOKUP($C58,МНО!$B$16:$AB$104,18,0)</f>
        <v>0.896124974639886</v>
      </c>
      <c r="AD58" s="174">
        <f>VLOOKUP($C58,Контейнеры!$B$16:$AB$104,16,0)</f>
        <v>9547</v>
      </c>
      <c r="AE58" s="175">
        <f>VLOOKUP($C58,Контейнеры!$B$16:$AB$104,8,0)</f>
        <v>7218</v>
      </c>
      <c r="AF58" s="175">
        <f>VLOOKUP($C58,Контейнеры!$B$16:$AB$104,11,0)</f>
        <v>2329</v>
      </c>
      <c r="AG58" s="212">
        <f>VLOOKUP($C58,Контейнеры!$B$16:$AB$104,17,0)</f>
        <v>0.243950979365246</v>
      </c>
      <c r="AH58" s="213"/>
      <c r="AI58" s="214">
        <f>VLOOKUP($C58,Контейнеры!$B$16:$AB$104,13,0)</f>
        <v>12.4202654405856</v>
      </c>
      <c r="AJ58" s="215">
        <f>VLOOKUP($C58,Контейнеры!$B$16:$AB$104,18,0)</f>
        <v>0.762276903580103</v>
      </c>
      <c r="AK58" s="231"/>
      <c r="AL58" s="170"/>
      <c r="AM58" s="170"/>
      <c r="AN58" s="232"/>
      <c r="AO58" s="257">
        <f>VLOOKUP($C58,Обработка!$B$16:$L$104,6,0)</f>
        <v>0.592</v>
      </c>
      <c r="AP58" s="250">
        <f t="shared" si="7"/>
        <v>0.049</v>
      </c>
      <c r="AQ58" s="250">
        <f>VLOOKUP($C58,Обработка!$B$16:$L$104,7,0)</f>
        <v>1</v>
      </c>
      <c r="AR58" s="255">
        <f t="shared" si="8"/>
        <v>0.193</v>
      </c>
      <c r="AS58" s="258">
        <f>VLOOKUP($C58,Утилизация!$B$16:$L$104,6,0)</f>
        <v>0.083</v>
      </c>
      <c r="AT58" s="259">
        <f t="shared" si="9"/>
        <v>-0.056</v>
      </c>
      <c r="AU58" s="250">
        <f>VLOOKUP($C58,Утилизация!$B$16:$L$104,7,0)</f>
        <v>0.5</v>
      </c>
      <c r="AV58" s="256">
        <f t="shared" si="10"/>
        <v>0.214</v>
      </c>
      <c r="AW58" s="284" t="str">
        <f>VLOOKUP(C58,Захоронение!$B$16:$Q$104,16,0)</f>
        <v/>
      </c>
      <c r="AX58" s="231"/>
      <c r="AY58" s="170"/>
      <c r="AZ58" s="170"/>
      <c r="BA58" s="171"/>
      <c r="BB58" s="280" t="str">
        <f>VLOOKUP(C58,'ДК ИП'!$B$16:$S$104,5,0)</f>
        <v>небольшое</v>
      </c>
      <c r="BC58" s="281">
        <f>VLOOKUP(C58,Радар!$B$16:$G$104,6,0)</f>
        <v>0.0258110254376259</v>
      </c>
      <c r="BD58" s="171"/>
      <c r="BF58" s="292">
        <f t="shared" si="11"/>
        <v>0.0833333333333333</v>
      </c>
      <c r="BI58" s="9">
        <f t="shared" si="12"/>
        <v>0</v>
      </c>
      <c r="BJ58" s="9">
        <f>VLOOKUP(C58,Штаб!$B$16:$C$104,2)</f>
        <v>2</v>
      </c>
      <c r="BK58" s="9">
        <f>VLOOKUP(C58,'РО - регионы'!$B$16:$C$104,2)</f>
        <v>1</v>
      </c>
      <c r="BL58" s="9">
        <f>VLOOKUP(C58,'РО - регионы'!$B$16:$L$104,11)</f>
        <v>2</v>
      </c>
      <c r="BM58" s="9">
        <f>VLOOKUP(C58,Спецтехника!$B$16:$C$104,2)</f>
        <v>2</v>
      </c>
      <c r="BN58" s="9">
        <f>VLOOKUP($C58,МНО!$B$16:$AB$104,6,0)</f>
        <v>1</v>
      </c>
      <c r="BO58" s="9">
        <f>VLOOKUP($C58,МНО!$B$16:$AB$104,4,0)</f>
        <v>0</v>
      </c>
      <c r="BP58" s="9">
        <f>VLOOKUP($C58,МНО!$B$16:$AB$104,5,0)</f>
        <v>0</v>
      </c>
      <c r="BQ58" s="9">
        <f>VLOOKUP($C58,Контейнеры!$B$16:$G$104,6,0)</f>
        <v>1</v>
      </c>
      <c r="BR58" s="9">
        <f>VLOOKUP($C58,Контейнеры!$B$16:$G$104,4,0)</f>
        <v>0</v>
      </c>
      <c r="BS58" s="9">
        <f>VLOOKUP($C58,Контейнеры!$B$16:$G$104,5,0)</f>
        <v>2</v>
      </c>
      <c r="BT58" s="9">
        <f>VLOOKUP($C58,'ДК МНО'!$B$16:$C$104,2,0)</f>
        <v>2</v>
      </c>
      <c r="BU58" s="9">
        <f>VLOOKUP($C58,Обработка!$B$16:$F$104,5,0)</f>
        <v>0</v>
      </c>
      <c r="BV58" s="9">
        <f>VLOOKUP($C58,Обработка!$B$16:$F$104,4,0)</f>
        <v>0</v>
      </c>
      <c r="BW58" s="9">
        <f>VLOOKUP($C58,Утилизация!$B$16:$F$104,5,0)</f>
        <v>0</v>
      </c>
      <c r="BX58" s="9">
        <f>VLOOKUP($C58,Утилизация!$B$16:$F$104,4,0)</f>
        <v>1</v>
      </c>
      <c r="BY58" s="9">
        <f>VLOOKUP($C58,Захоронение!$B$16:$C$104,2,0)</f>
        <v>0</v>
      </c>
      <c r="BZ58" s="9">
        <f>VLOOKUP($C58,'ДК ИП'!$B$16:$C$104,2,0)</f>
        <v>0</v>
      </c>
      <c r="CA58" s="9">
        <f>VLOOKUP(C58,Радар!$B$16:$G$104,2,0)</f>
        <v>2</v>
      </c>
      <c r="CB58" s="9">
        <f>SUMPRODUCT(BJ58:BZ58,$BJ$5:$BZ$5)</f>
        <v>0.45</v>
      </c>
    </row>
    <row r="59" ht="15.75" spans="1:80">
      <c r="A59" s="6" t="s">
        <v>85</v>
      </c>
      <c r="B59" s="131">
        <f t="shared" si="6"/>
        <v>49</v>
      </c>
      <c r="C59" s="3" t="s">
        <v>96</v>
      </c>
      <c r="D59" s="133" t="str">
        <f>VLOOKUP($C59,Штаб!$B$16:$J$104,6,0)</f>
        <v/>
      </c>
      <c r="E59" s="134" t="str">
        <f>VLOOKUP($C59,Штаб!$B$16:$J$104,7,0)</f>
        <v>✔️</v>
      </c>
      <c r="F59" s="134" t="str">
        <f>VLOOKUP($C59,Штаб!$B$16:$J$104,8,0)</f>
        <v/>
      </c>
      <c r="G59" s="135" t="str">
        <f>VLOOKUP($C59,Штаб!$B$16:$J$104,9,0)</f>
        <v/>
      </c>
      <c r="H59" s="139" t="str">
        <f>VLOOKUP(C59,'РО - регионы'!$B$16:$I$104,8,0)</f>
        <v>0 / 0 / 1 из 1</v>
      </c>
      <c r="I59" s="169"/>
      <c r="J59" s="137"/>
      <c r="K59" s="170"/>
      <c r="L59" s="170"/>
      <c r="M59" s="171"/>
      <c r="N59" s="172">
        <f>VLOOKUP(C59,Спецтехника!$B$16:$J$104,4,0)</f>
        <v>76</v>
      </c>
      <c r="O59" s="173">
        <f>VLOOKUP(C59,Спецтехника!$B$16:$J$104,5,0)</f>
        <v>70</v>
      </c>
      <c r="P59" s="173">
        <f>VLOOKUP(C59,Спецтехника!$B$16:$J$104,6,0)</f>
        <v>6</v>
      </c>
      <c r="Q59" s="196">
        <f>VLOOKUP(C59,Спецтехника!$B$16:$J$104,7,0)</f>
        <v>0.0789473684210526</v>
      </c>
      <c r="R59" s="197"/>
      <c r="S59" s="137"/>
      <c r="T59" s="170"/>
      <c r="U59" s="170"/>
      <c r="V59" s="171"/>
      <c r="W59" s="176">
        <f>VLOOKUP($C59,МНО!$B$16:$AB$104,16,0)</f>
        <v>4451</v>
      </c>
      <c r="X59" s="177">
        <f>VLOOKUP($C59,МНО!$B$16:$AB$104,8,0)</f>
        <v>2026</v>
      </c>
      <c r="Y59" s="177">
        <f>VLOOKUP($C59,МНО!$B$16:$AB$104,11,0)</f>
        <v>2425</v>
      </c>
      <c r="Z59" s="217">
        <f>VLOOKUP($C59,МНО!$B$16:$AB$104,17,0)</f>
        <v>0.544821388452033</v>
      </c>
      <c r="AA59" s="213"/>
      <c r="AB59" s="214">
        <f>VLOOKUP($C59,МНО!$B$16:$AB$104,13,0)</f>
        <v>3.60973329524502</v>
      </c>
      <c r="AC59" s="215">
        <f>VLOOKUP($C59,МНО!$B$16:$AB$104,18,0)</f>
        <v>0.669752066115702</v>
      </c>
      <c r="AD59" s="176">
        <f>VLOOKUP($C59,Контейнеры!$B$16:$AB$104,16,0)</f>
        <v>7913</v>
      </c>
      <c r="AE59" s="177">
        <f>VLOOKUP($C59,Контейнеры!$B$16:$AB$104,8,0)</f>
        <v>3611</v>
      </c>
      <c r="AF59" s="177">
        <f>VLOOKUP($C59,Контейнеры!$B$16:$AB$104,11,0)</f>
        <v>4302</v>
      </c>
      <c r="AG59" s="217">
        <f>VLOOKUP($C59,Контейнеры!$B$16:$AB$104,17,0)</f>
        <v>0.543662327814988</v>
      </c>
      <c r="AH59" s="213"/>
      <c r="AI59" s="214">
        <f>VLOOKUP($C59,Контейнеры!$B$16:$AB$104,13,0)</f>
        <v>7.21347367411719</v>
      </c>
      <c r="AJ59" s="215">
        <f>VLOOKUP($C59,Контейнеры!$B$16:$AB$104,18,0)</f>
        <v>0.52669194865811</v>
      </c>
      <c r="AK59" s="231"/>
      <c r="AL59" s="170"/>
      <c r="AM59" s="170"/>
      <c r="AN59" s="232"/>
      <c r="AO59" s="257">
        <f>VLOOKUP($C59,Обработка!$B$16:$L$104,6,0)</f>
        <v>0.9</v>
      </c>
      <c r="AP59" s="250">
        <f t="shared" si="7"/>
        <v>0.357</v>
      </c>
      <c r="AQ59" s="250">
        <f>VLOOKUP($C59,Обработка!$B$16:$L$104,7,0)</f>
        <v>1</v>
      </c>
      <c r="AR59" s="255">
        <f t="shared" si="8"/>
        <v>0.193</v>
      </c>
      <c r="AS59" s="258">
        <f>VLOOKUP($C59,Утилизация!$B$16:$L$104,6,0)</f>
        <v>0.123</v>
      </c>
      <c r="AT59" s="259">
        <f t="shared" si="9"/>
        <v>-0.016</v>
      </c>
      <c r="AU59" s="250">
        <f>VLOOKUP($C59,Утилизация!$B$16:$L$104,7,0)</f>
        <v>0.5</v>
      </c>
      <c r="AV59" s="256">
        <f t="shared" si="10"/>
        <v>0.214</v>
      </c>
      <c r="AW59" s="284" t="str">
        <f>VLOOKUP(C59,Захоронение!$B$16:$Q$104,16,0)</f>
        <v/>
      </c>
      <c r="AX59" s="231"/>
      <c r="AY59" s="170"/>
      <c r="AZ59" s="170"/>
      <c r="BA59" s="171"/>
      <c r="BB59" s="280" t="str">
        <f>VLOOKUP(C59,'ДК ИП'!$B$16:$S$104,5,0)</f>
        <v>среднее</v>
      </c>
      <c r="BC59" s="285">
        <f>VLOOKUP(C59,Радар!$B$16:$G$104,6,0)</f>
        <v>0.0918913843836585</v>
      </c>
      <c r="BD59" s="171"/>
      <c r="BF59" s="292">
        <f t="shared" si="11"/>
        <v>0.166666666666667</v>
      </c>
      <c r="BI59" s="9">
        <f t="shared" si="12"/>
        <v>0</v>
      </c>
      <c r="BJ59" s="9">
        <f>VLOOKUP(C59,Штаб!$B$16:$C$104,2)</f>
        <v>1</v>
      </c>
      <c r="BK59" s="9">
        <f>VLOOKUP(C59,'РО - регионы'!$B$16:$C$104,2)</f>
        <v>0</v>
      </c>
      <c r="BL59" s="9">
        <f>VLOOKUP(C59,'РО - регионы'!$B$16:$L$104,11)</f>
        <v>0</v>
      </c>
      <c r="BM59" s="9">
        <f>VLOOKUP(C59,Спецтехника!$B$16:$C$104,2)</f>
        <v>0</v>
      </c>
      <c r="BN59" s="9">
        <f>VLOOKUP($C59,МНО!$B$16:$AB$104,6,0)</f>
        <v>2</v>
      </c>
      <c r="BO59" s="9">
        <f>VLOOKUP($C59,МНО!$B$16:$AB$104,4,0)</f>
        <v>1</v>
      </c>
      <c r="BP59" s="9">
        <f>VLOOKUP($C59,МНО!$B$16:$AB$104,5,0)</f>
        <v>2</v>
      </c>
      <c r="BQ59" s="9">
        <f>VLOOKUP($C59,Контейнеры!$B$16:$G$104,6,0)</f>
        <v>2</v>
      </c>
      <c r="BR59" s="9">
        <f>VLOOKUP($C59,Контейнеры!$B$16:$G$104,4,0)</f>
        <v>0</v>
      </c>
      <c r="BS59" s="9">
        <f>VLOOKUP($C59,Контейнеры!$B$16:$G$104,5,0)</f>
        <v>2</v>
      </c>
      <c r="BT59" s="9">
        <f>VLOOKUP($C59,'ДК МНО'!$B$16:$C$104,2,0)</f>
        <v>2</v>
      </c>
      <c r="BU59" s="9">
        <f>VLOOKUP($C59,Обработка!$B$16:$F$104,5,0)</f>
        <v>0</v>
      </c>
      <c r="BV59" s="9">
        <f>VLOOKUP($C59,Обработка!$B$16:$F$104,4,0)</f>
        <v>0</v>
      </c>
      <c r="BW59" s="9">
        <f>VLOOKUP($C59,Утилизация!$B$16:$F$104,5,0)</f>
        <v>0</v>
      </c>
      <c r="BX59" s="9">
        <f>VLOOKUP($C59,Утилизация!$B$16:$F$104,4,0)</f>
        <v>1</v>
      </c>
      <c r="BY59" s="9">
        <f>VLOOKUP($C59,Захоронение!$B$16:$C$104,2,0)</f>
        <v>0</v>
      </c>
      <c r="BZ59" s="9">
        <f>VLOOKUP($C59,'ДК ИП'!$B$16:$C$104,2,0)</f>
        <v>1</v>
      </c>
      <c r="CA59" s="9">
        <f>VLOOKUP(C59,Радар!$B$16:$G$104,2,0)</f>
        <v>0</v>
      </c>
      <c r="CB59" s="9">
        <f>SUMPRODUCT(BJ59:BZ59,$BJ$5:$BZ$5)</f>
        <v>0.4</v>
      </c>
    </row>
    <row r="60" ht="15.75" spans="1:80">
      <c r="A60" s="6" t="s">
        <v>108</v>
      </c>
      <c r="B60" s="137">
        <f t="shared" si="6"/>
        <v>50</v>
      </c>
      <c r="C60" s="3" t="s">
        <v>147</v>
      </c>
      <c r="D60" s="133" t="str">
        <f>VLOOKUP($C60,Штаб!$B$16:$J$104,6,0)</f>
        <v/>
      </c>
      <c r="E60" s="134" t="str">
        <f>VLOOKUP($C60,Штаб!$B$16:$J$104,7,0)</f>
        <v/>
      </c>
      <c r="F60" s="134" t="str">
        <f>VLOOKUP($C60,Штаб!$B$16:$J$104,8,0)</f>
        <v>✔️</v>
      </c>
      <c r="G60" s="135" t="str">
        <f>VLOOKUP($C60,Штаб!$B$16:$J$104,9,0)</f>
        <v/>
      </c>
      <c r="H60" s="138" t="str">
        <f>VLOOKUP(C60,'РО - регионы'!$B$16:$I$104,8,0)</f>
        <v>0 / 3 / 0 из 3</v>
      </c>
      <c r="I60" s="169"/>
      <c r="J60" s="137"/>
      <c r="K60" s="170"/>
      <c r="L60" s="170"/>
      <c r="M60" s="171"/>
      <c r="N60" s="176">
        <f>VLOOKUP(C60,Спецтехника!$B$16:$J$104,4,0)</f>
        <v>68</v>
      </c>
      <c r="O60" s="177">
        <f>VLOOKUP(C60,Спецтехника!$B$16:$J$104,5,0)</f>
        <v>46</v>
      </c>
      <c r="P60" s="177">
        <f>VLOOKUP(C60,Спецтехника!$B$16:$J$104,6,0)</f>
        <v>22</v>
      </c>
      <c r="Q60" s="199">
        <f>VLOOKUP(C60,Спецтехника!$B$16:$J$104,7,0)</f>
        <v>0.323529411764706</v>
      </c>
      <c r="R60" s="197"/>
      <c r="S60" s="137"/>
      <c r="T60" s="170"/>
      <c r="U60" s="170"/>
      <c r="V60" s="171"/>
      <c r="W60" s="174">
        <f>VLOOKUP($C60,МНО!$B$16:$AB$104,16,0)</f>
        <v>1606</v>
      </c>
      <c r="X60" s="175">
        <f>VLOOKUP($C60,МНО!$B$16:$AB$104,8,0)</f>
        <v>1206</v>
      </c>
      <c r="Y60" s="175">
        <f>VLOOKUP($C60,МНО!$B$16:$AB$104,11,0)</f>
        <v>400</v>
      </c>
      <c r="Z60" s="212">
        <f>VLOOKUP($C60,МНО!$B$16:$AB$104,17,0)</f>
        <v>0.24906600249066</v>
      </c>
      <c r="AA60" s="213"/>
      <c r="AB60" s="214">
        <f>VLOOKUP($C60,МНО!$B$16:$AB$104,13,0)</f>
        <v>5.71252342656513</v>
      </c>
      <c r="AC60" s="215">
        <f>VLOOKUP($C60,МНО!$B$16:$AB$104,18,0)</f>
        <v>0.935608999224205</v>
      </c>
      <c r="AD60" s="174">
        <f>VLOOKUP($C60,Контейнеры!$B$16:$AB$104,16,0)</f>
        <v>3529</v>
      </c>
      <c r="AE60" s="175">
        <f>VLOOKUP($C60,Контейнеры!$B$16:$AB$104,8,0)</f>
        <v>2829</v>
      </c>
      <c r="AF60" s="175">
        <f>VLOOKUP($C60,Контейнеры!$B$16:$AB$104,11,0)</f>
        <v>700</v>
      </c>
      <c r="AG60" s="212">
        <f>VLOOKUP($C60,Контейнеры!$B$16:$AB$104,17,0)</f>
        <v>0.198356474922074</v>
      </c>
      <c r="AH60" s="213"/>
      <c r="AI60" s="214">
        <f>VLOOKUP($C60,Контейнеры!$B$16:$AB$104,13,0)</f>
        <v>13.4225322041136</v>
      </c>
      <c r="AJ60" s="215">
        <f>VLOOKUP($C60,Контейнеры!$B$16:$AB$104,18,0)</f>
        <v>0.573136142625608</v>
      </c>
      <c r="AK60" s="231"/>
      <c r="AL60" s="170"/>
      <c r="AM60" s="170"/>
      <c r="AN60" s="232"/>
      <c r="AO60" s="249">
        <f>VLOOKUP($C60,Обработка!$B$16:$L$104,6,0)</f>
        <v>0</v>
      </c>
      <c r="AP60" s="250">
        <f t="shared" si="7"/>
        <v>-0.543</v>
      </c>
      <c r="AQ60" s="259">
        <f>VLOOKUP($C60,Обработка!$B$16:$L$104,7,0)</f>
        <v>0.667</v>
      </c>
      <c r="AR60" s="262">
        <f t="shared" si="8"/>
        <v>-0.14</v>
      </c>
      <c r="AS60" s="253">
        <f>VLOOKUP($C60,Утилизация!$B$16:$L$104,6,0)</f>
        <v>0</v>
      </c>
      <c r="AT60" s="251">
        <f t="shared" si="9"/>
        <v>-0.139</v>
      </c>
      <c r="AU60" s="259">
        <f>VLOOKUP($C60,Утилизация!$B$16:$L$104,7,0)</f>
        <v>0.25</v>
      </c>
      <c r="AV60" s="260">
        <f t="shared" si="10"/>
        <v>-0.036</v>
      </c>
      <c r="AW60" s="279" t="str">
        <f>VLOOKUP(C60,Захоронение!$B$16:$Q$104,16,0)</f>
        <v>765 приказ</v>
      </c>
      <c r="AX60" s="231"/>
      <c r="AY60" s="170"/>
      <c r="AZ60" s="170"/>
      <c r="BA60" s="171"/>
      <c r="BB60" s="280" t="str">
        <f>VLOOKUP(C60,'ДК ИП'!$B$16:$S$104,5,0)</f>
        <v>небольшое</v>
      </c>
      <c r="BC60" s="281">
        <f>VLOOKUP(C60,Радар!$B$16:$G$104,6,0)</f>
        <v>0.901477949374896</v>
      </c>
      <c r="BD60" s="171"/>
      <c r="BF60" s="290">
        <f t="shared" si="11"/>
        <v>1.16666666666667</v>
      </c>
      <c r="BI60" s="9">
        <f t="shared" si="12"/>
        <v>1</v>
      </c>
      <c r="BJ60" s="9">
        <f>VLOOKUP(C60,Штаб!$B$16:$C$104,2)</f>
        <v>1</v>
      </c>
      <c r="BK60" s="9">
        <f>VLOOKUP(C60,'РО - регионы'!$B$16:$C$104,2)</f>
        <v>1</v>
      </c>
      <c r="BL60" s="9">
        <f>VLOOKUP(C60,'РО - регионы'!$B$16:$L$104,11)</f>
        <v>2</v>
      </c>
      <c r="BM60" s="9">
        <f>VLOOKUP(C60,Спецтехника!$B$16:$C$104,2)</f>
        <v>2</v>
      </c>
      <c r="BN60" s="9">
        <f>VLOOKUP($C60,МНО!$B$16:$AB$104,6,0)</f>
        <v>1</v>
      </c>
      <c r="BO60" s="9">
        <f>VLOOKUP($C60,МНО!$B$16:$AB$104,4,0)</f>
        <v>1</v>
      </c>
      <c r="BP60" s="9">
        <f>VLOOKUP($C60,МНО!$B$16:$AB$104,5,0)</f>
        <v>0</v>
      </c>
      <c r="BQ60" s="9">
        <f>VLOOKUP($C60,Контейнеры!$B$16:$G$104,6,0)</f>
        <v>1</v>
      </c>
      <c r="BR60" s="9">
        <f>VLOOKUP($C60,Контейнеры!$B$16:$G$104,4,0)</f>
        <v>0</v>
      </c>
      <c r="BS60" s="9">
        <f>VLOOKUP($C60,Контейнеры!$B$16:$G$104,5,0)</f>
        <v>2</v>
      </c>
      <c r="BT60" s="9">
        <f>VLOOKUP($C60,'ДК МНО'!$B$16:$C$104,2,0)</f>
        <v>2</v>
      </c>
      <c r="BU60" s="9">
        <f>VLOOKUP($C60,Обработка!$B$16:$F$104,5,0)</f>
        <v>1</v>
      </c>
      <c r="BV60" s="9">
        <f>VLOOKUP($C60,Обработка!$B$16:$F$104,4,0)</f>
        <v>2</v>
      </c>
      <c r="BW60" s="9">
        <f>VLOOKUP($C60,Утилизация!$B$16:$F$104,5,0)</f>
        <v>1</v>
      </c>
      <c r="BX60" s="9">
        <f>VLOOKUP($C60,Утилизация!$B$16:$F$104,4,0)</f>
        <v>2</v>
      </c>
      <c r="BY60" s="9">
        <f>VLOOKUP($C60,Захоронение!$B$16:$C$104,2,0)</f>
        <v>2</v>
      </c>
      <c r="BZ60" s="9">
        <f>VLOOKUP($C60,'ДК ИП'!$B$16:$C$104,2,0)</f>
        <v>0</v>
      </c>
      <c r="CA60" s="9">
        <f>VLOOKUP(C60,Радар!$B$16:$G$104,2,0)</f>
        <v>2</v>
      </c>
      <c r="CB60" s="9">
        <f>SUMPRODUCT(BJ60:BZ60,$BJ$5:$BZ$5)</f>
        <v>1.25</v>
      </c>
    </row>
    <row r="61" ht="15.75" spans="1:80">
      <c r="A61" s="6" t="s">
        <v>74</v>
      </c>
      <c r="B61" s="131">
        <f t="shared" si="6"/>
        <v>51</v>
      </c>
      <c r="C61" s="3" t="s">
        <v>88</v>
      </c>
      <c r="D61" s="133" t="str">
        <f>VLOOKUP($C61,Штаб!$B$16:$J$104,6,0)</f>
        <v/>
      </c>
      <c r="E61" s="134" t="str">
        <f>VLOOKUP($C61,Штаб!$B$16:$J$104,7,0)</f>
        <v/>
      </c>
      <c r="F61" s="134" t="str">
        <f>VLOOKUP($C61,Штаб!$B$16:$J$104,8,0)</f>
        <v>✔️</v>
      </c>
      <c r="G61" s="135" t="str">
        <f>VLOOKUP($C61,Штаб!$B$16:$J$104,9,0)</f>
        <v/>
      </c>
      <c r="H61" s="138" t="str">
        <f>VLOOKUP(C61,'РО - регионы'!$B$16:$I$104,8,0)</f>
        <v>0 / 2 / 3 из 5</v>
      </c>
      <c r="I61" s="169"/>
      <c r="J61" s="137"/>
      <c r="K61" s="170"/>
      <c r="L61" s="170"/>
      <c r="M61" s="171"/>
      <c r="N61" s="174">
        <f>VLOOKUP(C61,Спецтехника!$B$16:$J$104,4,0)</f>
        <v>580</v>
      </c>
      <c r="O61" s="175">
        <f>VLOOKUP(C61,Спецтехника!$B$16:$J$104,5,0)</f>
        <v>526</v>
      </c>
      <c r="P61" s="175">
        <f>VLOOKUP(C61,Спецтехника!$B$16:$J$104,6,0)</f>
        <v>54</v>
      </c>
      <c r="Q61" s="198">
        <f>VLOOKUP(C61,Спецтехника!$B$16:$J$104,7,0)</f>
        <v>0.0931034482758621</v>
      </c>
      <c r="R61" s="197"/>
      <c r="S61" s="137"/>
      <c r="T61" s="170"/>
      <c r="U61" s="170"/>
      <c r="V61" s="171"/>
      <c r="W61" s="172">
        <f>VLOOKUP($C61,МНО!$B$16:$AB$104,16,0)</f>
        <v>46019</v>
      </c>
      <c r="X61" s="173">
        <f>VLOOKUP($C61,МНО!$B$16:$AB$104,8,0)</f>
        <v>43337</v>
      </c>
      <c r="Y61" s="173">
        <f>VLOOKUP($C61,МНО!$B$16:$AB$104,11,0)</f>
        <v>2682</v>
      </c>
      <c r="Z61" s="216">
        <f>VLOOKUP($C61,МНО!$B$16:$AB$104,17,0)</f>
        <v>0.0582802755383646</v>
      </c>
      <c r="AA61" s="213"/>
      <c r="AB61" s="214">
        <f>VLOOKUP($C61,МНО!$B$16:$AB$104,13,0)</f>
        <v>9.38031833294336</v>
      </c>
      <c r="AC61" s="215">
        <f>VLOOKUP($C61,МНО!$B$16:$AB$104,18,0)</f>
        <v>1</v>
      </c>
      <c r="AD61" s="172">
        <f>VLOOKUP($C61,Контейнеры!$B$16:$AB$104,16,0)</f>
        <v>113717</v>
      </c>
      <c r="AE61" s="173">
        <f>VLOOKUP($C61,Контейнеры!$B$16:$AB$104,8,0)</f>
        <v>103522</v>
      </c>
      <c r="AF61" s="173">
        <f>VLOOKUP($C61,Контейнеры!$B$16:$AB$104,11,0)</f>
        <v>10195</v>
      </c>
      <c r="AG61" s="216">
        <f>VLOOKUP($C61,Контейнеры!$B$16:$AB$104,17,0)</f>
        <v>0.0896523826692579</v>
      </c>
      <c r="AH61" s="213"/>
      <c r="AI61" s="214">
        <f>VLOOKUP($C61,Контейнеры!$B$16:$AB$104,13,0)</f>
        <v>25.4706705432908</v>
      </c>
      <c r="AJ61" s="215">
        <f>VLOOKUP($C61,Контейнеры!$B$16:$AB$104,18,0)</f>
        <v>1</v>
      </c>
      <c r="AK61" s="231"/>
      <c r="AL61" s="170"/>
      <c r="AM61" s="170"/>
      <c r="AN61" s="232"/>
      <c r="AO61" s="261">
        <f>VLOOKUP($C61,Обработка!$B$16:$L$104,6,0)</f>
        <v>0.436</v>
      </c>
      <c r="AP61" s="250">
        <f t="shared" si="7"/>
        <v>-0.107</v>
      </c>
      <c r="AQ61" s="259">
        <f>VLOOKUP($C61,Обработка!$B$16:$L$104,7,0)</f>
        <v>0.8</v>
      </c>
      <c r="AR61" s="262">
        <f t="shared" si="8"/>
        <v>-0.00700000000000001</v>
      </c>
      <c r="AS61" s="253">
        <f>VLOOKUP($C61,Утилизация!$B$16:$L$104,6,0)</f>
        <v>0.058</v>
      </c>
      <c r="AT61" s="251">
        <f t="shared" si="9"/>
        <v>-0.081</v>
      </c>
      <c r="AU61" s="250">
        <f>VLOOKUP($C61,Утилизация!$B$16:$L$104,7,0)</f>
        <v>0.349</v>
      </c>
      <c r="AV61" s="256">
        <f t="shared" si="10"/>
        <v>0.063</v>
      </c>
      <c r="AW61" s="284" t="str">
        <f>VLOOKUP(C61,Захоронение!$B$16:$Q$104,16,0)</f>
        <v/>
      </c>
      <c r="AX61" s="231"/>
      <c r="AY61" s="170"/>
      <c r="AZ61" s="170"/>
      <c r="BA61" s="171"/>
      <c r="BB61" s="280" t="str">
        <f>VLOOKUP(C61,'ДК ИП'!$B$16:$S$104,5,0)</f>
        <v>небольшое</v>
      </c>
      <c r="BC61" s="285">
        <f>VLOOKUP(C61,Радар!$B$16:$G$104,6,0)</f>
        <v>0.00295249363922152</v>
      </c>
      <c r="BD61" s="171"/>
      <c r="BF61" s="292">
        <f t="shared" si="11"/>
        <v>0.333333333333333</v>
      </c>
      <c r="BI61" s="9">
        <f t="shared" si="12"/>
        <v>0</v>
      </c>
      <c r="BJ61" s="9">
        <f>VLOOKUP(C61,Штаб!$B$16:$C$104,2)</f>
        <v>1</v>
      </c>
      <c r="BK61" s="9">
        <f>VLOOKUP(C61,'РО - регионы'!$B$16:$C$104,2)</f>
        <v>1</v>
      </c>
      <c r="BL61" s="9">
        <f>VLOOKUP(C61,'РО - регионы'!$B$16:$L$104,11)</f>
        <v>2</v>
      </c>
      <c r="BM61" s="9">
        <f>VLOOKUP(C61,Спецтехника!$B$16:$C$104,2)</f>
        <v>1</v>
      </c>
      <c r="BN61" s="9">
        <f>VLOOKUP($C61,МНО!$B$16:$AB$104,6,0)</f>
        <v>0</v>
      </c>
      <c r="BO61" s="9">
        <f>VLOOKUP($C61,МНО!$B$16:$AB$104,4,0)</f>
        <v>0</v>
      </c>
      <c r="BP61" s="9">
        <f>VLOOKUP($C61,МНО!$B$16:$AB$104,5,0)</f>
        <v>0</v>
      </c>
      <c r="BQ61" s="9">
        <f>VLOOKUP($C61,Контейнеры!$B$16:$G$104,6,0)</f>
        <v>0</v>
      </c>
      <c r="BR61" s="9">
        <f>VLOOKUP($C61,Контейнеры!$B$16:$G$104,4,0)</f>
        <v>0</v>
      </c>
      <c r="BS61" s="9">
        <f>VLOOKUP($C61,Контейнеры!$B$16:$G$104,5,0)</f>
        <v>0</v>
      </c>
      <c r="BT61" s="9">
        <f>VLOOKUP($C61,'ДК МНО'!$B$16:$C$104,2,0)</f>
        <v>2</v>
      </c>
      <c r="BU61" s="9">
        <f>VLOOKUP($C61,Обработка!$B$16:$F$104,5,0)</f>
        <v>1</v>
      </c>
      <c r="BV61" s="9">
        <f>VLOOKUP($C61,Обработка!$B$16:$F$104,4,0)</f>
        <v>1</v>
      </c>
      <c r="BW61" s="9">
        <f>VLOOKUP($C61,Утилизация!$B$16:$F$104,5,0)</f>
        <v>0</v>
      </c>
      <c r="BX61" s="9">
        <f>VLOOKUP($C61,Утилизация!$B$16:$F$104,4,0)</f>
        <v>2</v>
      </c>
      <c r="BY61" s="9">
        <f>VLOOKUP($C61,Захоронение!$B$16:$C$104,2,0)</f>
        <v>0</v>
      </c>
      <c r="BZ61" s="9">
        <f>VLOOKUP($C61,'ДК ИП'!$B$16:$C$104,2,0)</f>
        <v>0</v>
      </c>
      <c r="CA61" s="9">
        <f>VLOOKUP(C61,Радар!$B$16:$G$104,2,0)</f>
        <v>0</v>
      </c>
      <c r="CB61" s="9">
        <f>SUMPRODUCT(BJ61:BZ61,$BJ$5:$BZ$5)</f>
        <v>0.45</v>
      </c>
    </row>
    <row r="62" ht="15.75" spans="1:80">
      <c r="A62" s="6" t="s">
        <v>129</v>
      </c>
      <c r="B62" s="137">
        <f t="shared" si="6"/>
        <v>52</v>
      </c>
      <c r="C62" s="3" t="s">
        <v>157</v>
      </c>
      <c r="D62" s="133" t="str">
        <f>VLOOKUP($C62,Штаб!$B$16:$J$104,6,0)</f>
        <v/>
      </c>
      <c r="E62" s="134" t="str">
        <f>VLOOKUP($C62,Штаб!$B$16:$J$104,7,0)</f>
        <v/>
      </c>
      <c r="F62" s="134" t="str">
        <f>VLOOKUP($C62,Штаб!$B$16:$J$104,8,0)</f>
        <v/>
      </c>
      <c r="G62" s="135" t="str">
        <f>VLOOKUP($C62,Штаб!$B$16:$J$104,9,0)</f>
        <v>✔️</v>
      </c>
      <c r="H62" s="139" t="str">
        <f>VLOOKUP(C62,'РО - регионы'!$B$16:$I$104,8,0)</f>
        <v>0 / 0 / 3 из 3</v>
      </c>
      <c r="I62" s="169"/>
      <c r="J62" s="137"/>
      <c r="K62" s="170"/>
      <c r="L62" s="170"/>
      <c r="M62" s="171"/>
      <c r="N62" s="172">
        <f>VLOOKUP(C62,Спецтехника!$B$16:$J$104,4,0)</f>
        <v>191</v>
      </c>
      <c r="O62" s="173">
        <f>VLOOKUP(C62,Спецтехника!$B$16:$J$104,5,0)</f>
        <v>191</v>
      </c>
      <c r="P62" s="173">
        <f>VLOOKUP(C62,Спецтехника!$B$16:$J$104,6,0)</f>
        <v>0</v>
      </c>
      <c r="Q62" s="196">
        <f>VLOOKUP(C62,Спецтехника!$B$16:$J$104,7,0)</f>
        <v>0</v>
      </c>
      <c r="R62" s="197"/>
      <c r="S62" s="137"/>
      <c r="T62" s="170"/>
      <c r="U62" s="170"/>
      <c r="V62" s="171"/>
      <c r="W62" s="176">
        <f>VLOOKUP($C62,МНО!$B$16:$AB$104,16,0)</f>
        <v>10779</v>
      </c>
      <c r="X62" s="177">
        <f>VLOOKUP($C62,МНО!$B$16:$AB$104,8,0)</f>
        <v>3807</v>
      </c>
      <c r="Y62" s="177">
        <f>VLOOKUP($C62,МНО!$B$16:$AB$104,11,0)</f>
        <v>6972</v>
      </c>
      <c r="Z62" s="217">
        <f>VLOOKUP($C62,МНО!$B$16:$AB$104,17,0)</f>
        <v>0.646813247982188</v>
      </c>
      <c r="AA62" s="213"/>
      <c r="AB62" s="214">
        <f>VLOOKUP($C62,МНО!$B$16:$AB$104,13,0)</f>
        <v>3.84392986268445</v>
      </c>
      <c r="AC62" s="215">
        <f>VLOOKUP($C62,МНО!$B$16:$AB$104,18,0)</f>
        <v>1</v>
      </c>
      <c r="AD62" s="176">
        <f>VLOOKUP($C62,Контейнеры!$B$16:$AB$104,16,0)</f>
        <v>7328</v>
      </c>
      <c r="AE62" s="177">
        <f>VLOOKUP($C62,Контейнеры!$B$16:$AB$104,8,0)</f>
        <v>7328</v>
      </c>
      <c r="AF62" s="177">
        <f>VLOOKUP($C62,Контейнеры!$B$16:$AB$104,11,0)</f>
        <v>0</v>
      </c>
      <c r="AG62" s="217">
        <f>VLOOKUP($C62,Контейнеры!$B$16:$AB$104,17,0)</f>
        <v>0</v>
      </c>
      <c r="AH62" s="213"/>
      <c r="AI62" s="214">
        <f>VLOOKUP($C62,Контейнеры!$B$16:$AB$104,13,0)</f>
        <v>7.53969968783503</v>
      </c>
      <c r="AJ62" s="215">
        <f>VLOOKUP($C62,Контейнеры!$B$16:$AB$104,18,0)</f>
        <v>1</v>
      </c>
      <c r="AK62" s="231"/>
      <c r="AL62" s="170"/>
      <c r="AM62" s="170"/>
      <c r="AN62" s="232"/>
      <c r="AO62" s="249">
        <f>VLOOKUP($C62,Обработка!$B$16:$L$104,6,0)</f>
        <v>0</v>
      </c>
      <c r="AP62" s="251">
        <f t="shared" si="7"/>
        <v>-0.543</v>
      </c>
      <c r="AQ62" s="259">
        <f>VLOOKUP($C62,Обработка!$B$16:$L$104,7,0)</f>
        <v>0.662069</v>
      </c>
      <c r="AR62" s="262">
        <f t="shared" si="8"/>
        <v>-0.144931</v>
      </c>
      <c r="AS62" s="253">
        <f>VLOOKUP($C62,Утилизация!$B$16:$L$104,6,0)</f>
        <v>0</v>
      </c>
      <c r="AT62" s="251">
        <f t="shared" si="9"/>
        <v>-0.139</v>
      </c>
      <c r="AU62" s="259">
        <f>VLOOKUP($C62,Утилизация!$B$16:$L$104,7,0)</f>
        <v>0.271473</v>
      </c>
      <c r="AV62" s="260">
        <f t="shared" si="10"/>
        <v>-0.014527</v>
      </c>
      <c r="AW62" s="279" t="str">
        <f>VLOOKUP(C62,Захоронение!$B$16:$Q$104,16,0)</f>
        <v>свалки</v>
      </c>
      <c r="AX62" s="231"/>
      <c r="AY62" s="170"/>
      <c r="AZ62" s="170"/>
      <c r="BA62" s="171"/>
      <c r="BB62" s="280" t="str">
        <f>VLOOKUP(C62,'ДК ИП'!$B$16:$S$104,5,0)</f>
        <v>среднее</v>
      </c>
      <c r="BC62" s="282">
        <f>VLOOKUP(C62,Радар!$B$16:$G$104,6,0)</f>
        <v>0.0915711343091318</v>
      </c>
      <c r="BD62" s="171"/>
      <c r="BF62" s="290">
        <f t="shared" si="11"/>
        <v>1.25</v>
      </c>
      <c r="BI62" s="9">
        <f t="shared" si="12"/>
        <v>1</v>
      </c>
      <c r="BJ62" s="9">
        <f>VLOOKUP(C62,Штаб!$B$16:$C$104,2)</f>
        <v>2</v>
      </c>
      <c r="BK62" s="9">
        <f>VLOOKUP(C62,'РО - регионы'!$B$16:$C$104,2)</f>
        <v>0</v>
      </c>
      <c r="BL62" s="9">
        <f>VLOOKUP(C62,'РО - регионы'!$B$16:$L$104,11)</f>
        <v>0</v>
      </c>
      <c r="BM62" s="9">
        <f>VLOOKUP(C62,Спецтехника!$B$16:$C$104,2)</f>
        <v>0</v>
      </c>
      <c r="BN62" s="9">
        <f>VLOOKUP($C62,МНО!$B$16:$AB$104,6,0)</f>
        <v>2</v>
      </c>
      <c r="BO62" s="9">
        <f>VLOOKUP($C62,МНО!$B$16:$AB$104,4,0)</f>
        <v>1</v>
      </c>
      <c r="BP62" s="9">
        <f>VLOOKUP($C62,МНО!$B$16:$AB$104,5,0)</f>
        <v>0</v>
      </c>
      <c r="BQ62" s="9">
        <f>VLOOKUP($C62,Контейнеры!$B$16:$G$104,6,0)</f>
        <v>2</v>
      </c>
      <c r="BR62" s="9">
        <f>VLOOKUP($C62,Контейнеры!$B$16:$G$104,4,0)</f>
        <v>2</v>
      </c>
      <c r="BS62" s="9">
        <f>VLOOKUP($C62,Контейнеры!$B$16:$G$104,5,0)</f>
        <v>0</v>
      </c>
      <c r="BT62" s="9">
        <f>VLOOKUP($C62,'ДК МНО'!$B$16:$C$104,2,0)</f>
        <v>2</v>
      </c>
      <c r="BU62" s="9">
        <f>VLOOKUP($C62,Обработка!$B$16:$F$104,5,0)</f>
        <v>1</v>
      </c>
      <c r="BV62" s="9">
        <f>VLOOKUP($C62,Обработка!$B$16:$F$104,4,0)</f>
        <v>2</v>
      </c>
      <c r="BW62" s="9">
        <f>VLOOKUP($C62,Утилизация!$B$16:$F$104,5,0)</f>
        <v>1</v>
      </c>
      <c r="BX62" s="9">
        <f>VLOOKUP($C62,Утилизация!$B$16:$F$104,4,0)</f>
        <v>2</v>
      </c>
      <c r="BY62" s="9">
        <f>VLOOKUP($C62,Захоронение!$B$16:$C$104,2,0)</f>
        <v>2</v>
      </c>
      <c r="BZ62" s="9">
        <f>VLOOKUP($C62,'ДК ИП'!$B$16:$C$104,2,0)</f>
        <v>1</v>
      </c>
      <c r="CA62" s="9">
        <f>VLOOKUP(C62,Радар!$B$16:$G$104,2,0)</f>
        <v>1</v>
      </c>
      <c r="CB62" s="9">
        <f>SUMPRODUCT(BJ62:BZ62,$BJ$5:$BZ$5)</f>
        <v>1.25</v>
      </c>
    </row>
    <row r="63" ht="15.75" spans="1:80">
      <c r="A63" s="6" t="s">
        <v>104</v>
      </c>
      <c r="B63" s="131">
        <f t="shared" si="6"/>
        <v>53</v>
      </c>
      <c r="C63" s="3" t="s">
        <v>136</v>
      </c>
      <c r="D63" s="133" t="str">
        <f>VLOOKUP($C63,Штаб!$B$16:$J$104,6,0)</f>
        <v/>
      </c>
      <c r="E63" s="134" t="str">
        <f>VLOOKUP($C63,Штаб!$B$16:$J$104,7,0)</f>
        <v/>
      </c>
      <c r="F63" s="134" t="str">
        <f>VLOOKUP($C63,Штаб!$B$16:$J$104,8,0)</f>
        <v/>
      </c>
      <c r="G63" s="135" t="str">
        <f>VLOOKUP($C63,Штаб!$B$16:$J$104,9,0)</f>
        <v>✔️</v>
      </c>
      <c r="H63" s="138" t="str">
        <f>VLOOKUP(C63,'РО - регионы'!$B$16:$I$104,8,0)</f>
        <v>0 / 3 / 0 из 3</v>
      </c>
      <c r="I63" s="169"/>
      <c r="J63" s="137"/>
      <c r="K63" s="170"/>
      <c r="L63" s="170"/>
      <c r="M63" s="171"/>
      <c r="N63" s="176">
        <f>VLOOKUP(C63,Спецтехника!$B$16:$J$104,4,0)</f>
        <v>263</v>
      </c>
      <c r="O63" s="177">
        <f>VLOOKUP(C63,Спецтехника!$B$16:$J$104,5,0)</f>
        <v>139</v>
      </c>
      <c r="P63" s="177">
        <f>VLOOKUP(C63,Спецтехника!$B$16:$J$104,6,0)</f>
        <v>124</v>
      </c>
      <c r="Q63" s="199">
        <f>VLOOKUP(C63,Спецтехника!$B$16:$J$104,7,0)</f>
        <v>0.47148288973384</v>
      </c>
      <c r="R63" s="197"/>
      <c r="S63" s="137"/>
      <c r="T63" s="170"/>
      <c r="U63" s="170"/>
      <c r="V63" s="171"/>
      <c r="W63" s="176">
        <f>VLOOKUP($C63,МНО!$B$16:$AB$104,16,0)</f>
        <v>11459</v>
      </c>
      <c r="X63" s="177">
        <f>VLOOKUP($C63,МНО!$B$16:$AB$104,8,0)</f>
        <v>6173</v>
      </c>
      <c r="Y63" s="177">
        <f>VLOOKUP($C63,МНО!$B$16:$AB$104,11,0)</f>
        <v>5286</v>
      </c>
      <c r="Z63" s="217">
        <f>VLOOKUP($C63,МНО!$B$16:$AB$104,17,0)</f>
        <v>0.461296797277249</v>
      </c>
      <c r="AA63" s="213"/>
      <c r="AB63" s="214">
        <f>VLOOKUP($C63,МНО!$B$16:$AB$104,13,0)</f>
        <v>1.82444038531983</v>
      </c>
      <c r="AC63" s="215">
        <f>VLOOKUP($C63,МНО!$B$16:$AB$104,18,0)</f>
        <v>1</v>
      </c>
      <c r="AD63" s="176">
        <f>VLOOKUP($C63,Контейнеры!$B$16:$AB$104,16,0)</f>
        <v>18260</v>
      </c>
      <c r="AE63" s="177">
        <f>VLOOKUP($C63,Контейнеры!$B$16:$AB$104,8,0)</f>
        <v>18260</v>
      </c>
      <c r="AF63" s="177">
        <f>VLOOKUP($C63,Контейнеры!$B$16:$AB$104,11,0)</f>
        <v>0</v>
      </c>
      <c r="AG63" s="217">
        <f>VLOOKUP($C63,Контейнеры!$B$16:$AB$104,17,0)</f>
        <v>0</v>
      </c>
      <c r="AH63" s="213"/>
      <c r="AI63" s="214">
        <f>VLOOKUP($C63,Контейнеры!$B$16:$AB$104,13,0)</f>
        <v>5.64936093538072</v>
      </c>
      <c r="AJ63" s="215">
        <f>VLOOKUP($C63,Контейнеры!$B$16:$AB$104,18,0)</f>
        <v>1</v>
      </c>
      <c r="AK63" s="231"/>
      <c r="AL63" s="170"/>
      <c r="AM63" s="170"/>
      <c r="AN63" s="232"/>
      <c r="AO63" s="249">
        <f>VLOOKUP($C63,Обработка!$B$16:$L$104,6,0)</f>
        <v>0</v>
      </c>
      <c r="AP63" s="251">
        <f t="shared" si="7"/>
        <v>-0.543</v>
      </c>
      <c r="AQ63" s="250">
        <f>VLOOKUP($C63,Обработка!$B$16:$L$104,7,0)</f>
        <v>1</v>
      </c>
      <c r="AR63" s="255">
        <f t="shared" si="8"/>
        <v>0.193</v>
      </c>
      <c r="AS63" s="253">
        <f>VLOOKUP($C63,Утилизация!$B$16:$L$104,6,0)</f>
        <v>0</v>
      </c>
      <c r="AT63" s="251">
        <f t="shared" si="9"/>
        <v>-0.139</v>
      </c>
      <c r="AU63" s="250">
        <f>VLOOKUP($C63,Утилизация!$B$16:$L$104,7,0)</f>
        <v>0.5</v>
      </c>
      <c r="AV63" s="256">
        <f t="shared" si="10"/>
        <v>0.214</v>
      </c>
      <c r="AW63" s="283" t="str">
        <f>VLOOKUP(C63,Захоронение!$B$16:$Q$104,16,0)</f>
        <v>перегруз</v>
      </c>
      <c r="AX63" s="231"/>
      <c r="AY63" s="170"/>
      <c r="AZ63" s="170"/>
      <c r="BA63" s="171"/>
      <c r="BB63" s="280" t="str">
        <f>VLOOKUP(C63,'ДК ИП'!$B$16:$S$104,5,0)</f>
        <v>нет</v>
      </c>
      <c r="BC63" s="285">
        <f>VLOOKUP(C63,Радар!$B$16:$G$104,6,0)</f>
        <v>0.000618768996208184</v>
      </c>
      <c r="BD63" s="171"/>
      <c r="BF63" s="291">
        <f t="shared" si="11"/>
        <v>0.666666666666667</v>
      </c>
      <c r="BI63" s="9">
        <f t="shared" si="12"/>
        <v>1</v>
      </c>
      <c r="BJ63" s="9">
        <f>VLOOKUP(C63,Штаб!$B$16:$C$104,2)</f>
        <v>2</v>
      </c>
      <c r="BK63" s="9">
        <f>VLOOKUP(C63,'РО - регионы'!$B$16:$C$104,2)</f>
        <v>1</v>
      </c>
      <c r="BL63" s="9">
        <f>VLOOKUP(C63,'РО - регионы'!$B$16:$L$104,11)</f>
        <v>2</v>
      </c>
      <c r="BM63" s="9">
        <f>VLOOKUP(C63,Спецтехника!$B$16:$C$104,2)</f>
        <v>2</v>
      </c>
      <c r="BN63" s="9">
        <f>VLOOKUP($C63,МНО!$B$16:$AB$104,6,0)</f>
        <v>2</v>
      </c>
      <c r="BO63" s="9">
        <f>VLOOKUP($C63,МНО!$B$16:$AB$104,4,0)</f>
        <v>2</v>
      </c>
      <c r="BP63" s="9">
        <f>VLOOKUP($C63,МНО!$B$16:$AB$104,5,0)</f>
        <v>0</v>
      </c>
      <c r="BQ63" s="9">
        <f>VLOOKUP($C63,Контейнеры!$B$16:$G$104,6,0)</f>
        <v>2</v>
      </c>
      <c r="BR63" s="9">
        <f>VLOOKUP($C63,Контейнеры!$B$16:$G$104,4,0)</f>
        <v>2</v>
      </c>
      <c r="BS63" s="9">
        <f>VLOOKUP($C63,Контейнеры!$B$16:$G$104,5,0)</f>
        <v>0</v>
      </c>
      <c r="BT63" s="9">
        <f>VLOOKUP($C63,'ДК МНО'!$B$16:$C$104,2,0)</f>
        <v>2</v>
      </c>
      <c r="BU63" s="9">
        <f>VLOOKUP($C63,Обработка!$B$16:$F$104,5,0)</f>
        <v>0</v>
      </c>
      <c r="BV63" s="9">
        <f>VLOOKUP($C63,Обработка!$B$16:$F$104,4,0)</f>
        <v>2</v>
      </c>
      <c r="BW63" s="9">
        <f>VLOOKUP($C63,Утилизация!$B$16:$F$104,5,0)</f>
        <v>0</v>
      </c>
      <c r="BX63" s="9">
        <f>VLOOKUP($C63,Утилизация!$B$16:$F$104,4,0)</f>
        <v>2</v>
      </c>
      <c r="BY63" s="9">
        <f>VLOOKUP($C63,Захоронение!$B$16:$C$104,2,0)</f>
        <v>1</v>
      </c>
      <c r="BZ63" s="9">
        <f>VLOOKUP($C63,'ДК ИП'!$B$16:$C$104,2,0)</f>
        <v>0</v>
      </c>
      <c r="CA63" s="9">
        <f>VLOOKUP(C63,Радар!$B$16:$G$104,2,0)</f>
        <v>0</v>
      </c>
      <c r="CB63" s="9">
        <f>SUMPRODUCT(BJ63:BZ63,$BJ$5:$BZ$5)</f>
        <v>1.15</v>
      </c>
    </row>
    <row r="64" ht="15.75" spans="1:80">
      <c r="A64" s="6" t="s">
        <v>104</v>
      </c>
      <c r="B64" s="137">
        <f t="shared" si="6"/>
        <v>54</v>
      </c>
      <c r="C64" s="3" t="s">
        <v>158</v>
      </c>
      <c r="D64" s="133" t="str">
        <f>VLOOKUP($C64,Штаб!$B$16:$J$104,6,0)</f>
        <v>✔️</v>
      </c>
      <c r="E64" s="134" t="str">
        <f>VLOOKUP($C64,Штаб!$B$16:$J$104,7,0)</f>
        <v/>
      </c>
      <c r="F64" s="134" t="str">
        <f>VLOOKUP($C64,Штаб!$B$16:$J$104,8,0)</f>
        <v/>
      </c>
      <c r="G64" s="135" t="str">
        <f>VLOOKUP($C64,Штаб!$B$16:$J$104,9,0)</f>
        <v/>
      </c>
      <c r="H64" s="138" t="str">
        <f>VLOOKUP(C64,'РО - регионы'!$B$16:$I$104,8,0)</f>
        <v>0 / 1 / 0 из 1</v>
      </c>
      <c r="I64" s="169"/>
      <c r="J64" s="137"/>
      <c r="K64" s="170"/>
      <c r="L64" s="170"/>
      <c r="M64" s="171"/>
      <c r="N64" s="176">
        <f>VLOOKUP(C64,Спецтехника!$B$16:$J$104,4,0)</f>
        <v>91</v>
      </c>
      <c r="O64" s="177">
        <f>VLOOKUP(C64,Спецтехника!$B$16:$J$104,5,0)</f>
        <v>36</v>
      </c>
      <c r="P64" s="177">
        <f>VLOOKUP(C64,Спецтехника!$B$16:$J$104,6,0)</f>
        <v>55</v>
      </c>
      <c r="Q64" s="199">
        <f>VLOOKUP(C64,Спецтехника!$B$16:$J$104,7,0)</f>
        <v>0.604395604395604</v>
      </c>
      <c r="R64" s="197"/>
      <c r="S64" s="137"/>
      <c r="T64" s="170"/>
      <c r="U64" s="170"/>
      <c r="V64" s="171"/>
      <c r="W64" s="176">
        <f>VLOOKUP($C64,МНО!$B$16:$AB$104,16,0)</f>
        <v>380</v>
      </c>
      <c r="X64" s="177">
        <f>VLOOKUP($C64,МНО!$B$16:$AB$104,8,0)</f>
        <v>58</v>
      </c>
      <c r="Y64" s="177">
        <f>VLOOKUP($C64,МНО!$B$16:$AB$104,11,0)</f>
        <v>322</v>
      </c>
      <c r="Z64" s="217">
        <f>VLOOKUP($C64,МНО!$B$16:$AB$104,17,0)</f>
        <v>0.847368421052632</v>
      </c>
      <c r="AA64" s="213"/>
      <c r="AB64" s="214">
        <f>VLOOKUP($C64,МНО!$B$16:$AB$104,13,0)</f>
        <v>0.11001100110011</v>
      </c>
      <c r="AC64" s="215">
        <f>VLOOKUP($C64,МНО!$B$16:$AB$104,18,0)</f>
        <v>0.214022140221402</v>
      </c>
      <c r="AD64" s="176">
        <f>VLOOKUP($C64,Контейнеры!$B$16:$AB$104,16,0)</f>
        <v>319</v>
      </c>
      <c r="AE64" s="177">
        <f>VLOOKUP($C64,Контейнеры!$B$16:$AB$104,8,0)</f>
        <v>319</v>
      </c>
      <c r="AF64" s="177">
        <f>VLOOKUP($C64,Контейнеры!$B$16:$AB$104,11,0)</f>
        <v>0</v>
      </c>
      <c r="AG64" s="217">
        <f>VLOOKUP($C64,Контейнеры!$B$16:$AB$104,17,0)</f>
        <v>0</v>
      </c>
      <c r="AH64" s="213"/>
      <c r="AI64" s="214">
        <f>VLOOKUP($C64,Контейнеры!$B$16:$AB$104,13,0)</f>
        <v>0.605060506050605</v>
      </c>
      <c r="AJ64" s="215">
        <f>VLOOKUP($C64,Контейнеры!$B$16:$AB$104,18,0)</f>
        <v>0.228673835125448</v>
      </c>
      <c r="AK64" s="231"/>
      <c r="AL64" s="170"/>
      <c r="AM64" s="170"/>
      <c r="AN64" s="232"/>
      <c r="AO64" s="249">
        <f>VLOOKUP($C64,Обработка!$B$16:$L$104,6,0)</f>
        <v>1</v>
      </c>
      <c r="AP64" s="251">
        <f t="shared" si="7"/>
        <v>0.457</v>
      </c>
      <c r="AQ64" s="250">
        <f>VLOOKUP($C64,Обработка!$B$16:$L$104,7,0)</f>
        <v>1</v>
      </c>
      <c r="AR64" s="255">
        <f t="shared" si="8"/>
        <v>0.193</v>
      </c>
      <c r="AS64" s="253">
        <f>VLOOKUP($C64,Утилизация!$B$16:$L$104,6,0)</f>
        <v>0.35</v>
      </c>
      <c r="AT64" s="251">
        <f t="shared" si="9"/>
        <v>0.211</v>
      </c>
      <c r="AU64" s="250">
        <f>VLOOKUP($C64,Утилизация!$B$16:$L$104,7,0)</f>
        <v>0.5</v>
      </c>
      <c r="AV64" s="256">
        <f t="shared" si="10"/>
        <v>0.214</v>
      </c>
      <c r="AW64" s="279" t="str">
        <f>VLOOKUP(C64,Захоронение!$B$16:$Q$104,16,0)</f>
        <v>свалки</v>
      </c>
      <c r="AX64" s="231"/>
      <c r="AY64" s="170"/>
      <c r="AZ64" s="170"/>
      <c r="BA64" s="171"/>
      <c r="BB64" s="280" t="str">
        <f>VLOOKUP(C64,'ДК ИП'!$B$16:$S$104,5,0)</f>
        <v>существенное</v>
      </c>
      <c r="BC64" s="285">
        <f>VLOOKUP(C64,Радар!$B$16:$G$104,6,0)</f>
        <v>0.0493152763552217</v>
      </c>
      <c r="BD64" s="171"/>
      <c r="BF64" s="290">
        <f t="shared" si="11"/>
        <v>1.16666666666667</v>
      </c>
      <c r="BI64" s="9">
        <f t="shared" si="12"/>
        <v>2</v>
      </c>
      <c r="BJ64" s="9">
        <f>VLOOKUP(C64,Штаб!$B$16:$C$104,2)</f>
        <v>0</v>
      </c>
      <c r="BK64" s="9">
        <f>VLOOKUP(C64,'РО - регионы'!$B$16:$C$104,2)</f>
        <v>1</v>
      </c>
      <c r="BL64" s="9">
        <f>VLOOKUP(C64,'РО - регионы'!$B$16:$L$104,11)</f>
        <v>2</v>
      </c>
      <c r="BM64" s="9">
        <f>VLOOKUP(C64,Спецтехника!$B$16:$C$104,2)</f>
        <v>2</v>
      </c>
      <c r="BN64" s="9">
        <f>VLOOKUP($C64,МНО!$B$16:$AB$104,6,0)</f>
        <v>2</v>
      </c>
      <c r="BO64" s="9">
        <f>VLOOKUP($C64,МНО!$B$16:$AB$104,4,0)</f>
        <v>2</v>
      </c>
      <c r="BP64" s="9">
        <f>VLOOKUP($C64,МНО!$B$16:$AB$104,5,0)</f>
        <v>2</v>
      </c>
      <c r="BQ64" s="9">
        <f>VLOOKUP($C64,Контейнеры!$B$16:$G$104,6,0)</f>
        <v>2</v>
      </c>
      <c r="BR64" s="9">
        <f>VLOOKUP($C64,Контейнеры!$B$16:$G$104,4,0)</f>
        <v>2</v>
      </c>
      <c r="BS64" s="9">
        <f>VLOOKUP($C64,Контейнеры!$B$16:$G$104,5,0)</f>
        <v>2</v>
      </c>
      <c r="BT64" s="9">
        <f>VLOOKUP($C64,'ДК МНО'!$B$16:$C$104,2,0)</f>
        <v>2</v>
      </c>
      <c r="BU64" s="9">
        <f>VLOOKUP($C64,Обработка!$B$16:$F$104,5,0)</f>
        <v>0</v>
      </c>
      <c r="BV64" s="9">
        <f>VLOOKUP($C64,Обработка!$B$16:$F$104,4,0)</f>
        <v>2</v>
      </c>
      <c r="BW64" s="9">
        <f>VLOOKUP($C64,Утилизация!$B$16:$F$104,5,0)</f>
        <v>0</v>
      </c>
      <c r="BX64" s="9">
        <f>VLOOKUP($C64,Утилизация!$B$16:$F$104,4,0)</f>
        <v>2</v>
      </c>
      <c r="BY64" s="9">
        <f>VLOOKUP($C64,Захоронение!$B$16:$C$104,2,0)</f>
        <v>2</v>
      </c>
      <c r="BZ64" s="9">
        <f>VLOOKUP($C64,'ДК ИП'!$B$16:$C$104,2,0)</f>
        <v>2</v>
      </c>
      <c r="CA64" s="9">
        <f>VLOOKUP(C64,Радар!$B$16:$G$104,2,0)</f>
        <v>0</v>
      </c>
      <c r="CB64" s="9">
        <f>SUMPRODUCT(BJ64:BZ64,$BJ$5:$BZ$5)</f>
        <v>1.6</v>
      </c>
    </row>
    <row r="65" ht="15.75" spans="1:80">
      <c r="A65" s="6" t="s">
        <v>85</v>
      </c>
      <c r="B65" s="131">
        <f t="shared" si="6"/>
        <v>55</v>
      </c>
      <c r="C65" s="3" t="s">
        <v>120</v>
      </c>
      <c r="D65" s="133" t="str">
        <f>VLOOKUP($C65,Штаб!$B$16:$J$104,6,0)</f>
        <v/>
      </c>
      <c r="E65" s="134" t="str">
        <f>VLOOKUP($C65,Штаб!$B$16:$J$104,7,0)</f>
        <v/>
      </c>
      <c r="F65" s="134" t="str">
        <f>VLOOKUP($C65,Штаб!$B$16:$J$104,8,0)</f>
        <v>✔️</v>
      </c>
      <c r="G65" s="135" t="str">
        <f>VLOOKUP($C65,Штаб!$B$16:$J$104,9,0)</f>
        <v/>
      </c>
      <c r="H65" s="138" t="str">
        <f>VLOOKUP(C65,'РО - регионы'!$B$16:$I$104,8,0)</f>
        <v>0 / 1 / 0 из 1</v>
      </c>
      <c r="I65" s="169"/>
      <c r="J65" s="137"/>
      <c r="K65" s="170"/>
      <c r="L65" s="170"/>
      <c r="M65" s="171"/>
      <c r="N65" s="172">
        <f>VLOOKUP(C65,Спецтехника!$B$16:$J$104,4,0)</f>
        <v>66</v>
      </c>
      <c r="O65" s="173">
        <f>VLOOKUP(C65,Спецтехника!$B$16:$J$104,5,0)</f>
        <v>66</v>
      </c>
      <c r="P65" s="173">
        <f>VLOOKUP(C65,Спецтехника!$B$16:$J$104,6,0)</f>
        <v>0</v>
      </c>
      <c r="Q65" s="196">
        <f>VLOOKUP(C65,Спецтехника!$B$16:$J$104,7,0)</f>
        <v>0</v>
      </c>
      <c r="R65" s="197"/>
      <c r="S65" s="137"/>
      <c r="T65" s="170"/>
      <c r="U65" s="170"/>
      <c r="V65" s="171"/>
      <c r="W65" s="174">
        <f>VLOOKUP($C65,МНО!$B$16:$AB$104,16,0)</f>
        <v>1333</v>
      </c>
      <c r="X65" s="175">
        <f>VLOOKUP($C65,МНО!$B$16:$AB$104,8,0)</f>
        <v>1047</v>
      </c>
      <c r="Y65" s="175">
        <f>VLOOKUP($C65,МНО!$B$16:$AB$104,11,0)</f>
        <v>286</v>
      </c>
      <c r="Z65" s="212">
        <f>VLOOKUP($C65,МНО!$B$16:$AB$104,17,0)</f>
        <v>0.214553638409602</v>
      </c>
      <c r="AA65" s="213"/>
      <c r="AB65" s="214">
        <f>VLOOKUP($C65,МНО!$B$16:$AB$104,13,0)</f>
        <v>3.90973497769614</v>
      </c>
      <c r="AC65" s="215">
        <f>VLOOKUP($C65,МНО!$B$16:$AB$104,18,0)</f>
        <v>1</v>
      </c>
      <c r="AD65" s="174">
        <f>VLOOKUP($C65,Контейнеры!$B$16:$AB$104,16,0)</f>
        <v>3194</v>
      </c>
      <c r="AE65" s="175">
        <f>VLOOKUP($C65,Контейнеры!$B$16:$AB$104,8,0)</f>
        <v>2375</v>
      </c>
      <c r="AF65" s="175">
        <f>VLOOKUP($C65,Контейнеры!$B$16:$AB$104,11,0)</f>
        <v>819</v>
      </c>
      <c r="AG65" s="212">
        <f>VLOOKUP($C65,Контейнеры!$B$16:$AB$104,17,0)</f>
        <v>0.256418284283031</v>
      </c>
      <c r="AH65" s="213"/>
      <c r="AI65" s="214">
        <f>VLOOKUP($C65,Контейнеры!$B$16:$AB$104,13,0)</f>
        <v>8.90280016493609</v>
      </c>
      <c r="AJ65" s="215">
        <f>VLOOKUP($C65,Контейнеры!$B$16:$AB$104,18,0)</f>
        <v>1</v>
      </c>
      <c r="AK65" s="231"/>
      <c r="AL65" s="170"/>
      <c r="AM65" s="170"/>
      <c r="AN65" s="232"/>
      <c r="AO65" s="249">
        <f>VLOOKUP($C65,Обработка!$B$16:$L$104,6,0)</f>
        <v>0.928</v>
      </c>
      <c r="AP65" s="251">
        <f t="shared" si="7"/>
        <v>0.385</v>
      </c>
      <c r="AQ65" s="250">
        <f>VLOOKUP($C65,Обработка!$B$16:$L$104,7,0)</f>
        <v>1</v>
      </c>
      <c r="AR65" s="255">
        <f t="shared" si="8"/>
        <v>0.193</v>
      </c>
      <c r="AS65" s="253">
        <f>VLOOKUP($C65,Утилизация!$B$16:$L$104,6,0)</f>
        <v>0</v>
      </c>
      <c r="AT65" s="251">
        <f t="shared" si="9"/>
        <v>-0.139</v>
      </c>
      <c r="AU65" s="259">
        <f>VLOOKUP($C65,Утилизация!$B$16:$L$104,7,0)</f>
        <v>0.25</v>
      </c>
      <c r="AV65" s="260">
        <f t="shared" si="10"/>
        <v>-0.036</v>
      </c>
      <c r="AW65" s="284" t="str">
        <f>VLOOKUP(C65,Захоронение!$B$16:$Q$104,16,0)</f>
        <v/>
      </c>
      <c r="AX65" s="231"/>
      <c r="AY65" s="170"/>
      <c r="AZ65" s="170"/>
      <c r="BA65" s="171"/>
      <c r="BB65" s="280" t="str">
        <f>VLOOKUP(C65,'ДК ИП'!$B$16:$S$104,5,0)</f>
        <v>среднее</v>
      </c>
      <c r="BC65" s="281">
        <f>VLOOKUP(C65,Радар!$B$16:$G$104,6,0)</f>
        <v>0.296135247591558</v>
      </c>
      <c r="BD65" s="171"/>
      <c r="BF65" s="291">
        <f t="shared" si="11"/>
        <v>0.5</v>
      </c>
      <c r="BI65" s="9">
        <f t="shared" si="12"/>
        <v>1</v>
      </c>
      <c r="BJ65" s="9">
        <f>VLOOKUP(C65,Штаб!$B$16:$C$104,2)</f>
        <v>1</v>
      </c>
      <c r="BK65" s="9">
        <f>VLOOKUP(C65,'РО - регионы'!$B$16:$C$104,2)</f>
        <v>1</v>
      </c>
      <c r="BL65" s="9">
        <f>VLOOKUP(C65,'РО - регионы'!$B$16:$L$104,11)</f>
        <v>2</v>
      </c>
      <c r="BM65" s="9">
        <f>VLOOKUP(C65,Спецтехника!$B$16:$C$104,2)</f>
        <v>0</v>
      </c>
      <c r="BN65" s="9">
        <f>VLOOKUP($C65,МНО!$B$16:$AB$104,6,0)</f>
        <v>1</v>
      </c>
      <c r="BO65" s="9">
        <f>VLOOKUP($C65,МНО!$B$16:$AB$104,4,0)</f>
        <v>1</v>
      </c>
      <c r="BP65" s="9">
        <f>VLOOKUP($C65,МНО!$B$16:$AB$104,5,0)</f>
        <v>0</v>
      </c>
      <c r="BQ65" s="9">
        <f>VLOOKUP($C65,Контейнеры!$B$16:$G$104,6,0)</f>
        <v>1</v>
      </c>
      <c r="BR65" s="9">
        <f>VLOOKUP($C65,Контейнеры!$B$16:$G$104,4,0)</f>
        <v>2</v>
      </c>
      <c r="BS65" s="9">
        <f>VLOOKUP($C65,Контейнеры!$B$16:$G$104,5,0)</f>
        <v>0</v>
      </c>
      <c r="BT65" s="9">
        <f>VLOOKUP($C65,'ДК МНО'!$B$16:$C$104,2,0)</f>
        <v>2</v>
      </c>
      <c r="BU65" s="9">
        <f>VLOOKUP($C65,Обработка!$B$16:$F$104,5,0)</f>
        <v>0</v>
      </c>
      <c r="BV65" s="9">
        <f>VLOOKUP($C65,Обработка!$B$16:$F$104,4,0)</f>
        <v>2</v>
      </c>
      <c r="BW65" s="9">
        <f>VLOOKUP($C65,Утилизация!$B$16:$F$104,5,0)</f>
        <v>1</v>
      </c>
      <c r="BX65" s="9">
        <f>VLOOKUP($C65,Утилизация!$B$16:$F$104,4,0)</f>
        <v>2</v>
      </c>
      <c r="BY65" s="9">
        <f>VLOOKUP($C65,Захоронение!$B$16:$C$104,2,0)</f>
        <v>0</v>
      </c>
      <c r="BZ65" s="9">
        <f>VLOOKUP($C65,'ДК ИП'!$B$16:$C$104,2,0)</f>
        <v>1</v>
      </c>
      <c r="CA65" s="9">
        <f>VLOOKUP(C65,Радар!$B$16:$G$104,2,0)</f>
        <v>2</v>
      </c>
      <c r="CB65" s="9">
        <f>SUMPRODUCT(BJ65:BZ65,$BJ$5:$BZ$5)</f>
        <v>0.8</v>
      </c>
    </row>
    <row r="66" ht="15.75" spans="1:80">
      <c r="A66" s="6" t="s">
        <v>70</v>
      </c>
      <c r="B66" s="137">
        <f t="shared" si="6"/>
        <v>56</v>
      </c>
      <c r="C66" s="3" t="s">
        <v>112</v>
      </c>
      <c r="D66" s="133" t="str">
        <f>VLOOKUP($C66,Штаб!$B$16:$J$104,6,0)</f>
        <v>✔️</v>
      </c>
      <c r="E66" s="134" t="str">
        <f>VLOOKUP($C66,Штаб!$B$16:$J$104,7,0)</f>
        <v/>
      </c>
      <c r="F66" s="134" t="str">
        <f>VLOOKUP($C66,Штаб!$B$16:$J$104,8,0)</f>
        <v/>
      </c>
      <c r="G66" s="135" t="str">
        <f>VLOOKUP($C66,Штаб!$B$16:$J$104,9,0)</f>
        <v/>
      </c>
      <c r="H66" s="139" t="str">
        <f>VLOOKUP(C66,'РО - регионы'!$B$16:$I$104,8,0)</f>
        <v>0 / 0 / 1 из 1</v>
      </c>
      <c r="I66" s="169"/>
      <c r="J66" s="137"/>
      <c r="K66" s="170"/>
      <c r="L66" s="170"/>
      <c r="M66" s="171"/>
      <c r="N66" s="172">
        <f>VLOOKUP(C66,Спецтехника!$B$16:$J$104,4,0)</f>
        <v>149</v>
      </c>
      <c r="O66" s="173">
        <f>VLOOKUP(C66,Спецтехника!$B$16:$J$104,5,0)</f>
        <v>149</v>
      </c>
      <c r="P66" s="173">
        <f>VLOOKUP(C66,Спецтехника!$B$16:$J$104,6,0)</f>
        <v>0</v>
      </c>
      <c r="Q66" s="196">
        <f>VLOOKUP(C66,Спецтехника!$B$16:$J$104,7,0)</f>
        <v>0</v>
      </c>
      <c r="R66" s="197"/>
      <c r="S66" s="137"/>
      <c r="T66" s="170"/>
      <c r="U66" s="170"/>
      <c r="V66" s="171"/>
      <c r="W66" s="176">
        <f>VLOOKUP($C66,МНО!$B$16:$AB$104,16,0)</f>
        <v>3580</v>
      </c>
      <c r="X66" s="177">
        <f>VLOOKUP($C66,МНО!$B$16:$AB$104,8,0)</f>
        <v>3580</v>
      </c>
      <c r="Y66" s="177">
        <f>VLOOKUP($C66,МНО!$B$16:$AB$104,11,0)</f>
        <v>0</v>
      </c>
      <c r="Z66" s="217">
        <f>VLOOKUP($C66,МНО!$B$16:$AB$104,17,0)</f>
        <v>0</v>
      </c>
      <c r="AA66" s="213"/>
      <c r="AB66" s="214">
        <f>VLOOKUP($C66,МНО!$B$16:$AB$104,13,0)</f>
        <v>5.61795607953331</v>
      </c>
      <c r="AC66" s="215">
        <f>VLOOKUP($C66,МНО!$B$16:$AB$104,18,0)</f>
        <v>0.945838837516513</v>
      </c>
      <c r="AD66" s="176">
        <f>VLOOKUP($C66,Контейнеры!$B$16:$AB$104,16,0)</f>
        <v>8628</v>
      </c>
      <c r="AE66" s="177">
        <f>VLOOKUP($C66,Контейнеры!$B$16:$AB$104,8,0)</f>
        <v>8628</v>
      </c>
      <c r="AF66" s="177">
        <f>VLOOKUP($C66,Контейнеры!$B$16:$AB$104,11,0)</f>
        <v>0</v>
      </c>
      <c r="AG66" s="217">
        <f>VLOOKUP($C66,Контейнеры!$B$16:$AB$104,17,0)</f>
        <v>0</v>
      </c>
      <c r="AH66" s="213"/>
      <c r="AI66" s="214">
        <f>VLOOKUP($C66,Контейнеры!$B$16:$AB$104,13,0)</f>
        <v>16.4701750099264</v>
      </c>
      <c r="AJ66" s="215">
        <f>VLOOKUP($C66,Контейнеры!$B$16:$AB$104,18,0)</f>
        <v>0.713057851239669</v>
      </c>
      <c r="AK66" s="231"/>
      <c r="AL66" s="170"/>
      <c r="AM66" s="170"/>
      <c r="AN66" s="232"/>
      <c r="AO66" s="249">
        <f>VLOOKUP($C66,Обработка!$B$16:$L$104,6,0)</f>
        <v>0.018</v>
      </c>
      <c r="AP66" s="250">
        <f t="shared" si="7"/>
        <v>-0.525</v>
      </c>
      <c r="AQ66" s="251">
        <f>VLOOKUP($C66,Обработка!$B$16:$L$104,7,0)</f>
        <v>0.22</v>
      </c>
      <c r="AR66" s="252">
        <f t="shared" si="8"/>
        <v>-0.587</v>
      </c>
      <c r="AS66" s="253">
        <f>VLOOKUP($C66,Утилизация!$B$16:$L$104,6,0)</f>
        <v>0.008</v>
      </c>
      <c r="AT66" s="251">
        <f t="shared" si="9"/>
        <v>-0.131</v>
      </c>
      <c r="AU66" s="251">
        <f>VLOOKUP($C66,Утилизация!$B$16:$L$104,7,0)</f>
        <v>0.063</v>
      </c>
      <c r="AV66" s="254">
        <f t="shared" si="10"/>
        <v>-0.223</v>
      </c>
      <c r="AW66" s="284" t="str">
        <f>VLOOKUP(C66,Захоронение!$B$16:$Q$104,16,0)</f>
        <v/>
      </c>
      <c r="AX66" s="231"/>
      <c r="AY66" s="170"/>
      <c r="AZ66" s="170"/>
      <c r="BA66" s="171"/>
      <c r="BB66" s="280" t="str">
        <f>VLOOKUP(C66,'ДК ИП'!$B$16:$S$104,5,0)</f>
        <v>небольшое</v>
      </c>
      <c r="BC66" s="281">
        <f>VLOOKUP(C66,Радар!$B$16:$G$104,6,0)</f>
        <v>0.0839925475703247</v>
      </c>
      <c r="BD66" s="171"/>
      <c r="BF66" s="291">
        <f t="shared" si="11"/>
        <v>0.666666666666667</v>
      </c>
      <c r="BI66" s="9">
        <f t="shared" si="12"/>
        <v>0</v>
      </c>
      <c r="BJ66" s="9">
        <f>VLOOKUP(C66,Штаб!$B$16:$C$104,2)</f>
        <v>0</v>
      </c>
      <c r="BK66" s="9">
        <f>VLOOKUP(C66,'РО - регионы'!$B$16:$C$104,2)</f>
        <v>0</v>
      </c>
      <c r="BL66" s="9">
        <f>VLOOKUP(C66,'РО - регионы'!$B$16:$L$104,11)</f>
        <v>0</v>
      </c>
      <c r="BM66" s="9">
        <f>VLOOKUP(C66,Спецтехника!$B$16:$C$104,2)</f>
        <v>0</v>
      </c>
      <c r="BN66" s="9">
        <f>VLOOKUP($C66,МНО!$B$16:$AB$104,6,0)</f>
        <v>2</v>
      </c>
      <c r="BO66" s="9">
        <f>VLOOKUP($C66,МНО!$B$16:$AB$104,4,0)</f>
        <v>1</v>
      </c>
      <c r="BP66" s="9">
        <f>VLOOKUP($C66,МНО!$B$16:$AB$104,5,0)</f>
        <v>0</v>
      </c>
      <c r="BQ66" s="9">
        <f>VLOOKUP($C66,Контейнеры!$B$16:$G$104,6,0)</f>
        <v>2</v>
      </c>
      <c r="BR66" s="9">
        <f>VLOOKUP($C66,Контейнеры!$B$16:$G$104,4,0)</f>
        <v>0</v>
      </c>
      <c r="BS66" s="9">
        <f>VLOOKUP($C66,Контейнеры!$B$16:$G$104,5,0)</f>
        <v>2</v>
      </c>
      <c r="BT66" s="9">
        <f>VLOOKUP($C66,'ДК МНО'!$B$16:$C$104,2,0)</f>
        <v>2</v>
      </c>
      <c r="BU66" s="9">
        <f>VLOOKUP($C66,Обработка!$B$16:$F$104,5,0)</f>
        <v>2</v>
      </c>
      <c r="BV66" s="9">
        <f>VLOOKUP($C66,Обработка!$B$16:$F$104,4,0)</f>
        <v>2</v>
      </c>
      <c r="BW66" s="9">
        <f>VLOOKUP($C66,Утилизация!$B$16:$F$104,5,0)</f>
        <v>2</v>
      </c>
      <c r="BX66" s="9">
        <f>VLOOKUP($C66,Утилизация!$B$16:$F$104,4,0)</f>
        <v>2</v>
      </c>
      <c r="BY66" s="9">
        <f>VLOOKUP($C66,Захоронение!$B$16:$C$104,2,0)</f>
        <v>0</v>
      </c>
      <c r="BZ66" s="9">
        <f>VLOOKUP($C66,'ДК ИП'!$B$16:$C$104,2,0)</f>
        <v>0</v>
      </c>
      <c r="CA66" s="9">
        <f>VLOOKUP(C66,Радар!$B$16:$G$104,2,0)</f>
        <v>2</v>
      </c>
      <c r="CB66" s="9">
        <f>SUMPRODUCT(BJ66:BZ66,$BJ$5:$BZ$5)</f>
        <v>0.65</v>
      </c>
    </row>
    <row r="67" ht="15.75" spans="1:80">
      <c r="A67" s="6" t="s">
        <v>70</v>
      </c>
      <c r="B67" s="131">
        <f t="shared" si="6"/>
        <v>57</v>
      </c>
      <c r="C67" s="3" t="s">
        <v>97</v>
      </c>
      <c r="D67" s="133" t="str">
        <f>VLOOKUP($C67,Штаб!$B$16:$J$104,6,0)</f>
        <v/>
      </c>
      <c r="E67" s="134" t="str">
        <f>VLOOKUP($C67,Штаб!$B$16:$J$104,7,0)</f>
        <v>✔️</v>
      </c>
      <c r="F67" s="134" t="str">
        <f>VLOOKUP($C67,Штаб!$B$16:$J$104,8,0)</f>
        <v/>
      </c>
      <c r="G67" s="135" t="str">
        <f>VLOOKUP($C67,Штаб!$B$16:$J$104,9,0)</f>
        <v/>
      </c>
      <c r="H67" s="139" t="str">
        <f>VLOOKUP(C67,'РО - регионы'!$B$16:$I$104,8,0)</f>
        <v>0 / 0 / 1 из 1</v>
      </c>
      <c r="I67" s="169"/>
      <c r="J67" s="137"/>
      <c r="K67" s="170"/>
      <c r="L67" s="170"/>
      <c r="M67" s="171"/>
      <c r="N67" s="172">
        <f>VLOOKUP(C67,Спецтехника!$B$16:$J$104,4,0)</f>
        <v>179</v>
      </c>
      <c r="O67" s="173">
        <f>VLOOKUP(C67,Спецтехника!$B$16:$J$104,5,0)</f>
        <v>179</v>
      </c>
      <c r="P67" s="173">
        <f>VLOOKUP(C67,Спецтехника!$B$16:$J$104,6,0)</f>
        <v>0</v>
      </c>
      <c r="Q67" s="196">
        <f>VLOOKUP(C67,Спецтехника!$B$16:$J$104,7,0)</f>
        <v>0</v>
      </c>
      <c r="R67" s="197"/>
      <c r="S67" s="137"/>
      <c r="T67" s="170"/>
      <c r="U67" s="170"/>
      <c r="V67" s="171"/>
      <c r="W67" s="172">
        <f>VLOOKUP($C67,МНО!$B$16:$AB$104,16,0)</f>
        <v>7629</v>
      </c>
      <c r="X67" s="173">
        <f>VLOOKUP($C67,МНО!$B$16:$AB$104,8,0)</f>
        <v>7233</v>
      </c>
      <c r="Y67" s="173">
        <f>VLOOKUP($C67,МНО!$B$16:$AB$104,11,0)</f>
        <v>396</v>
      </c>
      <c r="Z67" s="216">
        <f>VLOOKUP($C67,МНО!$B$16:$AB$104,17,0)</f>
        <v>0.0519071962249312</v>
      </c>
      <c r="AA67" s="213"/>
      <c r="AB67" s="214">
        <f>VLOOKUP($C67,МНО!$B$16:$AB$104,13,0)</f>
        <v>9.18111044809259</v>
      </c>
      <c r="AC67" s="215">
        <f>VLOOKUP($C67,МНО!$B$16:$AB$104,18,0)</f>
        <v>1</v>
      </c>
      <c r="AD67" s="172">
        <f>VLOOKUP($C67,Контейнеры!$B$16:$AB$104,16,0)</f>
        <v>17705</v>
      </c>
      <c r="AE67" s="173">
        <f>VLOOKUP($C67,Контейнеры!$B$16:$AB$104,8,0)</f>
        <v>16588</v>
      </c>
      <c r="AF67" s="173">
        <f>VLOOKUP($C67,Контейнеры!$B$16:$AB$104,11,0)</f>
        <v>1117</v>
      </c>
      <c r="AG67" s="216">
        <f>VLOOKUP($C67,Контейнеры!$B$16:$AB$104,17,0)</f>
        <v>0.063089522733691</v>
      </c>
      <c r="AH67" s="213"/>
      <c r="AI67" s="214">
        <f>VLOOKUP($C67,Контейнеры!$B$16:$AB$104,13,0)</f>
        <v>23.0193863532285</v>
      </c>
      <c r="AJ67" s="215">
        <f>VLOOKUP($C67,Контейнеры!$B$16:$AB$104,18,0)</f>
        <v>1</v>
      </c>
      <c r="AK67" s="231"/>
      <c r="AL67" s="170"/>
      <c r="AM67" s="170"/>
      <c r="AN67" s="232"/>
      <c r="AO67" s="249">
        <f>VLOOKUP($C67,Обработка!$B$16:$L$104,6,0)</f>
        <v>0.007</v>
      </c>
      <c r="AP67" s="250">
        <f t="shared" si="7"/>
        <v>-0.536</v>
      </c>
      <c r="AQ67" s="259">
        <f>VLOOKUP($C67,Обработка!$B$16:$L$104,7,0)</f>
        <v>0.6886</v>
      </c>
      <c r="AR67" s="262">
        <f t="shared" si="8"/>
        <v>-0.1184</v>
      </c>
      <c r="AS67" s="253">
        <f>VLOOKUP($C67,Утилизация!$B$16:$L$104,6,0)</f>
        <v>0</v>
      </c>
      <c r="AT67" s="251">
        <f t="shared" si="9"/>
        <v>-0.139</v>
      </c>
      <c r="AU67" s="251">
        <f>VLOOKUP($C67,Утилизация!$B$16:$L$104,7,0)</f>
        <v>0.1</v>
      </c>
      <c r="AV67" s="254">
        <f t="shared" si="10"/>
        <v>-0.186</v>
      </c>
      <c r="AW67" s="284" t="str">
        <f>VLOOKUP(C67,Захоронение!$B$16:$Q$104,16,0)</f>
        <v/>
      </c>
      <c r="AX67" s="231"/>
      <c r="AY67" s="170"/>
      <c r="AZ67" s="170"/>
      <c r="BA67" s="171"/>
      <c r="BB67" s="280" t="str">
        <f>VLOOKUP(C67,'ДК ИП'!$B$16:$S$104,5,0)</f>
        <v>среднее</v>
      </c>
      <c r="BC67" s="281">
        <f>VLOOKUP(C67,Радар!$B$16:$G$104,6,0)</f>
        <v>0.0652225198096057</v>
      </c>
      <c r="BD67" s="171"/>
      <c r="BF67" s="291">
        <f t="shared" si="11"/>
        <v>0.666666666666667</v>
      </c>
      <c r="BI67" s="9">
        <f t="shared" si="12"/>
        <v>0</v>
      </c>
      <c r="BJ67" s="9">
        <f>VLOOKUP(C67,Штаб!$B$16:$C$104,2)</f>
        <v>1</v>
      </c>
      <c r="BK67" s="9">
        <f>VLOOKUP(C67,'РО - регионы'!$B$16:$C$104,2)</f>
        <v>0</v>
      </c>
      <c r="BL67" s="9">
        <f>VLOOKUP(C67,'РО - регионы'!$B$16:$L$104,11)</f>
        <v>0</v>
      </c>
      <c r="BM67" s="9">
        <f>VLOOKUP(C67,Спецтехника!$B$16:$C$104,2)</f>
        <v>0</v>
      </c>
      <c r="BN67" s="9">
        <f>VLOOKUP($C67,МНО!$B$16:$AB$104,6,0)</f>
        <v>0</v>
      </c>
      <c r="BO67" s="9">
        <f>VLOOKUP($C67,МНО!$B$16:$AB$104,4,0)</f>
        <v>0</v>
      </c>
      <c r="BP67" s="9">
        <f>VLOOKUP($C67,МНО!$B$16:$AB$104,5,0)</f>
        <v>0</v>
      </c>
      <c r="BQ67" s="9">
        <f>VLOOKUP($C67,Контейнеры!$B$16:$G$104,6,0)</f>
        <v>0</v>
      </c>
      <c r="BR67" s="9">
        <f>VLOOKUP($C67,Контейнеры!$B$16:$G$104,4,0)</f>
        <v>0</v>
      </c>
      <c r="BS67" s="9">
        <f>VLOOKUP($C67,Контейнеры!$B$16:$G$104,5,0)</f>
        <v>0</v>
      </c>
      <c r="BT67" s="9">
        <f>VLOOKUP($C67,'ДК МНО'!$B$16:$C$104,2,0)</f>
        <v>2</v>
      </c>
      <c r="BU67" s="9">
        <f>VLOOKUP($C67,Обработка!$B$16:$F$104,5,0)</f>
        <v>1</v>
      </c>
      <c r="BV67" s="9">
        <f>VLOOKUP($C67,Обработка!$B$16:$F$104,4,0)</f>
        <v>2</v>
      </c>
      <c r="BW67" s="9">
        <f>VLOOKUP($C67,Утилизация!$B$16:$F$104,5,0)</f>
        <v>2</v>
      </c>
      <c r="BX67" s="9">
        <f>VLOOKUP($C67,Утилизация!$B$16:$F$104,4,0)</f>
        <v>2</v>
      </c>
      <c r="BY67" s="9">
        <f>VLOOKUP($C67,Захоронение!$B$16:$C$104,2,0)</f>
        <v>0</v>
      </c>
      <c r="BZ67" s="9">
        <f>VLOOKUP($C67,'ДК ИП'!$B$16:$C$104,2,0)</f>
        <v>1</v>
      </c>
      <c r="CA67" s="9">
        <f>VLOOKUP(C67,Радар!$B$16:$G$104,2,0)</f>
        <v>2</v>
      </c>
      <c r="CB67" s="9">
        <f>SUMPRODUCT(BJ67:BZ67,$BJ$5:$BZ$5)</f>
        <v>0.45</v>
      </c>
    </row>
    <row r="68" ht="15.75" spans="1:80">
      <c r="A68" s="6" t="s">
        <v>85</v>
      </c>
      <c r="B68" s="137">
        <f t="shared" si="6"/>
        <v>58</v>
      </c>
      <c r="C68" s="3" t="s">
        <v>98</v>
      </c>
      <c r="D68" s="133" t="str">
        <f>VLOOKUP($C68,Штаб!$B$16:$J$104,6,0)</f>
        <v>✔️</v>
      </c>
      <c r="E68" s="134" t="str">
        <f>VLOOKUP($C68,Штаб!$B$16:$J$104,7,0)</f>
        <v/>
      </c>
      <c r="F68" s="134" t="str">
        <f>VLOOKUP($C68,Штаб!$B$16:$J$104,8,0)</f>
        <v/>
      </c>
      <c r="G68" s="135" t="str">
        <f>VLOOKUP($C68,Штаб!$B$16:$J$104,9,0)</f>
        <v/>
      </c>
      <c r="H68" s="139" t="str">
        <f>VLOOKUP(C68,'РО - регионы'!$B$16:$I$104,8,0)</f>
        <v>0 / 0 / 6 из 6</v>
      </c>
      <c r="I68" s="169"/>
      <c r="J68" s="137"/>
      <c r="K68" s="170"/>
      <c r="L68" s="170"/>
      <c r="M68" s="171"/>
      <c r="N68" s="174">
        <f>VLOOKUP(C68,Спецтехника!$B$16:$J$104,4,0)</f>
        <v>507</v>
      </c>
      <c r="O68" s="175">
        <f>VLOOKUP(C68,Спецтехника!$B$16:$J$104,5,0)</f>
        <v>445</v>
      </c>
      <c r="P68" s="175">
        <f>VLOOKUP(C68,Спецтехника!$B$16:$J$104,6,0)</f>
        <v>62</v>
      </c>
      <c r="Q68" s="198">
        <f>VLOOKUP(C68,Спецтехника!$B$16:$J$104,7,0)</f>
        <v>0.122287968441815</v>
      </c>
      <c r="R68" s="197"/>
      <c r="S68" s="137"/>
      <c r="T68" s="170"/>
      <c r="U68" s="170"/>
      <c r="V68" s="171"/>
      <c r="W68" s="172">
        <f>VLOOKUP($C68,МНО!$B$16:$AB$104,16,0)</f>
        <v>10024</v>
      </c>
      <c r="X68" s="173">
        <f>VLOOKUP($C68,МНО!$B$16:$AB$104,8,0)</f>
        <v>9558</v>
      </c>
      <c r="Y68" s="173">
        <f>VLOOKUP($C68,МНО!$B$16:$AB$104,11,0)</f>
        <v>466</v>
      </c>
      <c r="Z68" s="216">
        <f>VLOOKUP($C68,МНО!$B$16:$AB$104,17,0)</f>
        <v>0.046488427773344</v>
      </c>
      <c r="AA68" s="213"/>
      <c r="AB68" s="214">
        <f>VLOOKUP($C68,МНО!$B$16:$AB$104,13,0)</f>
        <v>4.30793627019443</v>
      </c>
      <c r="AC68" s="215">
        <f>VLOOKUP($C68,МНО!$B$16:$AB$104,18,0)</f>
        <v>1</v>
      </c>
      <c r="AD68" s="172">
        <f>VLOOKUP($C68,Контейнеры!$B$16:$AB$104,16,0)</f>
        <v>26191</v>
      </c>
      <c r="AE68" s="173">
        <f>VLOOKUP($C68,Контейнеры!$B$16:$AB$104,8,0)</f>
        <v>25528</v>
      </c>
      <c r="AF68" s="173">
        <f>VLOOKUP($C68,Контейнеры!$B$16:$AB$104,11,0)</f>
        <v>663</v>
      </c>
      <c r="AG68" s="216">
        <f>VLOOKUP($C68,Контейнеры!$B$16:$AB$104,17,0)</f>
        <v>0.025314039173762</v>
      </c>
      <c r="AH68" s="213"/>
      <c r="AI68" s="214">
        <f>VLOOKUP($C68,Контейнеры!$B$16:$AB$104,13,0)</f>
        <v>13.3689517512185</v>
      </c>
      <c r="AJ68" s="215">
        <f>VLOOKUP($C68,Контейнеры!$B$16:$AB$104,18,0)</f>
        <v>1</v>
      </c>
      <c r="AK68" s="231"/>
      <c r="AL68" s="170"/>
      <c r="AM68" s="170"/>
      <c r="AN68" s="232"/>
      <c r="AO68" s="261">
        <f>VLOOKUP($C68,Обработка!$B$16:$L$104,6,0)</f>
        <v>0.338</v>
      </c>
      <c r="AP68" s="250">
        <f t="shared" si="7"/>
        <v>-0.205</v>
      </c>
      <c r="AQ68" s="250">
        <f>VLOOKUP($C68,Обработка!$B$16:$L$104,7,0)</f>
        <v>1</v>
      </c>
      <c r="AR68" s="255">
        <f t="shared" si="8"/>
        <v>0.193</v>
      </c>
      <c r="AS68" s="253">
        <f>VLOOKUP($C68,Утилизация!$B$16:$L$104,6,0)</f>
        <v>0.018</v>
      </c>
      <c r="AT68" s="251">
        <f t="shared" si="9"/>
        <v>-0.121</v>
      </c>
      <c r="AU68" s="250">
        <f>VLOOKUP($C68,Утилизация!$B$16:$L$104,7,0)</f>
        <v>0.5</v>
      </c>
      <c r="AV68" s="256">
        <f t="shared" si="10"/>
        <v>0.214</v>
      </c>
      <c r="AW68" s="283" t="str">
        <f>VLOOKUP(C68,Захоронение!$B$16:$Q$104,16,0)</f>
        <v>перегруз</v>
      </c>
      <c r="AX68" s="231"/>
      <c r="AY68" s="170"/>
      <c r="AZ68" s="170"/>
      <c r="BA68" s="171"/>
      <c r="BB68" s="280" t="str">
        <f>VLOOKUP(C68,'ДК ИП'!$B$16:$S$104,5,0)</f>
        <v>небольшое</v>
      </c>
      <c r="BC68" s="282">
        <f>VLOOKUP(C68,Радар!$B$16:$G$104,6,0)</f>
        <v>0.0329929473647276</v>
      </c>
      <c r="BD68" s="171"/>
      <c r="BF68" s="291">
        <f t="shared" si="11"/>
        <v>0.583333333333333</v>
      </c>
      <c r="BI68" s="9">
        <f t="shared" si="12"/>
        <v>0</v>
      </c>
      <c r="BJ68" s="9">
        <f>VLOOKUP(C68,Штаб!$B$16:$C$104,2)</f>
        <v>0</v>
      </c>
      <c r="BK68" s="9">
        <f>VLOOKUP(C68,'РО - регионы'!$B$16:$C$104,2)</f>
        <v>0</v>
      </c>
      <c r="BL68" s="9">
        <f>VLOOKUP(C68,'РО - регионы'!$B$16:$L$104,11)</f>
        <v>0</v>
      </c>
      <c r="BM68" s="9">
        <f>VLOOKUP(C68,Спецтехника!$B$16:$C$104,2)</f>
        <v>1</v>
      </c>
      <c r="BN68" s="9">
        <f>VLOOKUP($C68,МНО!$B$16:$AB$104,6,0)</f>
        <v>0</v>
      </c>
      <c r="BO68" s="9">
        <f>VLOOKUP($C68,МНО!$B$16:$AB$104,4,0)</f>
        <v>1</v>
      </c>
      <c r="BP68" s="9">
        <f>VLOOKUP($C68,МНО!$B$16:$AB$104,5,0)</f>
        <v>0</v>
      </c>
      <c r="BQ68" s="9">
        <f>VLOOKUP($C68,Контейнеры!$B$16:$G$104,6,0)</f>
        <v>0</v>
      </c>
      <c r="BR68" s="9">
        <f>VLOOKUP($C68,Контейнеры!$B$16:$G$104,4,0)</f>
        <v>0</v>
      </c>
      <c r="BS68" s="9">
        <f>VLOOKUP($C68,Контейнеры!$B$16:$G$104,5,0)</f>
        <v>0</v>
      </c>
      <c r="BT68" s="9">
        <f>VLOOKUP($C68,'ДК МНО'!$B$16:$C$104,2,0)</f>
        <v>2</v>
      </c>
      <c r="BU68" s="9">
        <f>VLOOKUP($C68,Обработка!$B$16:$F$104,5,0)</f>
        <v>0</v>
      </c>
      <c r="BV68" s="9">
        <f>VLOOKUP($C68,Обработка!$B$16:$F$104,4,0)</f>
        <v>1</v>
      </c>
      <c r="BW68" s="9">
        <f>VLOOKUP($C68,Утилизация!$B$16:$F$104,5,0)</f>
        <v>0</v>
      </c>
      <c r="BX68" s="9">
        <f>VLOOKUP($C68,Утилизация!$B$16:$F$104,4,0)</f>
        <v>2</v>
      </c>
      <c r="BY68" s="9">
        <f>VLOOKUP($C68,Захоронение!$B$16:$C$104,2,0)</f>
        <v>1</v>
      </c>
      <c r="BZ68" s="9">
        <f>VLOOKUP($C68,'ДК ИП'!$B$16:$C$104,2,0)</f>
        <v>0</v>
      </c>
      <c r="CA68" s="9">
        <f>VLOOKUP(C68,Радар!$B$16:$G$104,2,0)</f>
        <v>1</v>
      </c>
      <c r="CB68" s="9">
        <f>SUMPRODUCT(BJ68:BZ68,$BJ$5:$BZ$5)</f>
        <v>0.5</v>
      </c>
    </row>
    <row r="69" ht="15.75" spans="1:80">
      <c r="A69" s="6" t="s">
        <v>74</v>
      </c>
      <c r="B69" s="131">
        <f t="shared" si="6"/>
        <v>59</v>
      </c>
      <c r="C69" s="3" t="s">
        <v>110</v>
      </c>
      <c r="D69" s="133" t="str">
        <f>VLOOKUP($C69,Штаб!$B$16:$J$104,6,0)</f>
        <v>✔️</v>
      </c>
      <c r="E69" s="134" t="str">
        <f>VLOOKUP($C69,Штаб!$B$16:$J$104,7,0)</f>
        <v/>
      </c>
      <c r="F69" s="134" t="str">
        <f>VLOOKUP($C69,Штаб!$B$16:$J$104,8,0)</f>
        <v/>
      </c>
      <c r="G69" s="135" t="str">
        <f>VLOOKUP($C69,Штаб!$B$16:$J$104,9,0)</f>
        <v/>
      </c>
      <c r="H69" s="138" t="str">
        <f>VLOOKUP(C69,'РО - регионы'!$B$16:$I$104,8,0)</f>
        <v>0 / 2 / 0 из 2</v>
      </c>
      <c r="I69" s="169"/>
      <c r="J69" s="137"/>
      <c r="K69" s="170"/>
      <c r="L69" s="170"/>
      <c r="M69" s="171"/>
      <c r="N69" s="174">
        <f>VLOOKUP(C69,Спецтехника!$B$16:$J$104,4,0)</f>
        <v>102</v>
      </c>
      <c r="O69" s="175">
        <f>VLOOKUP(C69,Спецтехника!$B$16:$J$104,5,0)</f>
        <v>92</v>
      </c>
      <c r="P69" s="175">
        <f>VLOOKUP(C69,Спецтехника!$B$16:$J$104,6,0)</f>
        <v>10</v>
      </c>
      <c r="Q69" s="198">
        <f>VLOOKUP(C69,Спецтехника!$B$16:$J$104,7,0)</f>
        <v>0.0980392156862745</v>
      </c>
      <c r="R69" s="197"/>
      <c r="S69" s="137"/>
      <c r="T69" s="170"/>
      <c r="U69" s="170"/>
      <c r="V69" s="171"/>
      <c r="W69" s="172">
        <f>VLOOKUP($C69,МНО!$B$16:$AB$104,16,0)</f>
        <v>5095</v>
      </c>
      <c r="X69" s="173">
        <f>VLOOKUP($C69,МНО!$B$16:$AB$104,8,0)</f>
        <v>4950</v>
      </c>
      <c r="Y69" s="173">
        <f>VLOOKUP($C69,МНО!$B$16:$AB$104,11,0)</f>
        <v>145</v>
      </c>
      <c r="Z69" s="216">
        <f>VLOOKUP($C69,МНО!$B$16:$AB$104,17,0)</f>
        <v>0.028459273797841</v>
      </c>
      <c r="AA69" s="213"/>
      <c r="AB69" s="214">
        <f>VLOOKUP($C69,МНО!$B$16:$AB$104,13,0)</f>
        <v>7.10602608926721</v>
      </c>
      <c r="AC69" s="215">
        <f>VLOOKUP($C69,МНО!$B$16:$AB$104,18,0)</f>
        <v>1</v>
      </c>
      <c r="AD69" s="172">
        <f>VLOOKUP($C69,Контейнеры!$B$16:$AB$104,16,0)</f>
        <v>9384</v>
      </c>
      <c r="AE69" s="173">
        <f>VLOOKUP($C69,Контейнеры!$B$16:$AB$104,8,0)</f>
        <v>9210</v>
      </c>
      <c r="AF69" s="173">
        <f>VLOOKUP($C69,Контейнеры!$B$16:$AB$104,11,0)</f>
        <v>174</v>
      </c>
      <c r="AG69" s="216">
        <f>VLOOKUP($C69,Контейнеры!$B$16:$AB$104,17,0)</f>
        <v>0.018542199488491</v>
      </c>
      <c r="AH69" s="213"/>
      <c r="AI69" s="214">
        <f>VLOOKUP($C69,Контейнеры!$B$16:$AB$104,13,0)</f>
        <v>13.7492647651578</v>
      </c>
      <c r="AJ69" s="215">
        <f>VLOOKUP($C69,Контейнеры!$B$16:$AB$104,18,0)</f>
        <v>0.914053195712584</v>
      </c>
      <c r="AK69" s="231"/>
      <c r="AL69" s="170"/>
      <c r="AM69" s="170"/>
      <c r="AN69" s="232"/>
      <c r="AO69" s="261">
        <f>VLOOKUP($C69,Обработка!$B$16:$L$104,6,0)</f>
        <v>0.337</v>
      </c>
      <c r="AP69" s="250">
        <f t="shared" si="7"/>
        <v>-0.206</v>
      </c>
      <c r="AQ69" s="250">
        <f>VLOOKUP($C69,Обработка!$B$16:$L$104,7,0)</f>
        <v>0.999</v>
      </c>
      <c r="AR69" s="255">
        <f t="shared" si="8"/>
        <v>0.192</v>
      </c>
      <c r="AS69" s="253">
        <f>VLOOKUP($C69,Утилизация!$B$16:$L$104,6,0)</f>
        <v>0.009</v>
      </c>
      <c r="AT69" s="251">
        <f t="shared" si="9"/>
        <v>-0.13</v>
      </c>
      <c r="AU69" s="251">
        <f>VLOOKUP($C69,Утилизация!$B$16:$L$104,7,0)</f>
        <v>0.08</v>
      </c>
      <c r="AV69" s="254">
        <f t="shared" si="10"/>
        <v>-0.206</v>
      </c>
      <c r="AW69" s="284" t="str">
        <f>VLOOKUP(C69,Захоронение!$B$16:$Q$104,16,0)</f>
        <v/>
      </c>
      <c r="AX69" s="231"/>
      <c r="AY69" s="170"/>
      <c r="AZ69" s="170"/>
      <c r="BA69" s="171"/>
      <c r="BB69" s="280" t="str">
        <f>VLOOKUP(C69,'ДК ИП'!$B$16:$S$104,5,0)</f>
        <v>нет</v>
      </c>
      <c r="BC69" s="285">
        <f>VLOOKUP(C69,Радар!$B$16:$G$104,6,0)</f>
        <v>0.0238858019807301</v>
      </c>
      <c r="BD69" s="171"/>
      <c r="BF69" s="292">
        <f t="shared" si="11"/>
        <v>0.416666666666667</v>
      </c>
      <c r="BI69" s="9">
        <f t="shared" si="12"/>
        <v>0</v>
      </c>
      <c r="BJ69" s="9">
        <f>VLOOKUP(C69,Штаб!$B$16:$C$104,2)</f>
        <v>0</v>
      </c>
      <c r="BK69" s="9">
        <f>VLOOKUP(C69,'РО - регионы'!$B$16:$C$104,2)</f>
        <v>1</v>
      </c>
      <c r="BL69" s="9">
        <f>VLOOKUP(C69,'РО - регионы'!$B$16:$L$104,11)</f>
        <v>2</v>
      </c>
      <c r="BM69" s="9">
        <f>VLOOKUP(C69,Спецтехника!$B$16:$C$104,2)</f>
        <v>1</v>
      </c>
      <c r="BN69" s="9">
        <f>VLOOKUP($C69,МНО!$B$16:$AB$104,6,0)</f>
        <v>0</v>
      </c>
      <c r="BO69" s="9">
        <f>VLOOKUP($C69,МНО!$B$16:$AB$104,4,0)</f>
        <v>0</v>
      </c>
      <c r="BP69" s="9">
        <f>VLOOKUP($C69,МНО!$B$16:$AB$104,5,0)</f>
        <v>0</v>
      </c>
      <c r="BQ69" s="9">
        <f>VLOOKUP($C69,Контейнеры!$B$16:$G$104,6,0)</f>
        <v>0</v>
      </c>
      <c r="BR69" s="9">
        <f>VLOOKUP($C69,Контейнеры!$B$16:$G$104,4,0)</f>
        <v>0</v>
      </c>
      <c r="BS69" s="9">
        <f>VLOOKUP($C69,Контейнеры!$B$16:$G$104,5,0)</f>
        <v>0</v>
      </c>
      <c r="BT69" s="9">
        <f>VLOOKUP($C69,'ДК МНО'!$B$16:$C$104,2,0)</f>
        <v>2</v>
      </c>
      <c r="BU69" s="9">
        <f>VLOOKUP($C69,Обработка!$B$16:$F$104,5,0)</f>
        <v>0</v>
      </c>
      <c r="BV69" s="9">
        <f>VLOOKUP($C69,Обработка!$B$16:$F$104,4,0)</f>
        <v>1</v>
      </c>
      <c r="BW69" s="9">
        <f>VLOOKUP($C69,Утилизация!$B$16:$F$104,5,0)</f>
        <v>2</v>
      </c>
      <c r="BX69" s="9">
        <f>VLOOKUP($C69,Утилизация!$B$16:$F$104,4,0)</f>
        <v>2</v>
      </c>
      <c r="BY69" s="9">
        <f>VLOOKUP($C69,Захоронение!$B$16:$C$104,2,0)</f>
        <v>0</v>
      </c>
      <c r="BZ69" s="9">
        <f>VLOOKUP($C69,'ДК ИП'!$B$16:$C$104,2,0)</f>
        <v>0</v>
      </c>
      <c r="CA69" s="9">
        <f>VLOOKUP(C69,Радар!$B$16:$G$104,2,0)</f>
        <v>0</v>
      </c>
      <c r="CB69" s="9">
        <f>SUMPRODUCT(BJ69:BZ69,$BJ$5:$BZ$5)</f>
        <v>0.5</v>
      </c>
    </row>
    <row r="70" ht="15.75" spans="1:80">
      <c r="A70" s="6" t="s">
        <v>74</v>
      </c>
      <c r="B70" s="137">
        <f t="shared" si="6"/>
        <v>60</v>
      </c>
      <c r="C70" s="3" t="s">
        <v>115</v>
      </c>
      <c r="D70" s="133" t="str">
        <f>VLOOKUP($C70,Штаб!$B$16:$J$104,6,0)</f>
        <v/>
      </c>
      <c r="E70" s="134" t="str">
        <f>VLOOKUP($C70,Штаб!$B$16:$J$104,7,0)</f>
        <v>✔️</v>
      </c>
      <c r="F70" s="134" t="str">
        <f>VLOOKUP($C70,Штаб!$B$16:$J$104,8,0)</f>
        <v/>
      </c>
      <c r="G70" s="135" t="str">
        <f>VLOOKUP($C70,Штаб!$B$16:$J$104,9,0)</f>
        <v/>
      </c>
      <c r="H70" s="139" t="str">
        <f>VLOOKUP(C70,'РО - регионы'!$B$16:$I$104,8,0)</f>
        <v>0 / 0 / 1 из 1</v>
      </c>
      <c r="I70" s="169"/>
      <c r="J70" s="137"/>
      <c r="K70" s="170"/>
      <c r="L70" s="170"/>
      <c r="M70" s="171"/>
      <c r="N70" s="174">
        <f>VLOOKUP(C70,Спецтехника!$B$16:$J$104,4,0)</f>
        <v>104</v>
      </c>
      <c r="O70" s="175">
        <f>VLOOKUP(C70,Спецтехника!$B$16:$J$104,5,0)</f>
        <v>86</v>
      </c>
      <c r="P70" s="175">
        <f>VLOOKUP(C70,Спецтехника!$B$16:$J$104,6,0)</f>
        <v>18</v>
      </c>
      <c r="Q70" s="198">
        <f>VLOOKUP(C70,Спецтехника!$B$16:$J$104,7,0)</f>
        <v>0.173076923076923</v>
      </c>
      <c r="R70" s="197"/>
      <c r="S70" s="137"/>
      <c r="T70" s="170"/>
      <c r="U70" s="170"/>
      <c r="V70" s="171"/>
      <c r="W70" s="176">
        <f>VLOOKUP($C70,МНО!$B$16:$AB$104,16,0)</f>
        <v>8691</v>
      </c>
      <c r="X70" s="177">
        <f>VLOOKUP($C70,МНО!$B$16:$AB$104,8,0)</f>
        <v>8691</v>
      </c>
      <c r="Y70" s="177">
        <f>VLOOKUP($C70,МНО!$B$16:$AB$104,11,0)</f>
        <v>0</v>
      </c>
      <c r="Z70" s="217">
        <f>VLOOKUP($C70,МНО!$B$16:$AB$104,17,0)</f>
        <v>0</v>
      </c>
      <c r="AA70" s="213"/>
      <c r="AB70" s="214">
        <f>VLOOKUP($C70,МНО!$B$16:$AB$104,13,0)</f>
        <v>10.5223850391244</v>
      </c>
      <c r="AC70" s="215">
        <f>VLOOKUP($C70,МНО!$B$16:$AB$104,18,0)</f>
        <v>0.738465460107061</v>
      </c>
      <c r="AD70" s="176">
        <f>VLOOKUP($C70,Контейнеры!$B$16:$AB$104,16,0)</f>
        <v>14766</v>
      </c>
      <c r="AE70" s="177">
        <f>VLOOKUP($C70,Контейнеры!$B$16:$AB$104,8,0)</f>
        <v>14766</v>
      </c>
      <c r="AF70" s="177">
        <f>VLOOKUP($C70,Контейнеры!$B$16:$AB$104,11,0)</f>
        <v>0</v>
      </c>
      <c r="AG70" s="217">
        <f>VLOOKUP($C70,Контейнеры!$B$16:$AB$104,17,0)</f>
        <v>0</v>
      </c>
      <c r="AH70" s="213"/>
      <c r="AI70" s="214">
        <f>VLOOKUP($C70,Контейнеры!$B$16:$AB$104,13,0)</f>
        <v>19.2795058304641</v>
      </c>
      <c r="AJ70" s="215">
        <f>VLOOKUP($C70,Контейнеры!$B$16:$AB$104,18,0)</f>
        <v>0.875800711743772</v>
      </c>
      <c r="AK70" s="231"/>
      <c r="AL70" s="170"/>
      <c r="AM70" s="170"/>
      <c r="AN70" s="232"/>
      <c r="AO70" s="249">
        <f>VLOOKUP($C70,Обработка!$B$16:$L$104,6,0)</f>
        <v>0.085</v>
      </c>
      <c r="AP70" s="250">
        <f t="shared" si="7"/>
        <v>-0.458</v>
      </c>
      <c r="AQ70" s="250">
        <f>VLOOKUP($C70,Обработка!$B$16:$L$104,7,0)</f>
        <v>1</v>
      </c>
      <c r="AR70" s="255">
        <f t="shared" si="8"/>
        <v>0.193</v>
      </c>
      <c r="AS70" s="253">
        <f>VLOOKUP($C70,Утилизация!$B$16:$L$104,6,0)</f>
        <v>0.007</v>
      </c>
      <c r="AT70" s="251">
        <f t="shared" si="9"/>
        <v>-0.132</v>
      </c>
      <c r="AU70" s="250">
        <f>VLOOKUP($C70,Утилизация!$B$16:$L$104,7,0)</f>
        <v>0.5</v>
      </c>
      <c r="AV70" s="256">
        <f t="shared" si="10"/>
        <v>0.214</v>
      </c>
      <c r="AW70" s="283" t="str">
        <f>VLOOKUP(C70,Захоронение!$B$16:$Q$104,16,0)</f>
        <v>перегруз</v>
      </c>
      <c r="AX70" s="231"/>
      <c r="AY70" s="170"/>
      <c r="AZ70" s="170"/>
      <c r="BA70" s="171"/>
      <c r="BB70" s="280" t="str">
        <f>VLOOKUP(C70,'ДК ИП'!$B$16:$S$104,5,0)</f>
        <v>небольшое</v>
      </c>
      <c r="BC70" s="281">
        <f>VLOOKUP(C70,Радар!$B$16:$G$104,6,0)</f>
        <v>0.0208907011572143</v>
      </c>
      <c r="BD70" s="171"/>
      <c r="BF70" s="291">
        <f t="shared" si="11"/>
        <v>0.666666666666667</v>
      </c>
      <c r="BI70" s="9">
        <f t="shared" si="12"/>
        <v>0</v>
      </c>
      <c r="BJ70" s="9">
        <f>VLOOKUP(C70,Штаб!$B$16:$C$104,2)</f>
        <v>1</v>
      </c>
      <c r="BK70" s="9">
        <f>VLOOKUP(C70,'РО - регионы'!$B$16:$C$104,2)</f>
        <v>0</v>
      </c>
      <c r="BL70" s="9">
        <f>VLOOKUP(C70,'РО - регионы'!$B$16:$L$104,11)</f>
        <v>0</v>
      </c>
      <c r="BM70" s="9">
        <f>VLOOKUP(C70,Спецтехника!$B$16:$C$104,2)</f>
        <v>1</v>
      </c>
      <c r="BN70" s="9">
        <f>VLOOKUP($C70,МНО!$B$16:$AB$104,6,0)</f>
        <v>2</v>
      </c>
      <c r="BO70" s="9">
        <f>VLOOKUP($C70,МНО!$B$16:$AB$104,4,0)</f>
        <v>0</v>
      </c>
      <c r="BP70" s="9">
        <f>VLOOKUP($C70,МНО!$B$16:$AB$104,5,0)</f>
        <v>1</v>
      </c>
      <c r="BQ70" s="9">
        <f>VLOOKUP($C70,Контейнеры!$B$16:$G$104,6,0)</f>
        <v>2</v>
      </c>
      <c r="BR70" s="9">
        <f>VLOOKUP($C70,Контейнеры!$B$16:$G$104,4,0)</f>
        <v>0</v>
      </c>
      <c r="BS70" s="9">
        <f>VLOOKUP($C70,Контейнеры!$B$16:$G$104,5,0)</f>
        <v>1</v>
      </c>
      <c r="BT70" s="9">
        <f>VLOOKUP($C70,'ДК МНО'!$B$16:$C$104,2,0)</f>
        <v>2</v>
      </c>
      <c r="BU70" s="9">
        <f>VLOOKUP($C70,Обработка!$B$16:$F$104,5,0)</f>
        <v>0</v>
      </c>
      <c r="BV70" s="9">
        <f>VLOOKUP($C70,Обработка!$B$16:$F$104,4,0)</f>
        <v>2</v>
      </c>
      <c r="BW70" s="9">
        <f>VLOOKUP($C70,Утилизация!$B$16:$F$104,5,0)</f>
        <v>0</v>
      </c>
      <c r="BX70" s="9">
        <f>VLOOKUP($C70,Утилизация!$B$16:$F$104,4,0)</f>
        <v>2</v>
      </c>
      <c r="BY70" s="9">
        <f>VLOOKUP($C70,Захоронение!$B$16:$C$104,2,0)</f>
        <v>1</v>
      </c>
      <c r="BZ70" s="9">
        <f>VLOOKUP($C70,'ДК ИП'!$B$16:$C$104,2,0)</f>
        <v>0</v>
      </c>
      <c r="CA70" s="9">
        <f>VLOOKUP(C70,Радар!$B$16:$G$104,2,0)</f>
        <v>2</v>
      </c>
      <c r="CB70" s="9">
        <f>SUMPRODUCT(BJ70:BZ70,$BJ$5:$BZ$5)</f>
        <v>0.7</v>
      </c>
    </row>
    <row r="71" ht="15.75" spans="1:80">
      <c r="A71" s="6" t="s">
        <v>129</v>
      </c>
      <c r="B71" s="131">
        <f t="shared" si="6"/>
        <v>61</v>
      </c>
      <c r="C71" s="3" t="s">
        <v>159</v>
      </c>
      <c r="D71" s="133" t="str">
        <f>VLOOKUP($C71,Штаб!$B$16:$J$104,6,0)</f>
        <v/>
      </c>
      <c r="E71" s="134" t="str">
        <f>VLOOKUP($C71,Штаб!$B$16:$J$104,7,0)</f>
        <v>✔️</v>
      </c>
      <c r="F71" s="134" t="str">
        <f>VLOOKUP($C71,Штаб!$B$16:$J$104,8,0)</f>
        <v/>
      </c>
      <c r="G71" s="135" t="str">
        <f>VLOOKUP($C71,Штаб!$B$16:$J$104,9,0)</f>
        <v/>
      </c>
      <c r="H71" s="138" t="str">
        <f>VLOOKUP(C71,'РО - регионы'!$B$16:$I$104,8,0)</f>
        <v>0 / 6 / 6 из 12</v>
      </c>
      <c r="I71" s="169"/>
      <c r="J71" s="137"/>
      <c r="K71" s="170"/>
      <c r="L71" s="170"/>
      <c r="M71" s="171"/>
      <c r="N71" s="174">
        <f>VLOOKUP(C71,Спецтехника!$B$16:$J$104,4,0)</f>
        <v>153</v>
      </c>
      <c r="O71" s="175">
        <f>VLOOKUP(C71,Спецтехника!$B$16:$J$104,5,0)</f>
        <v>138</v>
      </c>
      <c r="P71" s="175">
        <f>VLOOKUP(C71,Спецтехника!$B$16:$J$104,6,0)</f>
        <v>15</v>
      </c>
      <c r="Q71" s="198">
        <f>VLOOKUP(C71,Спецтехника!$B$16:$J$104,7,0)</f>
        <v>0.0980392156862745</v>
      </c>
      <c r="R71" s="197"/>
      <c r="S71" s="137"/>
      <c r="T71" s="170"/>
      <c r="U71" s="170"/>
      <c r="V71" s="171"/>
      <c r="W71" s="176">
        <f>VLOOKUP($C71,МНО!$B$16:$AB$104,16,0)</f>
        <v>9911</v>
      </c>
      <c r="X71" s="177">
        <f>VLOOKUP($C71,МНО!$B$16:$AB$104,8,0)</f>
        <v>4707</v>
      </c>
      <c r="Y71" s="177">
        <f>VLOOKUP($C71,МНО!$B$16:$AB$104,11,0)</f>
        <v>5204</v>
      </c>
      <c r="Z71" s="217">
        <f>VLOOKUP($C71,МНО!$B$16:$AB$104,17,0)</f>
        <v>0.525073151044294</v>
      </c>
      <c r="AA71" s="213"/>
      <c r="AB71" s="214">
        <f>VLOOKUP($C71,МНО!$B$16:$AB$104,13,0)</f>
        <v>3.65691489361702</v>
      </c>
      <c r="AC71" s="215">
        <f>VLOOKUP($C71,МНО!$B$16:$AB$104,18,0)</f>
        <v>0.745958795562599</v>
      </c>
      <c r="AD71" s="176">
        <f>VLOOKUP($C71,Контейнеры!$B$16:$AB$104,16,0)</f>
        <v>10461</v>
      </c>
      <c r="AE71" s="177">
        <f>VLOOKUP($C71,Контейнеры!$B$16:$AB$104,8,0)</f>
        <v>10461</v>
      </c>
      <c r="AF71" s="177">
        <f>VLOOKUP($C71,Контейнеры!$B$16:$AB$104,11,0)</f>
        <v>0</v>
      </c>
      <c r="AG71" s="217">
        <f>VLOOKUP($C71,Контейнеры!$B$16:$AB$104,17,0)</f>
        <v>0</v>
      </c>
      <c r="AH71" s="213"/>
      <c r="AI71" s="214">
        <f>VLOOKUP($C71,Контейнеры!$B$16:$AB$104,13,0)</f>
        <v>10.4436218133027</v>
      </c>
      <c r="AJ71" s="215">
        <f>VLOOKUP($C71,Контейнеры!$B$16:$AB$104,18,0)</f>
        <v>0.732255354892902</v>
      </c>
      <c r="AK71" s="231"/>
      <c r="AL71" s="170"/>
      <c r="AM71" s="170"/>
      <c r="AN71" s="232"/>
      <c r="AO71" s="249">
        <f>VLOOKUP($C71,Обработка!$B$16:$L$104,6,0)</f>
        <v>0</v>
      </c>
      <c r="AP71" s="250">
        <f t="shared" si="7"/>
        <v>-0.543</v>
      </c>
      <c r="AQ71" s="259">
        <f>VLOOKUP($C71,Обработка!$B$16:$L$104,7,0)</f>
        <v>0.49</v>
      </c>
      <c r="AR71" s="262">
        <f t="shared" si="8"/>
        <v>-0.317</v>
      </c>
      <c r="AS71" s="253">
        <f>VLOOKUP($C71,Утилизация!$B$16:$L$104,6,0)</f>
        <v>0.007</v>
      </c>
      <c r="AT71" s="251">
        <f t="shared" si="9"/>
        <v>-0.132</v>
      </c>
      <c r="AU71" s="251">
        <f>VLOOKUP($C71,Утилизация!$B$16:$L$104,7,0)</f>
        <v>0.1</v>
      </c>
      <c r="AV71" s="254">
        <f t="shared" si="10"/>
        <v>-0.186</v>
      </c>
      <c r="AW71" s="279" t="str">
        <f>VLOOKUP(C71,Захоронение!$B$16:$Q$104,16,0)</f>
        <v>белые пятна</v>
      </c>
      <c r="AX71" s="231"/>
      <c r="AY71" s="170"/>
      <c r="AZ71" s="170"/>
      <c r="BA71" s="171"/>
      <c r="BB71" s="280" t="str">
        <f>VLOOKUP(C71,'ДК ИП'!$B$16:$S$104,5,0)</f>
        <v>среднее</v>
      </c>
      <c r="BC71" s="285">
        <f>VLOOKUP(C71,Радар!$B$16:$G$104,6,0)</f>
        <v>0.00998338764296211</v>
      </c>
      <c r="BD71" s="171"/>
      <c r="BF71" s="290">
        <f t="shared" si="11"/>
        <v>1.33333333333333</v>
      </c>
      <c r="BI71" s="9">
        <f t="shared" si="12"/>
        <v>2</v>
      </c>
      <c r="BJ71" s="9">
        <f>VLOOKUP(C71,Штаб!$B$16:$C$104,2)</f>
        <v>1</v>
      </c>
      <c r="BK71" s="9">
        <f>VLOOKUP(C71,'РО - регионы'!$B$16:$C$104,2)</f>
        <v>1</v>
      </c>
      <c r="BL71" s="9">
        <f>VLOOKUP(C71,'РО - регионы'!$B$16:$L$104,11)</f>
        <v>2</v>
      </c>
      <c r="BM71" s="9">
        <f>VLOOKUP(C71,Спецтехника!$B$16:$C$104,2)</f>
        <v>1</v>
      </c>
      <c r="BN71" s="9">
        <f>VLOOKUP($C71,МНО!$B$16:$AB$104,6,0)</f>
        <v>2</v>
      </c>
      <c r="BO71" s="9">
        <f>VLOOKUP($C71,МНО!$B$16:$AB$104,4,0)</f>
        <v>1</v>
      </c>
      <c r="BP71" s="9">
        <f>VLOOKUP($C71,МНО!$B$16:$AB$104,5,0)</f>
        <v>1</v>
      </c>
      <c r="BQ71" s="9">
        <f>VLOOKUP($C71,Контейнеры!$B$16:$G$104,6,0)</f>
        <v>2</v>
      </c>
      <c r="BR71" s="9">
        <f>VLOOKUP($C71,Контейнеры!$B$16:$G$104,4,0)</f>
        <v>0</v>
      </c>
      <c r="BS71" s="9">
        <f>VLOOKUP($C71,Контейнеры!$B$16:$G$104,5,0)</f>
        <v>2</v>
      </c>
      <c r="BT71" s="9">
        <f>VLOOKUP($C71,'ДК МНО'!$B$16:$C$104,2,0)</f>
        <v>2</v>
      </c>
      <c r="BU71" s="9">
        <f>VLOOKUP($C71,Обработка!$B$16:$F$104,5,0)</f>
        <v>1</v>
      </c>
      <c r="BV71" s="9">
        <f>VLOOKUP($C71,Обработка!$B$16:$F$104,4,0)</f>
        <v>2</v>
      </c>
      <c r="BW71" s="9">
        <f>VLOOKUP($C71,Утилизация!$B$16:$F$104,5,0)</f>
        <v>2</v>
      </c>
      <c r="BX71" s="9">
        <f>VLOOKUP($C71,Утилизация!$B$16:$F$104,4,0)</f>
        <v>2</v>
      </c>
      <c r="BY71" s="9">
        <f>VLOOKUP($C71,Захоронение!$B$16:$C$104,2,0)</f>
        <v>2</v>
      </c>
      <c r="BZ71" s="9">
        <f>VLOOKUP($C71,'ДК ИП'!$B$16:$C$104,2,0)</f>
        <v>1</v>
      </c>
      <c r="CA71" s="9">
        <f>VLOOKUP(C71,Радар!$B$16:$G$104,2,0)</f>
        <v>0</v>
      </c>
      <c r="CB71" s="9">
        <f>SUMPRODUCT(BJ71:BZ71,$BJ$5:$BZ$5)</f>
        <v>1.45</v>
      </c>
    </row>
    <row r="72" ht="15.75" spans="1:80">
      <c r="A72" s="6" t="s">
        <v>104</v>
      </c>
      <c r="B72" s="137">
        <f t="shared" si="6"/>
        <v>62</v>
      </c>
      <c r="C72" s="3" t="s">
        <v>151</v>
      </c>
      <c r="D72" s="133" t="str">
        <f>VLOOKUP($C72,Штаб!$B$16:$J$104,6,0)</f>
        <v/>
      </c>
      <c r="E72" s="134" t="str">
        <f>VLOOKUP($C72,Штаб!$B$16:$J$104,7,0)</f>
        <v/>
      </c>
      <c r="F72" s="134" t="str">
        <f>VLOOKUP($C72,Штаб!$B$16:$J$104,8,0)</f>
        <v/>
      </c>
      <c r="G72" s="135" t="str">
        <f>VLOOKUP($C72,Штаб!$B$16:$J$104,9,0)</f>
        <v>✔️</v>
      </c>
      <c r="H72" s="138" t="str">
        <f>VLOOKUP(C72,'РО - регионы'!$B$16:$I$104,8,0)</f>
        <v>0 / 1 / 1 из 2</v>
      </c>
      <c r="I72" s="169"/>
      <c r="J72" s="137"/>
      <c r="K72" s="170"/>
      <c r="L72" s="170"/>
      <c r="M72" s="171"/>
      <c r="N72" s="172">
        <f>VLOOKUP(C72,Спецтехника!$B$16:$J$104,4,0)</f>
        <v>67</v>
      </c>
      <c r="O72" s="173">
        <f>VLOOKUP(C72,Спецтехника!$B$16:$J$104,5,0)</f>
        <v>67</v>
      </c>
      <c r="P72" s="173">
        <f>VLOOKUP(C72,Спецтехника!$B$16:$J$104,6,0)</f>
        <v>0</v>
      </c>
      <c r="Q72" s="196">
        <f>VLOOKUP(C72,Спецтехника!$B$16:$J$104,7,0)</f>
        <v>0</v>
      </c>
      <c r="R72" s="197"/>
      <c r="S72" s="137"/>
      <c r="T72" s="170"/>
      <c r="U72" s="170"/>
      <c r="V72" s="171"/>
      <c r="W72" s="172">
        <f>VLOOKUP($C72,МНО!$B$16:$AB$104,16,0)</f>
        <v>3589</v>
      </c>
      <c r="X72" s="173">
        <f>VLOOKUP($C72,МНО!$B$16:$AB$104,8,0)</f>
        <v>2989</v>
      </c>
      <c r="Y72" s="173">
        <f>VLOOKUP($C72,МНО!$B$16:$AB$104,11,0)</f>
        <v>600</v>
      </c>
      <c r="Z72" s="216">
        <f>VLOOKUP($C72,МНО!$B$16:$AB$104,17,0)</f>
        <v>0.167177486765116</v>
      </c>
      <c r="AA72" s="213"/>
      <c r="AB72" s="214">
        <f>VLOOKUP($C72,МНО!$B$16:$AB$104,13,0)</f>
        <v>3.92706211268871</v>
      </c>
      <c r="AC72" s="215">
        <f>VLOOKUP($C72,МНО!$B$16:$AB$104,18,0)</f>
        <v>1</v>
      </c>
      <c r="AD72" s="172">
        <f>VLOOKUP($C72,Контейнеры!$B$16:$AB$104,16,0)</f>
        <v>7292</v>
      </c>
      <c r="AE72" s="173">
        <f>VLOOKUP($C72,Контейнеры!$B$16:$AB$104,8,0)</f>
        <v>6272</v>
      </c>
      <c r="AF72" s="173">
        <f>VLOOKUP($C72,Контейнеры!$B$16:$AB$104,11,0)</f>
        <v>1020</v>
      </c>
      <c r="AG72" s="216">
        <f>VLOOKUP($C72,Контейнеры!$B$16:$AB$104,17,0)</f>
        <v>0.139879319802523</v>
      </c>
      <c r="AH72" s="213"/>
      <c r="AI72" s="214">
        <f>VLOOKUP($C72,Контейнеры!$B$16:$AB$104,13,0)</f>
        <v>9.2387597789886</v>
      </c>
      <c r="AJ72" s="215">
        <f>VLOOKUP($C72,Контейнеры!$B$16:$AB$104,18,0)</f>
        <v>1</v>
      </c>
      <c r="AK72" s="231"/>
      <c r="AL72" s="170"/>
      <c r="AM72" s="170"/>
      <c r="AN72" s="232"/>
      <c r="AO72" s="249">
        <f>VLOOKUP($C72,Обработка!$B$16:$L$104,6,0)</f>
        <v>0.043</v>
      </c>
      <c r="AP72" s="250">
        <f t="shared" si="7"/>
        <v>-0.5</v>
      </c>
      <c r="AQ72" s="259">
        <f>VLOOKUP($C72,Обработка!$B$16:$L$104,7,0)</f>
        <v>0.7</v>
      </c>
      <c r="AR72" s="262">
        <f t="shared" si="8"/>
        <v>-0.107</v>
      </c>
      <c r="AS72" s="253">
        <f>VLOOKUP($C72,Утилизация!$B$16:$L$104,6,0)</f>
        <v>0.001</v>
      </c>
      <c r="AT72" s="251">
        <f t="shared" si="9"/>
        <v>-0.138</v>
      </c>
      <c r="AU72" s="251">
        <f>VLOOKUP($C72,Утилизация!$B$16:$L$104,7,0)</f>
        <v>0.09</v>
      </c>
      <c r="AV72" s="254">
        <f t="shared" si="10"/>
        <v>-0.196</v>
      </c>
      <c r="AW72" s="279" t="str">
        <f>VLOOKUP(C72,Захоронение!$B$16:$Q$104,16,0)</f>
        <v>белые пятна</v>
      </c>
      <c r="AX72" s="231"/>
      <c r="AY72" s="170"/>
      <c r="AZ72" s="170"/>
      <c r="BA72" s="171"/>
      <c r="BB72" s="280" t="str">
        <f>VLOOKUP(C72,'ДК ИП'!$B$16:$S$104,5,0)</f>
        <v>среднее</v>
      </c>
      <c r="BC72" s="281">
        <f>VLOOKUP(C72,Радар!$B$16:$G$104,6,0)</f>
        <v>0.682006660980823</v>
      </c>
      <c r="BD72" s="171"/>
      <c r="BF72" s="290">
        <f t="shared" si="11"/>
        <v>1.33333333333333</v>
      </c>
      <c r="BI72" s="9">
        <f t="shared" si="12"/>
        <v>1</v>
      </c>
      <c r="BJ72" s="9">
        <f>VLOOKUP(C72,Штаб!$B$16:$C$104,2)</f>
        <v>2</v>
      </c>
      <c r="BK72" s="9">
        <f>VLOOKUP(C72,'РО - регионы'!$B$16:$C$104,2)</f>
        <v>1</v>
      </c>
      <c r="BL72" s="9">
        <f>VLOOKUP(C72,'РО - регионы'!$B$16:$L$104,11)</f>
        <v>2</v>
      </c>
      <c r="BM72" s="9">
        <f>VLOOKUP(C72,Спецтехника!$B$16:$C$104,2)</f>
        <v>0</v>
      </c>
      <c r="BN72" s="9">
        <f>VLOOKUP($C72,МНО!$B$16:$AB$104,6,0)</f>
        <v>0</v>
      </c>
      <c r="BO72" s="9">
        <f>VLOOKUP($C72,МНО!$B$16:$AB$104,4,0)</f>
        <v>1</v>
      </c>
      <c r="BP72" s="9">
        <f>VLOOKUP($C72,МНО!$B$16:$AB$104,5,0)</f>
        <v>0</v>
      </c>
      <c r="BQ72" s="9">
        <f>VLOOKUP($C72,Контейнеры!$B$16:$G$104,6,0)</f>
        <v>0</v>
      </c>
      <c r="BR72" s="9">
        <f>VLOOKUP($C72,Контейнеры!$B$16:$G$104,4,0)</f>
        <v>0</v>
      </c>
      <c r="BS72" s="9">
        <f>VLOOKUP($C72,Контейнеры!$B$16:$G$104,5,0)</f>
        <v>0</v>
      </c>
      <c r="BT72" s="9">
        <f>VLOOKUP($C72,'ДК МНО'!$B$16:$C$104,2,0)</f>
        <v>2</v>
      </c>
      <c r="BU72" s="9">
        <f>VLOOKUP($C72,Обработка!$B$16:$F$104,5,0)</f>
        <v>1</v>
      </c>
      <c r="BV72" s="9">
        <f>VLOOKUP($C72,Обработка!$B$16:$F$104,4,0)</f>
        <v>2</v>
      </c>
      <c r="BW72" s="9">
        <f>VLOOKUP($C72,Утилизация!$B$16:$F$104,5,0)</f>
        <v>2</v>
      </c>
      <c r="BX72" s="9">
        <f>VLOOKUP($C72,Утилизация!$B$16:$F$104,4,0)</f>
        <v>2</v>
      </c>
      <c r="BY72" s="9">
        <f>VLOOKUP($C72,Захоронение!$B$16:$C$104,2,0)</f>
        <v>2</v>
      </c>
      <c r="BZ72" s="9">
        <f>VLOOKUP($C72,'ДК ИП'!$B$16:$C$104,2,0)</f>
        <v>1</v>
      </c>
      <c r="CA72" s="9">
        <f>VLOOKUP(C72,Радар!$B$16:$G$104,2,0)</f>
        <v>2</v>
      </c>
      <c r="CB72" s="9">
        <f>SUMPRODUCT(BJ72:BZ72,$BJ$5:$BZ$5)</f>
        <v>1.2</v>
      </c>
    </row>
    <row r="73" ht="15.75" spans="1:80">
      <c r="A73" s="6" t="s">
        <v>74</v>
      </c>
      <c r="B73" s="131">
        <f t="shared" si="6"/>
        <v>63</v>
      </c>
      <c r="C73" s="3" t="s">
        <v>75</v>
      </c>
      <c r="D73" s="133" t="str">
        <f>VLOOKUP($C73,Штаб!$B$16:$J$104,6,0)</f>
        <v/>
      </c>
      <c r="E73" s="134" t="str">
        <f>VLOOKUP($C73,Штаб!$B$16:$J$104,7,0)</f>
        <v>✔️</v>
      </c>
      <c r="F73" s="134" t="str">
        <f>VLOOKUP($C73,Штаб!$B$16:$J$104,8,0)</f>
        <v/>
      </c>
      <c r="G73" s="135" t="str">
        <f>VLOOKUP($C73,Штаб!$B$16:$J$104,9,0)</f>
        <v/>
      </c>
      <c r="H73" s="139" t="str">
        <f>VLOOKUP(C73,'РО - регионы'!$B$16:$I$104,8,0)</f>
        <v>0 / 0 / 2 из 2</v>
      </c>
      <c r="I73" s="169"/>
      <c r="J73" s="137"/>
      <c r="K73" s="170"/>
      <c r="L73" s="170"/>
      <c r="M73" s="171"/>
      <c r="N73" s="172">
        <f>VLOOKUP(C73,Спецтехника!$B$16:$J$104,4,0)</f>
        <v>334</v>
      </c>
      <c r="O73" s="173">
        <f>VLOOKUP(C73,Спецтехника!$B$16:$J$104,5,0)</f>
        <v>320</v>
      </c>
      <c r="P73" s="173">
        <f>VLOOKUP(C73,Спецтехника!$B$16:$J$104,6,0)</f>
        <v>14</v>
      </c>
      <c r="Q73" s="196">
        <f>VLOOKUP(C73,Спецтехника!$B$16:$J$104,7,0)</f>
        <v>0.0419161676646707</v>
      </c>
      <c r="R73" s="197"/>
      <c r="S73" s="137"/>
      <c r="T73" s="170"/>
      <c r="U73" s="170"/>
      <c r="V73" s="171"/>
      <c r="W73" s="174">
        <f>VLOOKUP($C73,МНО!$B$16:$AB$104,16,0)</f>
        <v>19326</v>
      </c>
      <c r="X73" s="175">
        <f>VLOOKUP($C73,МНО!$B$16:$AB$104,8,0)</f>
        <v>15259</v>
      </c>
      <c r="Y73" s="175">
        <f>VLOOKUP($C73,МНО!$B$16:$AB$104,11,0)</f>
        <v>4067</v>
      </c>
      <c r="Z73" s="212">
        <f>VLOOKUP($C73,МНО!$B$16:$AB$104,17,0)</f>
        <v>0.210441891752044</v>
      </c>
      <c r="AA73" s="213"/>
      <c r="AB73" s="214">
        <f>VLOOKUP($C73,МНО!$B$16:$AB$104,13,0)</f>
        <v>3.11739948079148</v>
      </c>
      <c r="AC73" s="215">
        <f>VLOOKUP($C73,МНО!$B$16:$AB$104,18,0)</f>
        <v>1</v>
      </c>
      <c r="AD73" s="174">
        <f>VLOOKUP($C73,Контейнеры!$B$16:$AB$104,16,0)</f>
        <v>44672</v>
      </c>
      <c r="AE73" s="175">
        <f>VLOOKUP($C73,Контейнеры!$B$16:$AB$104,8,0)</f>
        <v>32765</v>
      </c>
      <c r="AF73" s="175">
        <f>VLOOKUP($C73,Контейнеры!$B$16:$AB$104,11,0)</f>
        <v>11907</v>
      </c>
      <c r="AG73" s="212">
        <f>VLOOKUP($C73,Контейнеры!$B$16:$AB$104,17,0)</f>
        <v>0.266542800859599</v>
      </c>
      <c r="AH73" s="213"/>
      <c r="AI73" s="214">
        <f>VLOOKUP($C73,Контейнеры!$B$16:$AB$104,13,0)</f>
        <v>8.18507845084806</v>
      </c>
      <c r="AJ73" s="215">
        <f>VLOOKUP($C73,Контейнеры!$B$16:$AB$104,18,0)</f>
        <v>0.936865582020416</v>
      </c>
      <c r="AK73" s="231"/>
      <c r="AL73" s="170"/>
      <c r="AM73" s="170"/>
      <c r="AN73" s="232"/>
      <c r="AO73" s="249">
        <f>VLOOKUP($C73,Обработка!$B$16:$L$104,6,0)</f>
        <v>0.271</v>
      </c>
      <c r="AP73" s="250">
        <f t="shared" si="7"/>
        <v>-0.272</v>
      </c>
      <c r="AQ73" s="250">
        <f>VLOOKUP($C73,Обработка!$B$16:$L$104,7,0)</f>
        <v>1</v>
      </c>
      <c r="AR73" s="255">
        <f t="shared" si="8"/>
        <v>0.193</v>
      </c>
      <c r="AS73" s="258">
        <f>VLOOKUP($C73,Утилизация!$B$16:$L$104,6,0)</f>
        <v>0.118</v>
      </c>
      <c r="AT73" s="259">
        <f t="shared" si="9"/>
        <v>-0.021</v>
      </c>
      <c r="AU73" s="250">
        <f>VLOOKUP($C73,Утилизация!$B$16:$L$104,7,0)</f>
        <v>0.327198</v>
      </c>
      <c r="AV73" s="256">
        <f t="shared" si="10"/>
        <v>0.041198</v>
      </c>
      <c r="AW73" s="284" t="str">
        <f>VLOOKUP(C73,Захоронение!$B$16:$Q$104,16,0)</f>
        <v/>
      </c>
      <c r="AX73" s="231"/>
      <c r="AY73" s="170"/>
      <c r="AZ73" s="170"/>
      <c r="BA73" s="171"/>
      <c r="BB73" s="280" t="str">
        <f>VLOOKUP(C73,'ДК ИП'!$B$16:$S$104,5,0)</f>
        <v>небольшое</v>
      </c>
      <c r="BC73" s="285">
        <f>VLOOKUP(C73,Радар!$B$16:$G$104,6,0)</f>
        <v>0.00199849313617532</v>
      </c>
      <c r="BD73" s="171"/>
      <c r="BF73" s="292">
        <f t="shared" si="11"/>
        <v>0.25</v>
      </c>
      <c r="BI73" s="9">
        <f t="shared" si="12"/>
        <v>0</v>
      </c>
      <c r="BJ73" s="9">
        <f>VLOOKUP(C73,Штаб!$B$16:$C$104,2)</f>
        <v>1</v>
      </c>
      <c r="BK73" s="9">
        <f>VLOOKUP(C73,'РО - регионы'!$B$16:$C$104,2)</f>
        <v>0</v>
      </c>
      <c r="BL73" s="9">
        <f>VLOOKUP(C73,'РО - регионы'!$B$16:$L$104,11)</f>
        <v>0</v>
      </c>
      <c r="BM73" s="9">
        <f>VLOOKUP(C73,Спецтехника!$B$16:$C$104,2)</f>
        <v>0</v>
      </c>
      <c r="BN73" s="9">
        <f>VLOOKUP($C73,МНО!$B$16:$AB$104,6,0)</f>
        <v>1</v>
      </c>
      <c r="BO73" s="9">
        <f>VLOOKUP($C73,МНО!$B$16:$AB$104,4,0)</f>
        <v>1</v>
      </c>
      <c r="BP73" s="9">
        <f>VLOOKUP($C73,МНО!$B$16:$AB$104,5,0)</f>
        <v>0</v>
      </c>
      <c r="BQ73" s="9">
        <f>VLOOKUP($C73,Контейнеры!$B$16:$G$104,6,0)</f>
        <v>1</v>
      </c>
      <c r="BR73" s="9">
        <f>VLOOKUP($C73,Контейнеры!$B$16:$G$104,4,0)</f>
        <v>0</v>
      </c>
      <c r="BS73" s="9">
        <f>VLOOKUP($C73,Контейнеры!$B$16:$G$104,5,0)</f>
        <v>0</v>
      </c>
      <c r="BT73" s="9">
        <f>VLOOKUP($C73,'ДК МНО'!$B$16:$C$104,2,0)</f>
        <v>2</v>
      </c>
      <c r="BU73" s="9">
        <f>VLOOKUP($C73,Обработка!$B$16:$F$104,5,0)</f>
        <v>0</v>
      </c>
      <c r="BV73" s="9">
        <f>VLOOKUP($C73,Обработка!$B$16:$F$104,4,0)</f>
        <v>2</v>
      </c>
      <c r="BW73" s="9">
        <f>VLOOKUP($C73,Утилизация!$B$16:$F$104,5,0)</f>
        <v>0</v>
      </c>
      <c r="BX73" s="9">
        <f>VLOOKUP($C73,Утилизация!$B$16:$F$104,4,0)</f>
        <v>1</v>
      </c>
      <c r="BY73" s="9">
        <f>VLOOKUP($C73,Захоронение!$B$16:$C$104,2,0)</f>
        <v>0</v>
      </c>
      <c r="BZ73" s="9">
        <f>VLOOKUP($C73,'ДК ИП'!$B$16:$C$104,2,0)</f>
        <v>0</v>
      </c>
      <c r="CA73" s="9">
        <f>VLOOKUP(C73,Радар!$B$16:$G$104,2,0)</f>
        <v>0</v>
      </c>
      <c r="CB73" s="9">
        <f>SUMPRODUCT(BJ73:BZ73,$BJ$5:$BZ$5)</f>
        <v>0.3</v>
      </c>
    </row>
    <row r="74" ht="15.75" spans="1:80">
      <c r="A74" s="6" t="s">
        <v>108</v>
      </c>
      <c r="B74" s="137">
        <f t="shared" si="6"/>
        <v>64</v>
      </c>
      <c r="C74" s="3" t="s">
        <v>154</v>
      </c>
      <c r="D74" s="133" t="str">
        <f>VLOOKUP($C74,Штаб!$B$16:$J$104,6,0)</f>
        <v/>
      </c>
      <c r="E74" s="134" t="str">
        <f>VLOOKUP($C74,Штаб!$B$16:$J$104,7,0)</f>
        <v/>
      </c>
      <c r="F74" s="134" t="str">
        <f>VLOOKUP($C74,Штаб!$B$16:$J$104,8,0)</f>
        <v/>
      </c>
      <c r="G74" s="135" t="str">
        <f>VLOOKUP($C74,Штаб!$B$16:$J$104,9,0)</f>
        <v>✔️</v>
      </c>
      <c r="H74" s="138" t="str">
        <f>VLOOKUP(C74,'РО - регионы'!$B$16:$I$104,8,0)</f>
        <v>0 / 2 / 0 из 2</v>
      </c>
      <c r="I74" s="169"/>
      <c r="J74" s="137"/>
      <c r="K74" s="170"/>
      <c r="L74" s="170"/>
      <c r="M74" s="171"/>
      <c r="N74" s="176">
        <f>VLOOKUP(C74,Спецтехника!$B$16:$J$104,4,0)</f>
        <v>66</v>
      </c>
      <c r="O74" s="177">
        <f>VLOOKUP(C74,Спецтехника!$B$16:$J$104,5,0)</f>
        <v>46</v>
      </c>
      <c r="P74" s="177">
        <f>VLOOKUP(C74,Спецтехника!$B$16:$J$104,6,0)</f>
        <v>20</v>
      </c>
      <c r="Q74" s="199">
        <f>VLOOKUP(C74,Спецтехника!$B$16:$J$104,7,0)</f>
        <v>0.303030303030303</v>
      </c>
      <c r="R74" s="197"/>
      <c r="S74" s="137"/>
      <c r="T74" s="170"/>
      <c r="U74" s="170"/>
      <c r="V74" s="171"/>
      <c r="W74" s="176">
        <f>VLOOKUP($C74,МНО!$B$16:$AB$104,16,0)</f>
        <v>1747</v>
      </c>
      <c r="X74" s="177">
        <f>VLOOKUP($C74,МНО!$B$16:$AB$104,8,0)</f>
        <v>637</v>
      </c>
      <c r="Y74" s="177">
        <f>VLOOKUP($C74,МНО!$B$16:$AB$104,11,0)</f>
        <v>1110</v>
      </c>
      <c r="Z74" s="217">
        <f>VLOOKUP($C74,МНО!$B$16:$AB$104,17,0)</f>
        <v>0.635374928448769</v>
      </c>
      <c r="AA74" s="213"/>
      <c r="AB74" s="214">
        <f>VLOOKUP($C74,МНО!$B$16:$AB$104,13,0)</f>
        <v>1.73606996421207</v>
      </c>
      <c r="AC74" s="215">
        <f>VLOOKUP($C74,МНО!$B$16:$AB$104,18,0)</f>
        <v>0.453380782918149</v>
      </c>
      <c r="AD74" s="176">
        <f>VLOOKUP($C74,Контейнеры!$B$16:$AB$104,16,0)</f>
        <v>967</v>
      </c>
      <c r="AE74" s="177">
        <f>VLOOKUP($C74,Контейнеры!$B$16:$AB$104,8,0)</f>
        <v>967</v>
      </c>
      <c r="AF74" s="177">
        <f>VLOOKUP($C74,Контейнеры!$B$16:$AB$104,11,0)</f>
        <v>0</v>
      </c>
      <c r="AG74" s="217">
        <f>VLOOKUP($C74,Контейнеры!$B$16:$AB$104,17,0)</f>
        <v>0</v>
      </c>
      <c r="AH74" s="213"/>
      <c r="AI74" s="214">
        <f>VLOOKUP($C74,Контейнеры!$B$16:$AB$104,13,0)</f>
        <v>2.86481169862299</v>
      </c>
      <c r="AJ74" s="215">
        <f>VLOOKUP($C74,Контейнеры!$B$16:$AB$104,18,0)</f>
        <v>0.3868</v>
      </c>
      <c r="AK74" s="231"/>
      <c r="AL74" s="170"/>
      <c r="AM74" s="170"/>
      <c r="AN74" s="232"/>
      <c r="AO74" s="249">
        <f>VLOOKUP($C74,Обработка!$B$16:$L$104,6,0)</f>
        <v>0</v>
      </c>
      <c r="AP74" s="251">
        <f t="shared" si="7"/>
        <v>-0.543</v>
      </c>
      <c r="AQ74" s="250">
        <f>VLOOKUP($C74,Обработка!$B$16:$L$104,7,0)</f>
        <v>0.875</v>
      </c>
      <c r="AR74" s="255">
        <f t="shared" si="8"/>
        <v>0.0679999999999999</v>
      </c>
      <c r="AS74" s="253">
        <f>VLOOKUP($C74,Утилизация!$B$16:$L$104,6,0)</f>
        <v>0</v>
      </c>
      <c r="AT74" s="251">
        <f t="shared" si="9"/>
        <v>-0.139</v>
      </c>
      <c r="AU74" s="250">
        <f>VLOOKUP($C74,Утилизация!$B$16:$L$104,7,0)</f>
        <v>0.3</v>
      </c>
      <c r="AV74" s="256">
        <f t="shared" si="10"/>
        <v>0.014</v>
      </c>
      <c r="AW74" s="279" t="str">
        <f>VLOOKUP(C74,Захоронение!$B$16:$Q$104,16,0)</f>
        <v>белые пятна</v>
      </c>
      <c r="AX74" s="231"/>
      <c r="AY74" s="170"/>
      <c r="AZ74" s="170"/>
      <c r="BA74" s="171"/>
      <c r="BB74" s="280" t="str">
        <f>VLOOKUP(C74,'ДК ИП'!$B$16:$S$104,5,0)</f>
        <v>небольшое</v>
      </c>
      <c r="BC74" s="281">
        <f>VLOOKUP(C74,Радар!$B$16:$G$104,6,0)</f>
        <v>0.55400184864788</v>
      </c>
      <c r="BD74" s="171"/>
      <c r="BF74" s="290">
        <f t="shared" si="11"/>
        <v>1</v>
      </c>
      <c r="BI74" s="9">
        <f t="shared" si="12"/>
        <v>2</v>
      </c>
      <c r="BJ74" s="9">
        <f>VLOOKUP(C74,Штаб!$B$16:$C$104,2)</f>
        <v>2</v>
      </c>
      <c r="BK74" s="9">
        <f>VLOOKUP(C74,'РО - регионы'!$B$16:$C$104,2)</f>
        <v>1</v>
      </c>
      <c r="BL74" s="9">
        <f>VLOOKUP(C74,'РО - регионы'!$B$16:$L$104,11)</f>
        <v>2</v>
      </c>
      <c r="BM74" s="9">
        <f>VLOOKUP(C74,Спецтехника!$B$16:$C$104,2)</f>
        <v>2</v>
      </c>
      <c r="BN74" s="9">
        <f>VLOOKUP($C74,МНО!$B$16:$AB$104,6,0)</f>
        <v>2</v>
      </c>
      <c r="BO74" s="9">
        <f>VLOOKUP($C74,МНО!$B$16:$AB$104,4,0)</f>
        <v>2</v>
      </c>
      <c r="BP74" s="9">
        <f>VLOOKUP($C74,МНО!$B$16:$AB$104,5,0)</f>
        <v>2</v>
      </c>
      <c r="BQ74" s="9">
        <f>VLOOKUP($C74,Контейнеры!$B$16:$G$104,6,0)</f>
        <v>2</v>
      </c>
      <c r="BR74" s="9">
        <f>VLOOKUP($C74,Контейнеры!$B$16:$G$104,4,0)</f>
        <v>2</v>
      </c>
      <c r="BS74" s="9">
        <f>VLOOKUP($C74,Контейнеры!$B$16:$G$104,5,0)</f>
        <v>2</v>
      </c>
      <c r="BT74" s="9">
        <f>VLOOKUP($C74,'ДК МНО'!$B$16:$C$104,2,0)</f>
        <v>2</v>
      </c>
      <c r="BU74" s="9">
        <f>VLOOKUP($C74,Обработка!$B$16:$F$104,5,0)</f>
        <v>0</v>
      </c>
      <c r="BV74" s="9">
        <f>VLOOKUP($C74,Обработка!$B$16:$F$104,4,0)</f>
        <v>2</v>
      </c>
      <c r="BW74" s="9">
        <f>VLOOKUP($C74,Утилизация!$B$16:$F$104,5,0)</f>
        <v>0</v>
      </c>
      <c r="BX74" s="9">
        <f>VLOOKUP($C74,Утилизация!$B$16:$F$104,4,0)</f>
        <v>2</v>
      </c>
      <c r="BY74" s="9">
        <f>VLOOKUP($C74,Захоронение!$B$16:$C$104,2,0)</f>
        <v>2</v>
      </c>
      <c r="BZ74" s="9">
        <f>VLOOKUP($C74,'ДК ИП'!$B$16:$C$104,2,0)</f>
        <v>0</v>
      </c>
      <c r="CA74" s="9">
        <f>VLOOKUP(C74,Радар!$B$16:$G$104,2,0)</f>
        <v>2</v>
      </c>
      <c r="CB74" s="9">
        <f>SUMPRODUCT(BJ74:BZ74,$BJ$5:$BZ$5)</f>
        <v>1.4</v>
      </c>
    </row>
    <row r="75" ht="15.75" spans="1:80">
      <c r="A75" s="6" t="s">
        <v>108</v>
      </c>
      <c r="B75" s="131">
        <f t="shared" ref="B75:B99" si="13">B74+1</f>
        <v>65</v>
      </c>
      <c r="C75" s="3" t="s">
        <v>152</v>
      </c>
      <c r="D75" s="133" t="str">
        <f>VLOOKUP($C75,Штаб!$B$16:$J$104,6,0)</f>
        <v>✔️</v>
      </c>
      <c r="E75" s="134" t="str">
        <f>VLOOKUP($C75,Штаб!$B$16:$J$104,7,0)</f>
        <v/>
      </c>
      <c r="F75" s="134" t="str">
        <f>VLOOKUP($C75,Штаб!$B$16:$J$104,8,0)</f>
        <v/>
      </c>
      <c r="G75" s="135" t="str">
        <f>VLOOKUP($C75,Штаб!$B$16:$J$104,9,0)</f>
        <v/>
      </c>
      <c r="H75" s="140" t="str">
        <f>VLOOKUP(C75,'РО - регионы'!$B$16:$I$104,8,0)</f>
        <v>1 / 3 / 1 из 5</v>
      </c>
      <c r="I75" s="169"/>
      <c r="J75" s="137"/>
      <c r="K75" s="170"/>
      <c r="L75" s="170"/>
      <c r="M75" s="171"/>
      <c r="N75" s="172">
        <f>VLOOKUP(C75,Спецтехника!$B$16:$J$104,4,0)</f>
        <v>41</v>
      </c>
      <c r="O75" s="173">
        <f>VLOOKUP(C75,Спецтехника!$B$16:$J$104,5,0)</f>
        <v>41</v>
      </c>
      <c r="P75" s="173">
        <f>VLOOKUP(C75,Спецтехника!$B$16:$J$104,6,0)</f>
        <v>0</v>
      </c>
      <c r="Q75" s="196">
        <f>VLOOKUP(C75,Спецтехника!$B$16:$J$104,7,0)</f>
        <v>0</v>
      </c>
      <c r="R75" s="197"/>
      <c r="S75" s="137"/>
      <c r="T75" s="170"/>
      <c r="U75" s="170"/>
      <c r="V75" s="171"/>
      <c r="W75" s="176">
        <f>VLOOKUP($C75,МНО!$B$16:$AB$104,16,0)</f>
        <v>8171</v>
      </c>
      <c r="X75" s="177">
        <f>VLOOKUP($C75,МНО!$B$16:$AB$104,8,0)</f>
        <v>2585</v>
      </c>
      <c r="Y75" s="177">
        <f>VLOOKUP($C75,МНО!$B$16:$AB$104,11,0)</f>
        <v>5586</v>
      </c>
      <c r="Z75" s="217">
        <f>VLOOKUP($C75,МНО!$B$16:$AB$104,17,0)</f>
        <v>0.683637253702117</v>
      </c>
      <c r="AA75" s="213"/>
      <c r="AB75" s="214">
        <f>VLOOKUP($C75,МНО!$B$16:$AB$104,13,0)</f>
        <v>3.70331802906234</v>
      </c>
      <c r="AC75" s="215">
        <f>VLOOKUP($C75,МНО!$B$16:$AB$104,18,0)</f>
        <v>0.458333333333333</v>
      </c>
      <c r="AD75" s="176">
        <f>VLOOKUP($C75,Контейнеры!$B$16:$AB$104,16,0)</f>
        <v>10611</v>
      </c>
      <c r="AE75" s="177">
        <f>VLOOKUP($C75,Контейнеры!$B$16:$AB$104,8,0)</f>
        <v>4867</v>
      </c>
      <c r="AF75" s="177">
        <f>VLOOKUP($C75,Контейнеры!$B$16:$AB$104,11,0)</f>
        <v>5744</v>
      </c>
      <c r="AG75" s="217">
        <f>VLOOKUP($C75,Контейнеры!$B$16:$AB$104,17,0)</f>
        <v>0.541325040052775</v>
      </c>
      <c r="AH75" s="213"/>
      <c r="AI75" s="214">
        <f>VLOOKUP($C75,Контейнеры!$B$16:$AB$104,13,0)</f>
        <v>9.21474889951247</v>
      </c>
      <c r="AJ75" s="215">
        <f>VLOOKUP($C75,Контейнеры!$B$16:$AB$104,18,0)</f>
        <v>0.477250441262993</v>
      </c>
      <c r="AK75" s="231"/>
      <c r="AL75" s="170"/>
      <c r="AM75" s="170"/>
      <c r="AN75" s="232"/>
      <c r="AO75" s="249">
        <f>VLOOKUP($C75,Обработка!$B$16:$L$104,6,0)</f>
        <v>0</v>
      </c>
      <c r="AP75" s="250">
        <f t="shared" ref="AP75:AP99" si="14">AO75-$AO$10</f>
        <v>-0.543</v>
      </c>
      <c r="AQ75" s="259">
        <f>VLOOKUP($C75,Обработка!$B$16:$L$104,7,0)</f>
        <v>0.6</v>
      </c>
      <c r="AR75" s="262">
        <f t="shared" ref="AR75:AR99" si="15">AQ75-$AQ$10</f>
        <v>-0.207</v>
      </c>
      <c r="AS75" s="253">
        <f>VLOOKUP($C75,Утилизация!$B$16:$L$104,6,0)</f>
        <v>0</v>
      </c>
      <c r="AT75" s="251">
        <f t="shared" ref="AT75:AT99" si="16">AS75-$AS$10</f>
        <v>-0.139</v>
      </c>
      <c r="AU75" s="250">
        <f>VLOOKUP($C75,Утилизация!$B$16:$L$104,7,0)</f>
        <v>0.35</v>
      </c>
      <c r="AV75" s="256">
        <f t="shared" ref="AV75:AV99" si="17">AU75-$AU$10</f>
        <v>0.064</v>
      </c>
      <c r="AW75" s="279" t="str">
        <f>VLOOKUP(C75,Захоронение!$B$16:$Q$104,16,0)</f>
        <v>765 приказ</v>
      </c>
      <c r="AX75" s="231"/>
      <c r="AY75" s="170"/>
      <c r="AZ75" s="170"/>
      <c r="BA75" s="171"/>
      <c r="BB75" s="280" t="str">
        <f>VLOOKUP(C75,'ДК ИП'!$B$16:$S$104,5,0)</f>
        <v>среднее</v>
      </c>
      <c r="BC75" s="281">
        <f>VLOOKUP(C75,Радар!$B$16:$G$104,6,0)</f>
        <v>0.732711695934113</v>
      </c>
      <c r="BD75" s="171"/>
      <c r="BF75" s="290">
        <f t="shared" ref="BF75:BF99" si="18">(BU75+BV75+BW75+BX75+BY75*4+BZ75)/12</f>
        <v>1.16666666666667</v>
      </c>
      <c r="BI75" s="9">
        <f t="shared" ref="BI75:BI99" si="19">IF(CB75&gt;=1.3,2,IF(CB75&gt;=0.8,1,0))</f>
        <v>2</v>
      </c>
      <c r="BJ75" s="9">
        <f>VLOOKUP(C75,Штаб!$B$16:$C$104,2)</f>
        <v>0</v>
      </c>
      <c r="BK75" s="9">
        <f>VLOOKUP(C75,'РО - регионы'!$B$16:$C$104,2)</f>
        <v>2</v>
      </c>
      <c r="BL75" s="9">
        <f>VLOOKUP(C75,'РО - регионы'!$B$16:$L$104,11)</f>
        <v>2</v>
      </c>
      <c r="BM75" s="9">
        <f>VLOOKUP(C75,Спецтехника!$B$16:$C$104,2)</f>
        <v>0</v>
      </c>
      <c r="BN75" s="9">
        <f>VLOOKUP($C75,МНО!$B$16:$AB$104,6,0)</f>
        <v>2</v>
      </c>
      <c r="BO75" s="9">
        <f>VLOOKUP($C75,МНО!$B$16:$AB$104,4,0)</f>
        <v>1</v>
      </c>
      <c r="BP75" s="9">
        <f>VLOOKUP($C75,МНО!$B$16:$AB$104,5,0)</f>
        <v>2</v>
      </c>
      <c r="BQ75" s="9">
        <f>VLOOKUP($C75,Контейнеры!$B$16:$G$104,6,0)</f>
        <v>2</v>
      </c>
      <c r="BR75" s="9">
        <f>VLOOKUP($C75,Контейнеры!$B$16:$G$104,4,0)</f>
        <v>0</v>
      </c>
      <c r="BS75" s="9">
        <f>VLOOKUP($C75,Контейнеры!$B$16:$G$104,5,0)</f>
        <v>2</v>
      </c>
      <c r="BT75" s="9">
        <f>VLOOKUP($C75,'ДК МНО'!$B$16:$C$104,2,0)</f>
        <v>2</v>
      </c>
      <c r="BU75" s="9">
        <f>VLOOKUP($C75,Обработка!$B$16:$F$104,5,0)</f>
        <v>1</v>
      </c>
      <c r="BV75" s="9">
        <f>VLOOKUP($C75,Обработка!$B$16:$F$104,4,0)</f>
        <v>2</v>
      </c>
      <c r="BW75" s="9">
        <f>VLOOKUP($C75,Утилизация!$B$16:$F$104,5,0)</f>
        <v>0</v>
      </c>
      <c r="BX75" s="9">
        <f>VLOOKUP($C75,Утилизация!$B$16:$F$104,4,0)</f>
        <v>2</v>
      </c>
      <c r="BY75" s="9">
        <f>VLOOKUP($C75,Захоронение!$B$16:$C$104,2,0)</f>
        <v>2</v>
      </c>
      <c r="BZ75" s="9">
        <f>VLOOKUP($C75,'ДК ИП'!$B$16:$C$104,2,0)</f>
        <v>1</v>
      </c>
      <c r="CA75" s="9">
        <f>VLOOKUP(C75,Радар!$B$16:$G$104,2,0)</f>
        <v>2</v>
      </c>
      <c r="CB75" s="9">
        <f>SUMPRODUCT(BJ75:BZ75,$BJ$5:$BZ$5)</f>
        <v>1.5</v>
      </c>
    </row>
    <row r="76" ht="15.75" spans="1:80">
      <c r="A76" s="6" t="s">
        <v>85</v>
      </c>
      <c r="B76" s="137">
        <f t="shared" si="13"/>
        <v>66</v>
      </c>
      <c r="C76" s="3" t="s">
        <v>140</v>
      </c>
      <c r="D76" s="133" t="str">
        <f>VLOOKUP($C76,Штаб!$B$16:$J$104,6,0)</f>
        <v>✔️</v>
      </c>
      <c r="E76" s="134" t="str">
        <f>VLOOKUP($C76,Штаб!$B$16:$J$104,7,0)</f>
        <v/>
      </c>
      <c r="F76" s="134" t="str">
        <f>VLOOKUP($C76,Штаб!$B$16:$J$104,8,0)</f>
        <v/>
      </c>
      <c r="G76" s="135" t="str">
        <f>VLOOKUP($C76,Штаб!$B$16:$J$104,9,0)</f>
        <v/>
      </c>
      <c r="H76" s="138" t="str">
        <f>VLOOKUP(C76,'РО - регионы'!$B$16:$I$104,8,0)</f>
        <v>0 / 2 / 6 из 8</v>
      </c>
      <c r="I76" s="169"/>
      <c r="J76" s="137"/>
      <c r="K76" s="170"/>
      <c r="L76" s="170"/>
      <c r="M76" s="171"/>
      <c r="N76" s="174">
        <f>VLOOKUP(C76,Спецтехника!$B$16:$J$104,4,0)</f>
        <v>761</v>
      </c>
      <c r="O76" s="175">
        <f>VLOOKUP(C76,Спецтехника!$B$16:$J$104,5,0)</f>
        <v>689</v>
      </c>
      <c r="P76" s="175">
        <f>VLOOKUP(C76,Спецтехника!$B$16:$J$104,6,0)</f>
        <v>72</v>
      </c>
      <c r="Q76" s="198">
        <f>VLOOKUP(C76,Спецтехника!$B$16:$J$104,7,0)</f>
        <v>0.0946123521681997</v>
      </c>
      <c r="R76" s="197"/>
      <c r="S76" s="137"/>
      <c r="T76" s="170"/>
      <c r="U76" s="170"/>
      <c r="V76" s="171"/>
      <c r="W76" s="172">
        <f>VLOOKUP($C76,МНО!$B$16:$AB$104,16,0)</f>
        <v>24128</v>
      </c>
      <c r="X76" s="173">
        <f>VLOOKUP($C76,МНО!$B$16:$AB$104,8,0)</f>
        <v>21719</v>
      </c>
      <c r="Y76" s="173">
        <f>VLOOKUP($C76,МНО!$B$16:$AB$104,11,0)</f>
        <v>2409</v>
      </c>
      <c r="Z76" s="216">
        <f>VLOOKUP($C76,МНО!$B$16:$AB$104,17,0)</f>
        <v>0.0998425066312997</v>
      </c>
      <c r="AA76" s="213"/>
      <c r="AB76" s="214">
        <f>VLOOKUP($C76,МНО!$B$16:$AB$104,13,0)</f>
        <v>4.90786554085979</v>
      </c>
      <c r="AC76" s="215">
        <f>VLOOKUP($C76,МНО!$B$16:$AB$104,18,0)</f>
        <v>0.87806751566606</v>
      </c>
      <c r="AD76" s="172">
        <f>VLOOKUP($C76,Контейнеры!$B$16:$AB$104,16,0)</f>
        <v>48471</v>
      </c>
      <c r="AE76" s="173">
        <f>VLOOKUP($C76,Контейнеры!$B$16:$AB$104,8,0)</f>
        <v>44330</v>
      </c>
      <c r="AF76" s="173">
        <f>VLOOKUP($C76,Контейнеры!$B$16:$AB$104,11,0)</f>
        <v>4141</v>
      </c>
      <c r="AG76" s="216">
        <f>VLOOKUP($C76,Контейнеры!$B$16:$AB$104,17,0)</f>
        <v>0.0854325266654288</v>
      </c>
      <c r="AH76" s="213"/>
      <c r="AI76" s="214">
        <f>VLOOKUP($C76,Контейнеры!$B$16:$AB$104,13,0)</f>
        <v>10.67545041346</v>
      </c>
      <c r="AJ76" s="215">
        <f>VLOOKUP($C76,Контейнеры!$B$16:$AB$104,18,0)</f>
        <v>0.856552150558411</v>
      </c>
      <c r="AK76" s="231"/>
      <c r="AL76" s="170"/>
      <c r="AM76" s="170"/>
      <c r="AN76" s="232"/>
      <c r="AO76" s="257">
        <f>VLOOKUP($C76,Обработка!$B$16:$L$104,6,0)</f>
        <v>0.63</v>
      </c>
      <c r="AP76" s="250">
        <f t="shared" si="14"/>
        <v>0.087</v>
      </c>
      <c r="AQ76" s="259">
        <f>VLOOKUP($C76,Обработка!$B$16:$L$104,7,0)</f>
        <v>0.765</v>
      </c>
      <c r="AR76" s="262">
        <f t="shared" si="15"/>
        <v>-0.042</v>
      </c>
      <c r="AS76" s="258">
        <f>VLOOKUP($C76,Утилизация!$B$16:$L$104,6,0)</f>
        <v>0.1</v>
      </c>
      <c r="AT76" s="259">
        <f t="shared" si="16"/>
        <v>-0.039</v>
      </c>
      <c r="AU76" s="259">
        <f>VLOOKUP($C76,Утилизация!$B$16:$L$104,7,0)</f>
        <v>0.178</v>
      </c>
      <c r="AV76" s="260">
        <f t="shared" si="17"/>
        <v>-0.108</v>
      </c>
      <c r="AW76" s="279" t="str">
        <f>VLOOKUP(C76,Захоронение!$B$16:$Q$104,16,0)</f>
        <v>765 приказ</v>
      </c>
      <c r="AX76" s="231"/>
      <c r="AY76" s="170"/>
      <c r="AZ76" s="170"/>
      <c r="BA76" s="171"/>
      <c r="BB76" s="280" t="str">
        <f>VLOOKUP(C76,'ДК ИП'!$B$16:$S$104,5,0)</f>
        <v>среднее</v>
      </c>
      <c r="BC76" s="282">
        <f>VLOOKUP(C76,Радар!$B$16:$G$104,6,0)</f>
        <v>0.0257674981782138</v>
      </c>
      <c r="BD76" s="171"/>
      <c r="BF76" s="290">
        <f t="shared" si="18"/>
        <v>1</v>
      </c>
      <c r="BI76" s="9">
        <f t="shared" si="19"/>
        <v>1</v>
      </c>
      <c r="BJ76" s="9">
        <f>VLOOKUP(C76,Штаб!$B$16:$C$104,2)</f>
        <v>0</v>
      </c>
      <c r="BK76" s="9">
        <f>VLOOKUP(C76,'РО - регионы'!$B$16:$C$104,2)</f>
        <v>1</v>
      </c>
      <c r="BL76" s="9">
        <f>VLOOKUP(C76,'РО - регионы'!$B$16:$L$104,11)</f>
        <v>2</v>
      </c>
      <c r="BM76" s="9">
        <f>VLOOKUP(C76,Спецтехника!$B$16:$C$104,2)</f>
        <v>1</v>
      </c>
      <c r="BN76" s="9">
        <f>VLOOKUP($C76,МНО!$B$16:$AB$104,6,0)</f>
        <v>0</v>
      </c>
      <c r="BO76" s="9">
        <f>VLOOKUP($C76,МНО!$B$16:$AB$104,4,0)</f>
        <v>1</v>
      </c>
      <c r="BP76" s="9">
        <f>VLOOKUP($C76,МНО!$B$16:$AB$104,5,0)</f>
        <v>0</v>
      </c>
      <c r="BQ76" s="9">
        <f>VLOOKUP($C76,Контейнеры!$B$16:$G$104,6,0)</f>
        <v>0</v>
      </c>
      <c r="BR76" s="9">
        <f>VLOOKUP($C76,Контейнеры!$B$16:$G$104,4,0)</f>
        <v>0</v>
      </c>
      <c r="BS76" s="9">
        <f>VLOOKUP($C76,Контейнеры!$B$16:$G$104,5,0)</f>
        <v>1</v>
      </c>
      <c r="BT76" s="9">
        <f>VLOOKUP($C76,'ДК МНО'!$B$16:$C$104,2,0)</f>
        <v>2</v>
      </c>
      <c r="BU76" s="9">
        <f>VLOOKUP($C76,Обработка!$B$16:$F$104,5,0)</f>
        <v>1</v>
      </c>
      <c r="BV76" s="9">
        <f>VLOOKUP($C76,Обработка!$B$16:$F$104,4,0)</f>
        <v>0</v>
      </c>
      <c r="BW76" s="9">
        <f>VLOOKUP($C76,Утилизация!$B$16:$F$104,5,0)</f>
        <v>1</v>
      </c>
      <c r="BX76" s="9">
        <f>VLOOKUP($C76,Утилизация!$B$16:$F$104,4,0)</f>
        <v>1</v>
      </c>
      <c r="BY76" s="9">
        <f>VLOOKUP($C76,Захоронение!$B$16:$C$104,2,0)</f>
        <v>2</v>
      </c>
      <c r="BZ76" s="9">
        <f>VLOOKUP($C76,'ДК ИП'!$B$16:$C$104,2,0)</f>
        <v>1</v>
      </c>
      <c r="CA76" s="9">
        <f>VLOOKUP(C76,Радар!$B$16:$G$104,2,0)</f>
        <v>1</v>
      </c>
      <c r="CB76" s="9">
        <f>SUMPRODUCT(BJ76:BZ76,$BJ$5:$BZ$5)</f>
        <v>1.05</v>
      </c>
    </row>
    <row r="77" ht="15.75" spans="1:80">
      <c r="A77" s="6" t="s">
        <v>67</v>
      </c>
      <c r="B77" s="131">
        <f t="shared" si="13"/>
        <v>67</v>
      </c>
      <c r="C77" s="3" t="s">
        <v>135</v>
      </c>
      <c r="D77" s="133" t="str">
        <f>VLOOKUP($C77,Штаб!$B$16:$J$104,6,0)</f>
        <v/>
      </c>
      <c r="E77" s="134" t="str">
        <f>VLOOKUP($C77,Штаб!$B$16:$J$104,7,0)</f>
        <v/>
      </c>
      <c r="F77" s="134" t="str">
        <f>VLOOKUP($C77,Штаб!$B$16:$J$104,8,0)</f>
        <v/>
      </c>
      <c r="G77" s="135" t="str">
        <f>VLOOKUP($C77,Штаб!$B$16:$J$104,9,0)</f>
        <v>✔️</v>
      </c>
      <c r="H77" s="138" t="str">
        <f>VLOOKUP(C77,'РО - регионы'!$B$16:$I$104,8,0)</f>
        <v>0 / 1 / 0 из 1</v>
      </c>
      <c r="I77" s="169"/>
      <c r="J77" s="137"/>
      <c r="K77" s="170"/>
      <c r="L77" s="170"/>
      <c r="M77" s="171"/>
      <c r="N77" s="174">
        <f>VLOOKUP(C77,Спецтехника!$B$16:$J$104,4,0)</f>
        <v>222</v>
      </c>
      <c r="O77" s="175">
        <f>VLOOKUP(C77,Спецтехника!$B$16:$J$104,5,0)</f>
        <v>186</v>
      </c>
      <c r="P77" s="175">
        <f>VLOOKUP(C77,Спецтехника!$B$16:$J$104,6,0)</f>
        <v>36</v>
      </c>
      <c r="Q77" s="198">
        <f>VLOOKUP(C77,Спецтехника!$B$16:$J$104,7,0)</f>
        <v>0.162162162162162</v>
      </c>
      <c r="R77" s="197"/>
      <c r="S77" s="137"/>
      <c r="T77" s="170"/>
      <c r="U77" s="170"/>
      <c r="V77" s="171"/>
      <c r="W77" s="172">
        <f>VLOOKUP($C77,МНО!$B$16:$AB$104,16,0)</f>
        <v>15887</v>
      </c>
      <c r="X77" s="173">
        <f>VLOOKUP($C77,МНО!$B$16:$AB$104,8,0)</f>
        <v>13511</v>
      </c>
      <c r="Y77" s="173">
        <f>VLOOKUP($C77,МНО!$B$16:$AB$104,11,0)</f>
        <v>2376</v>
      </c>
      <c r="Z77" s="216">
        <f>VLOOKUP($C77,МНО!$B$16:$AB$104,17,0)</f>
        <v>0.149556240951722</v>
      </c>
      <c r="AA77" s="213"/>
      <c r="AB77" s="214">
        <f>VLOOKUP($C77,МНО!$B$16:$AB$104,13,0)</f>
        <v>12.0538036703809</v>
      </c>
      <c r="AC77" s="215">
        <f>VLOOKUP($C77,МНО!$B$16:$AB$104,18,0)</f>
        <v>1</v>
      </c>
      <c r="AD77" s="174">
        <f>VLOOKUP($C77,Контейнеры!$B$16:$AB$104,16,0)</f>
        <v>32730</v>
      </c>
      <c r="AE77" s="175">
        <f>VLOOKUP($C77,Контейнеры!$B$16:$AB$104,8,0)</f>
        <v>25841</v>
      </c>
      <c r="AF77" s="175">
        <f>VLOOKUP($C77,Контейнеры!$B$16:$AB$104,11,0)</f>
        <v>6889</v>
      </c>
      <c r="AG77" s="212">
        <f>VLOOKUP($C77,Контейнеры!$B$16:$AB$104,17,0)</f>
        <v>0.210479682248702</v>
      </c>
      <c r="AH77" s="213"/>
      <c r="AI77" s="214">
        <f>VLOOKUP($C77,Контейнеры!$B$16:$AB$104,13,0)</f>
        <v>23.8775270713923</v>
      </c>
      <c r="AJ77" s="215">
        <f>VLOOKUP($C77,Контейнеры!$B$16:$AB$104,18,0)</f>
        <v>1</v>
      </c>
      <c r="AK77" s="231"/>
      <c r="AL77" s="170"/>
      <c r="AM77" s="170"/>
      <c r="AN77" s="232"/>
      <c r="AO77" s="257">
        <f>VLOOKUP($C77,Обработка!$B$16:$L$104,6,0)</f>
        <v>0.823</v>
      </c>
      <c r="AP77" s="250">
        <f t="shared" si="14"/>
        <v>0.28</v>
      </c>
      <c r="AQ77" s="250">
        <f>VLOOKUP($C77,Обработка!$B$16:$L$104,7,0)</f>
        <v>1</v>
      </c>
      <c r="AR77" s="255">
        <f t="shared" si="15"/>
        <v>0.193</v>
      </c>
      <c r="AS77" s="253">
        <f>VLOOKUP($C77,Утилизация!$B$16:$L$104,6,0)</f>
        <v>0.062</v>
      </c>
      <c r="AT77" s="251">
        <f t="shared" si="16"/>
        <v>-0.077</v>
      </c>
      <c r="AU77" s="251">
        <f>VLOOKUP($C77,Утилизация!$B$16:$L$104,7,0)</f>
        <v>0.103</v>
      </c>
      <c r="AV77" s="254">
        <f t="shared" si="17"/>
        <v>-0.183</v>
      </c>
      <c r="AW77" s="279" t="str">
        <f>VLOOKUP(C77,Захоронение!$B$16:$Q$104,16,0)</f>
        <v>свалки</v>
      </c>
      <c r="AX77" s="231"/>
      <c r="AY77" s="170"/>
      <c r="AZ77" s="170"/>
      <c r="BA77" s="171"/>
      <c r="BB77" s="280" t="str">
        <f>VLOOKUP(C77,'ДК ИП'!$B$16:$S$104,5,0)</f>
        <v>небольшое</v>
      </c>
      <c r="BC77" s="281">
        <f>VLOOKUP(C77,Радар!$B$16:$G$104,6,0)</f>
        <v>0.517449601794811</v>
      </c>
      <c r="BD77" s="171"/>
      <c r="BF77" s="290">
        <f t="shared" si="18"/>
        <v>1</v>
      </c>
      <c r="BI77" s="9">
        <f t="shared" si="19"/>
        <v>1</v>
      </c>
      <c r="BJ77" s="9">
        <f>VLOOKUP(C77,Штаб!$B$16:$C$104,2)</f>
        <v>2</v>
      </c>
      <c r="BK77" s="9">
        <f>VLOOKUP(C77,'РО - регионы'!$B$16:$C$104,2)</f>
        <v>1</v>
      </c>
      <c r="BL77" s="9">
        <f>VLOOKUP(C77,'РО - регионы'!$B$16:$L$104,11)</f>
        <v>2</v>
      </c>
      <c r="BM77" s="9">
        <f>VLOOKUP(C77,Спецтехника!$B$16:$C$104,2)</f>
        <v>1</v>
      </c>
      <c r="BN77" s="9">
        <f>VLOOKUP($C77,МНО!$B$16:$AB$104,6,0)</f>
        <v>0</v>
      </c>
      <c r="BO77" s="9">
        <f>VLOOKUP($C77,МНО!$B$16:$AB$104,4,0)</f>
        <v>0</v>
      </c>
      <c r="BP77" s="9">
        <f>VLOOKUP($C77,МНО!$B$16:$AB$104,5,0)</f>
        <v>0</v>
      </c>
      <c r="BQ77" s="9">
        <f>VLOOKUP($C77,Контейнеры!$B$16:$G$104,6,0)</f>
        <v>1</v>
      </c>
      <c r="BR77" s="9">
        <f>VLOOKUP($C77,Контейнеры!$B$16:$G$104,4,0)</f>
        <v>0</v>
      </c>
      <c r="BS77" s="9">
        <f>VLOOKUP($C77,Контейнеры!$B$16:$G$104,5,0)</f>
        <v>0</v>
      </c>
      <c r="BT77" s="9">
        <f>VLOOKUP($C77,'ДК МНО'!$B$16:$C$104,2,0)</f>
        <v>2</v>
      </c>
      <c r="BU77" s="9">
        <f>VLOOKUP($C77,Обработка!$B$16:$F$104,5,0)</f>
        <v>0</v>
      </c>
      <c r="BV77" s="9">
        <f>VLOOKUP($C77,Обработка!$B$16:$F$104,4,0)</f>
        <v>0</v>
      </c>
      <c r="BW77" s="9">
        <f>VLOOKUP($C77,Утилизация!$B$16:$F$104,5,0)</f>
        <v>2</v>
      </c>
      <c r="BX77" s="9">
        <f>VLOOKUP($C77,Утилизация!$B$16:$F$104,4,0)</f>
        <v>2</v>
      </c>
      <c r="BY77" s="9">
        <f>VLOOKUP($C77,Захоронение!$B$16:$C$104,2,0)</f>
        <v>2</v>
      </c>
      <c r="BZ77" s="9">
        <f>VLOOKUP($C77,'ДК ИП'!$B$16:$C$104,2,0)</f>
        <v>0</v>
      </c>
      <c r="CA77" s="9">
        <f>VLOOKUP(C77,Радар!$B$16:$G$104,2,0)</f>
        <v>2</v>
      </c>
      <c r="CB77" s="9">
        <f>SUMPRODUCT(BJ77:BZ77,$BJ$5:$BZ$5)</f>
        <v>1</v>
      </c>
    </row>
    <row r="78" ht="15.75" spans="1:80">
      <c r="A78" s="6" t="s">
        <v>74</v>
      </c>
      <c r="B78" s="137">
        <f t="shared" si="13"/>
        <v>68</v>
      </c>
      <c r="C78" s="3" t="s">
        <v>100</v>
      </c>
      <c r="D78" s="133" t="str">
        <f>VLOOKUP($C78,Штаб!$B$16:$J$104,6,0)</f>
        <v/>
      </c>
      <c r="E78" s="134" t="str">
        <f>VLOOKUP($C78,Штаб!$B$16:$J$104,7,0)</f>
        <v>✔️</v>
      </c>
      <c r="F78" s="134" t="str">
        <f>VLOOKUP($C78,Штаб!$B$16:$J$104,8,0)</f>
        <v/>
      </c>
      <c r="G78" s="135" t="str">
        <f>VLOOKUP($C78,Штаб!$B$16:$J$104,9,0)</f>
        <v/>
      </c>
      <c r="H78" s="139" t="str">
        <f>VLOOKUP(C78,'РО - регионы'!$B$16:$I$104,8,0)</f>
        <v>0 / 0 / 1 из 1</v>
      </c>
      <c r="I78" s="169"/>
      <c r="J78" s="137"/>
      <c r="K78" s="170"/>
      <c r="L78" s="170"/>
      <c r="M78" s="171"/>
      <c r="N78" s="172">
        <f>VLOOKUP(C78,Спецтехника!$B$16:$J$104,4,0)</f>
        <v>756</v>
      </c>
      <c r="O78" s="173">
        <f>VLOOKUP(C78,Спецтехника!$B$16:$J$104,5,0)</f>
        <v>739</v>
      </c>
      <c r="P78" s="173">
        <f>VLOOKUP(C78,Спецтехника!$B$16:$J$104,6,0)</f>
        <v>17</v>
      </c>
      <c r="Q78" s="196">
        <f>VLOOKUP(C78,Спецтехника!$B$16:$J$104,7,0)</f>
        <v>0.0224867724867725</v>
      </c>
      <c r="R78" s="197"/>
      <c r="S78" s="137"/>
      <c r="T78" s="170"/>
      <c r="U78" s="170"/>
      <c r="V78" s="171"/>
      <c r="W78" s="172">
        <f>VLOOKUP($C78,МНО!$B$16:$AB$104,16,0)</f>
        <v>22131</v>
      </c>
      <c r="X78" s="173">
        <f>VLOOKUP($C78,МНО!$B$16:$AB$104,8,0)</f>
        <v>18901</v>
      </c>
      <c r="Y78" s="173">
        <f>VLOOKUP($C78,МНО!$B$16:$AB$104,11,0)</f>
        <v>3230</v>
      </c>
      <c r="Z78" s="216">
        <f>VLOOKUP($C78,МНО!$B$16:$AB$104,17,0)</f>
        <v>0.145949121142289</v>
      </c>
      <c r="AA78" s="213"/>
      <c r="AB78" s="214">
        <f>VLOOKUP($C78,МНО!$B$16:$AB$104,13,0)</f>
        <v>5.86954200372014</v>
      </c>
      <c r="AC78" s="215">
        <f>VLOOKUP($C78,МНО!$B$16:$AB$104,18,0)</f>
        <v>0.871254724808703</v>
      </c>
      <c r="AD78" s="176">
        <f>VLOOKUP($C78,Контейнеры!$B$16:$AB$104,16,0)</f>
        <v>43181</v>
      </c>
      <c r="AE78" s="177">
        <f>VLOOKUP($C78,Контейнеры!$B$16:$AB$104,8,0)</f>
        <v>43181</v>
      </c>
      <c r="AF78" s="177">
        <f>VLOOKUP($C78,Контейнеры!$B$16:$AB$104,11,0)</f>
        <v>0</v>
      </c>
      <c r="AG78" s="217">
        <f>VLOOKUP($C78,Контейнеры!$B$16:$AB$104,17,0)</f>
        <v>0</v>
      </c>
      <c r="AH78" s="213"/>
      <c r="AI78" s="214">
        <f>VLOOKUP($C78,Контейнеры!$B$16:$AB$104,13,0)</f>
        <v>13.8053648489917</v>
      </c>
      <c r="AJ78" s="215">
        <f>VLOOKUP($C78,Контейнеры!$B$16:$AB$104,18,0)</f>
        <v>0.781924525568593</v>
      </c>
      <c r="AK78" s="231"/>
      <c r="AL78" s="170"/>
      <c r="AM78" s="170"/>
      <c r="AN78" s="232"/>
      <c r="AO78" s="261">
        <f>VLOOKUP($C78,Обработка!$B$16:$L$104,6,0)</f>
        <v>0.444</v>
      </c>
      <c r="AP78" s="250">
        <f t="shared" si="14"/>
        <v>-0.099</v>
      </c>
      <c r="AQ78" s="250">
        <f>VLOOKUP($C78,Обработка!$B$16:$L$104,7,0)</f>
        <v>0.821</v>
      </c>
      <c r="AR78" s="255">
        <f t="shared" si="15"/>
        <v>0.0139999999999999</v>
      </c>
      <c r="AS78" s="253">
        <f>VLOOKUP($C78,Утилизация!$B$16:$L$104,6,0)</f>
        <v>0.033</v>
      </c>
      <c r="AT78" s="251">
        <f t="shared" si="16"/>
        <v>-0.106</v>
      </c>
      <c r="AU78" s="259">
        <f>VLOOKUP($C78,Утилизация!$B$16:$L$104,7,0)</f>
        <v>0.161</v>
      </c>
      <c r="AV78" s="260">
        <f t="shared" si="17"/>
        <v>-0.125</v>
      </c>
      <c r="AW78" s="284" t="str">
        <f>VLOOKUP(C78,Захоронение!$B$16:$Q$104,16,0)</f>
        <v/>
      </c>
      <c r="AX78" s="231"/>
      <c r="AY78" s="170"/>
      <c r="AZ78" s="170"/>
      <c r="BA78" s="171"/>
      <c r="BB78" s="280" t="str">
        <f>VLOOKUP(C78,'ДК ИП'!$B$16:$S$104,5,0)</f>
        <v>нет</v>
      </c>
      <c r="BC78" s="285">
        <f>VLOOKUP(C78,Радар!$B$16:$G$104,6,0)</f>
        <v>0.000319709243625477</v>
      </c>
      <c r="BD78" s="171"/>
      <c r="BF78" s="292">
        <f t="shared" si="18"/>
        <v>0.333333333333333</v>
      </c>
      <c r="BI78" s="9">
        <f t="shared" si="19"/>
        <v>0</v>
      </c>
      <c r="BJ78" s="9">
        <f>VLOOKUP(C78,Штаб!$B$16:$C$104,2)</f>
        <v>1</v>
      </c>
      <c r="BK78" s="9">
        <f>VLOOKUP(C78,'РО - регионы'!$B$16:$C$104,2)</f>
        <v>0</v>
      </c>
      <c r="BL78" s="9">
        <f>VLOOKUP(C78,'РО - регионы'!$B$16:$L$104,11)</f>
        <v>0</v>
      </c>
      <c r="BM78" s="9">
        <f>VLOOKUP(C78,Спецтехника!$B$16:$C$104,2)</f>
        <v>0</v>
      </c>
      <c r="BN78" s="9">
        <f>VLOOKUP($C78,МНО!$B$16:$AB$104,6,0)</f>
        <v>0</v>
      </c>
      <c r="BO78" s="9">
        <f>VLOOKUP($C78,МНО!$B$16:$AB$104,4,0)</f>
        <v>1</v>
      </c>
      <c r="BP78" s="9">
        <f>VLOOKUP($C78,МНО!$B$16:$AB$104,5,0)</f>
        <v>0</v>
      </c>
      <c r="BQ78" s="9">
        <f>VLOOKUP($C78,Контейнеры!$B$16:$G$104,6,0)</f>
        <v>2</v>
      </c>
      <c r="BR78" s="9">
        <f>VLOOKUP($C78,Контейнеры!$B$16:$G$104,4,0)</f>
        <v>0</v>
      </c>
      <c r="BS78" s="9">
        <f>VLOOKUP($C78,Контейнеры!$B$16:$G$104,5,0)</f>
        <v>2</v>
      </c>
      <c r="BT78" s="9">
        <f>VLOOKUP($C78,'ДК МНО'!$B$16:$C$104,2,0)</f>
        <v>2</v>
      </c>
      <c r="BU78" s="9">
        <f>VLOOKUP($C78,Обработка!$B$16:$F$104,5,0)</f>
        <v>0</v>
      </c>
      <c r="BV78" s="9">
        <f>VLOOKUP($C78,Обработка!$B$16:$F$104,4,0)</f>
        <v>1</v>
      </c>
      <c r="BW78" s="9">
        <f>VLOOKUP($C78,Утилизация!$B$16:$F$104,5,0)</f>
        <v>1</v>
      </c>
      <c r="BX78" s="9">
        <f>VLOOKUP($C78,Утилизация!$B$16:$F$104,4,0)</f>
        <v>2</v>
      </c>
      <c r="BY78" s="9">
        <f>VLOOKUP($C78,Захоронение!$B$16:$C$104,2,0)</f>
        <v>0</v>
      </c>
      <c r="BZ78" s="9">
        <f>VLOOKUP($C78,'ДК ИП'!$B$16:$C$104,2,0)</f>
        <v>0</v>
      </c>
      <c r="CA78" s="9">
        <f>VLOOKUP(C78,Радар!$B$16:$G$104,2,0)</f>
        <v>0</v>
      </c>
      <c r="CB78" s="9">
        <f>SUMPRODUCT(BJ78:BZ78,$BJ$5:$BZ$5)</f>
        <v>0.35</v>
      </c>
    </row>
    <row r="79" ht="15.75" spans="1:80">
      <c r="A79" s="6" t="s">
        <v>74</v>
      </c>
      <c r="B79" s="131">
        <f t="shared" si="13"/>
        <v>69</v>
      </c>
      <c r="C79" s="3" t="s">
        <v>102</v>
      </c>
      <c r="D79" s="133" t="str">
        <f>VLOOKUP($C79,Штаб!$B$16:$J$104,6,0)</f>
        <v/>
      </c>
      <c r="E79" s="134" t="str">
        <f>VLOOKUP($C79,Штаб!$B$16:$J$104,7,0)</f>
        <v/>
      </c>
      <c r="F79" s="134" t="str">
        <f>VLOOKUP($C79,Штаб!$B$16:$J$104,8,0)</f>
        <v/>
      </c>
      <c r="G79" s="135" t="str">
        <f>VLOOKUP($C79,Штаб!$B$16:$J$104,9,0)</f>
        <v>✔️</v>
      </c>
      <c r="H79" s="139" t="str">
        <f>VLOOKUP(C79,'РО - регионы'!$B$16:$I$104,8,0)</f>
        <v>0 / 0 / 2 из 2</v>
      </c>
      <c r="I79" s="169"/>
      <c r="J79" s="137"/>
      <c r="K79" s="170"/>
      <c r="L79" s="170"/>
      <c r="M79" s="171"/>
      <c r="N79" s="172">
        <f>VLOOKUP(C79,Спецтехника!$B$16:$J$104,4,0)</f>
        <v>313</v>
      </c>
      <c r="O79" s="173">
        <f>VLOOKUP(C79,Спецтехника!$B$16:$J$104,5,0)</f>
        <v>303</v>
      </c>
      <c r="P79" s="173">
        <f>VLOOKUP(C79,Спецтехника!$B$16:$J$104,6,0)</f>
        <v>10</v>
      </c>
      <c r="Q79" s="196">
        <f>VLOOKUP(C79,Спецтехника!$B$16:$J$104,7,0)</f>
        <v>0.0319488817891374</v>
      </c>
      <c r="R79" s="197"/>
      <c r="S79" s="137"/>
      <c r="T79" s="170"/>
      <c r="U79" s="170"/>
      <c r="V79" s="171"/>
      <c r="W79" s="174">
        <f>VLOOKUP($C79,МНО!$B$16:$AB$104,16,0)</f>
        <v>15577</v>
      </c>
      <c r="X79" s="175">
        <f>VLOOKUP($C79,МНО!$B$16:$AB$104,8,0)</f>
        <v>12577</v>
      </c>
      <c r="Y79" s="175">
        <f>VLOOKUP($C79,МНО!$B$16:$AB$104,11,0)</f>
        <v>3000</v>
      </c>
      <c r="Z79" s="212">
        <f>VLOOKUP($C79,МНО!$B$16:$AB$104,17,0)</f>
        <v>0.192591641522758</v>
      </c>
      <c r="AA79" s="213"/>
      <c r="AB79" s="214">
        <f>VLOOKUP($C79,МНО!$B$16:$AB$104,13,0)</f>
        <v>4.68982622990546</v>
      </c>
      <c r="AC79" s="215">
        <f>VLOOKUP($C79,МНО!$B$16:$AB$104,18,0)</f>
        <v>0.646333316203299</v>
      </c>
      <c r="AD79" s="174">
        <f>VLOOKUP($C79,Контейнеры!$B$16:$AB$104,16,0)</f>
        <v>32271</v>
      </c>
      <c r="AE79" s="175">
        <f>VLOOKUP($C79,Контейнеры!$B$16:$AB$104,8,0)</f>
        <v>25836</v>
      </c>
      <c r="AF79" s="175">
        <f>VLOOKUP($C79,Контейнеры!$B$16:$AB$104,11,0)</f>
        <v>6435</v>
      </c>
      <c r="AG79" s="212">
        <f>VLOOKUP($C79,Контейнеры!$B$16:$AB$104,17,0)</f>
        <v>0.19940503857953</v>
      </c>
      <c r="AH79" s="213"/>
      <c r="AI79" s="214">
        <f>VLOOKUP($C79,Контейнеры!$B$16:$AB$104,13,0)</f>
        <v>10.8319641047593</v>
      </c>
      <c r="AJ79" s="215">
        <f>VLOOKUP($C79,Контейнеры!$B$16:$AB$104,18,0)</f>
        <v>0.818942563712438</v>
      </c>
      <c r="AK79" s="231"/>
      <c r="AL79" s="170"/>
      <c r="AM79" s="170"/>
      <c r="AN79" s="232"/>
      <c r="AO79" s="257">
        <f>VLOOKUP($C79,Обработка!$B$16:$L$104,6,0)</f>
        <v>0.852</v>
      </c>
      <c r="AP79" s="250">
        <f t="shared" si="14"/>
        <v>0.309</v>
      </c>
      <c r="AQ79" s="250">
        <f>VLOOKUP($C79,Обработка!$B$16:$L$104,7,0)</f>
        <v>0.831</v>
      </c>
      <c r="AR79" s="255">
        <f t="shared" si="15"/>
        <v>0.0239999999999999</v>
      </c>
      <c r="AS79" s="253">
        <f>VLOOKUP($C79,Утилизация!$B$16:$L$104,6,0)</f>
        <v>0.05</v>
      </c>
      <c r="AT79" s="251">
        <f t="shared" si="16"/>
        <v>-0.089</v>
      </c>
      <c r="AU79" s="251">
        <f>VLOOKUP($C79,Утилизация!$B$16:$L$104,7,0)</f>
        <v>0.045</v>
      </c>
      <c r="AV79" s="254">
        <f t="shared" si="17"/>
        <v>-0.241</v>
      </c>
      <c r="AW79" s="284" t="str">
        <f>VLOOKUP(C79,Захоронение!$B$16:$Q$104,16,0)</f>
        <v/>
      </c>
      <c r="AX79" s="231"/>
      <c r="AY79" s="170"/>
      <c r="AZ79" s="170"/>
      <c r="BA79" s="171"/>
      <c r="BB79" s="280" t="str">
        <f>VLOOKUP(C79,'ДК ИП'!$B$16:$S$104,5,0)</f>
        <v>существенное</v>
      </c>
      <c r="BC79" s="281">
        <f>VLOOKUP(C79,Радар!$B$16:$G$104,6,0)</f>
        <v>0.0708546963037746</v>
      </c>
      <c r="BD79" s="171"/>
      <c r="BF79" s="291">
        <f t="shared" si="18"/>
        <v>0.5</v>
      </c>
      <c r="BI79" s="9">
        <f t="shared" si="19"/>
        <v>0</v>
      </c>
      <c r="BJ79" s="9">
        <f>VLOOKUP(C79,Штаб!$B$16:$C$104,2)</f>
        <v>2</v>
      </c>
      <c r="BK79" s="9">
        <f>VLOOKUP(C79,'РО - регионы'!$B$16:$C$104,2)</f>
        <v>0</v>
      </c>
      <c r="BL79" s="9">
        <f>VLOOKUP(C79,'РО - регионы'!$B$16:$L$104,11)</f>
        <v>0</v>
      </c>
      <c r="BM79" s="9">
        <f>VLOOKUP(C79,Спецтехника!$B$16:$C$104,2)</f>
        <v>0</v>
      </c>
      <c r="BN79" s="9">
        <f>VLOOKUP($C79,МНО!$B$16:$AB$104,6,0)</f>
        <v>1</v>
      </c>
      <c r="BO79" s="9">
        <f>VLOOKUP($C79,МНО!$B$16:$AB$104,4,0)</f>
        <v>1</v>
      </c>
      <c r="BP79" s="9">
        <f>VLOOKUP($C79,МНО!$B$16:$AB$104,5,0)</f>
        <v>2</v>
      </c>
      <c r="BQ79" s="9">
        <f>VLOOKUP($C79,Контейнеры!$B$16:$G$104,6,0)</f>
        <v>1</v>
      </c>
      <c r="BR79" s="9">
        <f>VLOOKUP($C79,Контейнеры!$B$16:$G$104,4,0)</f>
        <v>0</v>
      </c>
      <c r="BS79" s="9">
        <f>VLOOKUP($C79,Контейнеры!$B$16:$G$104,5,0)</f>
        <v>1</v>
      </c>
      <c r="BT79" s="9">
        <f>VLOOKUP($C79,'ДК МНО'!$B$16:$C$104,2,0)</f>
        <v>2</v>
      </c>
      <c r="BU79" s="9">
        <f>VLOOKUP($C79,Обработка!$B$16:$F$104,5,0)</f>
        <v>0</v>
      </c>
      <c r="BV79" s="9">
        <f>VLOOKUP($C79,Обработка!$B$16:$F$104,4,0)</f>
        <v>0</v>
      </c>
      <c r="BW79" s="9">
        <f>VLOOKUP($C79,Утилизация!$B$16:$F$104,5,0)</f>
        <v>2</v>
      </c>
      <c r="BX79" s="9">
        <f>VLOOKUP($C79,Утилизация!$B$16:$F$104,4,0)</f>
        <v>2</v>
      </c>
      <c r="BY79" s="9">
        <f>VLOOKUP($C79,Захоронение!$B$16:$C$104,2,0)</f>
        <v>0</v>
      </c>
      <c r="BZ79" s="9">
        <f>VLOOKUP($C79,'ДК ИП'!$B$16:$C$104,2,0)</f>
        <v>2</v>
      </c>
      <c r="CA79" s="9">
        <f>VLOOKUP(C79,Радар!$B$16:$G$104,2,0)</f>
        <v>2</v>
      </c>
      <c r="CB79" s="9">
        <f>SUMPRODUCT(BJ79:BZ79,$BJ$5:$BZ$5)</f>
        <v>0.55</v>
      </c>
    </row>
    <row r="80" ht="15.75" spans="1:80">
      <c r="A80" s="6" t="s">
        <v>129</v>
      </c>
      <c r="B80" s="137">
        <f t="shared" si="13"/>
        <v>70</v>
      </c>
      <c r="C80" s="3" t="s">
        <v>130</v>
      </c>
      <c r="D80" s="133" t="str">
        <f>VLOOKUP($C80,Штаб!$B$16:$J$104,6,0)</f>
        <v>✔️</v>
      </c>
      <c r="E80" s="134" t="str">
        <f>VLOOKUP($C80,Штаб!$B$16:$J$104,7,0)</f>
        <v/>
      </c>
      <c r="F80" s="134" t="str">
        <f>VLOOKUP($C80,Штаб!$B$16:$J$104,8,0)</f>
        <v/>
      </c>
      <c r="G80" s="135" t="str">
        <f>VLOOKUP($C80,Штаб!$B$16:$J$104,9,0)</f>
        <v/>
      </c>
      <c r="H80" s="139" t="str">
        <f>VLOOKUP(C80,'РО - регионы'!$B$16:$I$104,8,0)</f>
        <v>0 / 0 / 1 из 1</v>
      </c>
      <c r="I80" s="169"/>
      <c r="J80" s="137"/>
      <c r="K80" s="170"/>
      <c r="L80" s="170"/>
      <c r="M80" s="171"/>
      <c r="N80" s="172">
        <f>VLOOKUP(C80,Спецтехника!$B$16:$J$104,4,0)</f>
        <v>164</v>
      </c>
      <c r="O80" s="173">
        <f>VLOOKUP(C80,Спецтехника!$B$16:$J$104,5,0)</f>
        <v>155</v>
      </c>
      <c r="P80" s="173">
        <f>VLOOKUP(C80,Спецтехника!$B$16:$J$104,6,0)</f>
        <v>9</v>
      </c>
      <c r="Q80" s="196">
        <f>VLOOKUP(C80,Спецтехника!$B$16:$J$104,7,0)</f>
        <v>0.0548780487804878</v>
      </c>
      <c r="R80" s="197"/>
      <c r="S80" s="137"/>
      <c r="T80" s="170"/>
      <c r="U80" s="170"/>
      <c r="V80" s="171"/>
      <c r="W80" s="172">
        <f>VLOOKUP($C80,МНО!$B$16:$AB$104,16,0)</f>
        <v>4012</v>
      </c>
      <c r="X80" s="173">
        <f>VLOOKUP($C80,МНО!$B$16:$AB$104,8,0)</f>
        <v>3805</v>
      </c>
      <c r="Y80" s="173">
        <f>VLOOKUP($C80,МНО!$B$16:$AB$104,11,0)</f>
        <v>207</v>
      </c>
      <c r="Z80" s="216">
        <f>VLOOKUP($C80,МНО!$B$16:$AB$104,17,0)</f>
        <v>0.0515952143569292</v>
      </c>
      <c r="AA80" s="213"/>
      <c r="AB80" s="214">
        <f>VLOOKUP($C80,МНО!$B$16:$AB$104,13,0)</f>
        <v>8.01153871369567</v>
      </c>
      <c r="AC80" s="215">
        <f>VLOOKUP($C80,МНО!$B$16:$AB$104,18,0)</f>
        <v>1</v>
      </c>
      <c r="AD80" s="172">
        <f>VLOOKUP($C80,Контейнеры!$B$16:$AB$104,16,0)</f>
        <v>10545</v>
      </c>
      <c r="AE80" s="173">
        <f>VLOOKUP($C80,Контейнеры!$B$16:$AB$104,8,0)</f>
        <v>9937</v>
      </c>
      <c r="AF80" s="173">
        <f>VLOOKUP($C80,Контейнеры!$B$16:$AB$104,11,0)</f>
        <v>608</v>
      </c>
      <c r="AG80" s="216">
        <f>VLOOKUP($C80,Контейнеры!$B$16:$AB$104,17,0)</f>
        <v>0.0576576576576577</v>
      </c>
      <c r="AH80" s="213"/>
      <c r="AI80" s="214">
        <f>VLOOKUP($C80,Контейнеры!$B$16:$AB$104,13,0)</f>
        <v>21.7159465897419</v>
      </c>
      <c r="AJ80" s="215">
        <f>VLOOKUP($C80,Контейнеры!$B$16:$AB$104,18,0)</f>
        <v>0.968896255850234</v>
      </c>
      <c r="AK80" s="231"/>
      <c r="AL80" s="170"/>
      <c r="AM80" s="170"/>
      <c r="AN80" s="232"/>
      <c r="AO80" s="261">
        <f>VLOOKUP($C80,Обработка!$B$16:$L$104,6,0)</f>
        <v>0.416</v>
      </c>
      <c r="AP80" s="250">
        <f t="shared" si="14"/>
        <v>-0.127</v>
      </c>
      <c r="AQ80" s="259">
        <f>VLOOKUP($C80,Обработка!$B$16:$L$104,7,0)</f>
        <v>0.476</v>
      </c>
      <c r="AR80" s="262">
        <f t="shared" si="15"/>
        <v>-0.331</v>
      </c>
      <c r="AS80" s="253">
        <f>VLOOKUP($C80,Утилизация!$B$16:$L$104,6,0)</f>
        <v>0.019</v>
      </c>
      <c r="AT80" s="251">
        <f t="shared" si="16"/>
        <v>-0.12</v>
      </c>
      <c r="AU80" s="251">
        <f>VLOOKUP($C80,Утилизация!$B$16:$L$104,7,0)</f>
        <v>0.13</v>
      </c>
      <c r="AV80" s="254">
        <f t="shared" si="17"/>
        <v>-0.156</v>
      </c>
      <c r="AW80" s="279" t="str">
        <f>VLOOKUP(C80,Захоронение!$B$16:$Q$104,16,0)</f>
        <v>белые пятна</v>
      </c>
      <c r="AX80" s="231"/>
      <c r="AY80" s="170"/>
      <c r="AZ80" s="170"/>
      <c r="BA80" s="171"/>
      <c r="BB80" s="280" t="str">
        <f>VLOOKUP(C80,'ДК ИП'!$B$16:$S$104,5,0)</f>
        <v>среднее</v>
      </c>
      <c r="BC80" s="281">
        <f>VLOOKUP(C80,Радар!$B$16:$G$104,6,0)</f>
        <v>0.0174828995388885</v>
      </c>
      <c r="BD80" s="171"/>
      <c r="BF80" s="290">
        <f t="shared" si="18"/>
        <v>1.25</v>
      </c>
      <c r="BI80" s="9">
        <f t="shared" si="19"/>
        <v>1</v>
      </c>
      <c r="BJ80" s="9">
        <f>VLOOKUP(C80,Штаб!$B$16:$C$104,2)</f>
        <v>0</v>
      </c>
      <c r="BK80" s="9">
        <f>VLOOKUP(C80,'РО - регионы'!$B$16:$C$104,2)</f>
        <v>0</v>
      </c>
      <c r="BL80" s="9">
        <f>VLOOKUP(C80,'РО - регионы'!$B$16:$L$104,11)</f>
        <v>0</v>
      </c>
      <c r="BM80" s="9">
        <f>VLOOKUP(C80,Спецтехника!$B$16:$C$104,2)</f>
        <v>0</v>
      </c>
      <c r="BN80" s="9">
        <f>VLOOKUP($C80,МНО!$B$16:$AB$104,6,0)</f>
        <v>0</v>
      </c>
      <c r="BO80" s="9">
        <f>VLOOKUP($C80,МНО!$B$16:$AB$104,4,0)</f>
        <v>0</v>
      </c>
      <c r="BP80" s="9">
        <f>VLOOKUP($C80,МНО!$B$16:$AB$104,5,0)</f>
        <v>0</v>
      </c>
      <c r="BQ80" s="9">
        <f>VLOOKUP($C80,Контейнеры!$B$16:$G$104,6,0)</f>
        <v>0</v>
      </c>
      <c r="BR80" s="9">
        <f>VLOOKUP($C80,Контейнеры!$B$16:$G$104,4,0)</f>
        <v>0</v>
      </c>
      <c r="BS80" s="9">
        <f>VLOOKUP($C80,Контейнеры!$B$16:$G$104,5,0)</f>
        <v>0</v>
      </c>
      <c r="BT80" s="9">
        <f>VLOOKUP($C80,'ДК МНО'!$B$16:$C$104,2,0)</f>
        <v>2</v>
      </c>
      <c r="BU80" s="9">
        <f>VLOOKUP($C80,Обработка!$B$16:$F$104,5,0)</f>
        <v>1</v>
      </c>
      <c r="BV80" s="9">
        <f>VLOOKUP($C80,Обработка!$B$16:$F$104,4,0)</f>
        <v>1</v>
      </c>
      <c r="BW80" s="9">
        <f>VLOOKUP($C80,Утилизация!$B$16:$F$104,5,0)</f>
        <v>2</v>
      </c>
      <c r="BX80" s="9">
        <f>VLOOKUP($C80,Утилизация!$B$16:$F$104,4,0)</f>
        <v>2</v>
      </c>
      <c r="BY80" s="9">
        <f>VLOOKUP($C80,Захоронение!$B$16:$C$104,2,0)</f>
        <v>2</v>
      </c>
      <c r="BZ80" s="9">
        <f>VLOOKUP($C80,'ДК ИП'!$B$16:$C$104,2,0)</f>
        <v>1</v>
      </c>
      <c r="CA80" s="9">
        <f>VLOOKUP(C80,Радар!$B$16:$G$104,2,0)</f>
        <v>2</v>
      </c>
      <c r="CB80" s="9">
        <f>SUMPRODUCT(BJ80:BZ80,$BJ$5:$BZ$5)</f>
        <v>0.9</v>
      </c>
    </row>
    <row r="81" ht="15.75" spans="1:80">
      <c r="A81" s="6" t="s">
        <v>78</v>
      </c>
      <c r="B81" s="131">
        <f t="shared" si="13"/>
        <v>71</v>
      </c>
      <c r="C81" s="3" t="s">
        <v>122</v>
      </c>
      <c r="D81" s="133" t="str">
        <f>VLOOKUP($C81,Штаб!$B$16:$J$104,6,0)</f>
        <v/>
      </c>
      <c r="E81" s="134" t="str">
        <f>VLOOKUP($C81,Штаб!$B$16:$J$104,7,0)</f>
        <v>✔️</v>
      </c>
      <c r="F81" s="134" t="str">
        <f>VLOOKUP($C81,Штаб!$B$16:$J$104,8,0)</f>
        <v/>
      </c>
      <c r="G81" s="135" t="str">
        <f>VLOOKUP($C81,Штаб!$B$16:$J$104,9,0)</f>
        <v/>
      </c>
      <c r="H81" s="138" t="str">
        <f>VLOOKUP(C81,'РО - регионы'!$B$16:$I$104,8,0)</f>
        <v>0 / 1 / 2 из 3</v>
      </c>
      <c r="I81" s="169"/>
      <c r="J81" s="137"/>
      <c r="K81" s="170"/>
      <c r="L81" s="170"/>
      <c r="M81" s="171"/>
      <c r="N81" s="172">
        <f>VLOOKUP(C81,Спецтехника!$B$16:$J$104,4,0)</f>
        <v>682</v>
      </c>
      <c r="O81" s="173">
        <f>VLOOKUP(C81,Спецтехника!$B$16:$J$104,5,0)</f>
        <v>664</v>
      </c>
      <c r="P81" s="173">
        <f>VLOOKUP(C81,Спецтехника!$B$16:$J$104,6,0)</f>
        <v>18</v>
      </c>
      <c r="Q81" s="196">
        <f>VLOOKUP(C81,Спецтехника!$B$16:$J$104,7,0)</f>
        <v>0.0263929618768328</v>
      </c>
      <c r="R81" s="197"/>
      <c r="S81" s="137"/>
      <c r="T81" s="170"/>
      <c r="U81" s="170"/>
      <c r="V81" s="171"/>
      <c r="W81" s="172">
        <f>VLOOKUP($C81,МНО!$B$16:$AB$104,16,0)</f>
        <v>41954</v>
      </c>
      <c r="X81" s="173">
        <f>VLOOKUP($C81,МНО!$B$16:$AB$104,8,0)</f>
        <v>37469</v>
      </c>
      <c r="Y81" s="173">
        <f>VLOOKUP($C81,МНО!$B$16:$AB$104,11,0)</f>
        <v>4485</v>
      </c>
      <c r="Z81" s="216">
        <f>VLOOKUP($C81,МНО!$B$16:$AB$104,17,0)</f>
        <v>0.106902798302903</v>
      </c>
      <c r="AA81" s="213"/>
      <c r="AB81" s="214">
        <f>VLOOKUP($C81,МНО!$B$16:$AB$104,13,0)</f>
        <v>8.40008572724291</v>
      </c>
      <c r="AC81" s="215">
        <f>VLOOKUP($C81,МНО!$B$16:$AB$104,18,0)</f>
        <v>0.986311827107847</v>
      </c>
      <c r="AD81" s="172">
        <f>VLOOKUP($C81,Контейнеры!$B$16:$AB$104,16,0)</f>
        <v>98886</v>
      </c>
      <c r="AE81" s="173">
        <f>VLOOKUP($C81,Контейнеры!$B$16:$AB$104,8,0)</f>
        <v>90015</v>
      </c>
      <c r="AF81" s="173">
        <f>VLOOKUP($C81,Контейнеры!$B$16:$AB$104,11,0)</f>
        <v>8871</v>
      </c>
      <c r="AG81" s="216">
        <f>VLOOKUP($C81,Контейнеры!$B$16:$AB$104,17,0)</f>
        <v>0.0897093622959772</v>
      </c>
      <c r="AH81" s="213"/>
      <c r="AI81" s="214">
        <f>VLOOKUP($C81,Контейнеры!$B$16:$AB$104,13,0)</f>
        <v>21.3169551672569</v>
      </c>
      <c r="AJ81" s="215">
        <f>VLOOKUP($C81,Контейнеры!$B$16:$AB$104,18,0)</f>
        <v>0.76473136915078</v>
      </c>
      <c r="AK81" s="231"/>
      <c r="AL81" s="170"/>
      <c r="AM81" s="170"/>
      <c r="AN81" s="232"/>
      <c r="AO81" s="249">
        <f>VLOOKUP($C81,Обработка!$B$16:$L$104,6,0)</f>
        <v>0.174</v>
      </c>
      <c r="AP81" s="250">
        <f t="shared" si="14"/>
        <v>-0.369</v>
      </c>
      <c r="AQ81" s="259">
        <f>VLOOKUP($C81,Обработка!$B$16:$L$104,7,0)</f>
        <v>0.41</v>
      </c>
      <c r="AR81" s="262">
        <f t="shared" si="15"/>
        <v>-0.397</v>
      </c>
      <c r="AS81" s="253">
        <f>VLOOKUP($C81,Утилизация!$B$16:$L$104,6,0)</f>
        <v>0.011</v>
      </c>
      <c r="AT81" s="251">
        <f t="shared" si="16"/>
        <v>-0.128</v>
      </c>
      <c r="AU81" s="259">
        <f>VLOOKUP($C81,Утилизация!$B$16:$L$104,7,0)</f>
        <v>0.2</v>
      </c>
      <c r="AV81" s="260">
        <f t="shared" si="17"/>
        <v>-0.086</v>
      </c>
      <c r="AW81" s="283" t="str">
        <f>VLOOKUP(C81,Захоронение!$B$16:$Q$104,16,0)</f>
        <v>765 приказ</v>
      </c>
      <c r="AX81" s="231"/>
      <c r="AY81" s="170"/>
      <c r="AZ81" s="170"/>
      <c r="BA81" s="171"/>
      <c r="BB81" s="280" t="str">
        <f>VLOOKUP(C81,'ДК ИП'!$B$16:$S$104,5,0)</f>
        <v>существенное</v>
      </c>
      <c r="BC81" s="285">
        <f>VLOOKUP(C81,Радар!$B$16:$G$104,6,0)</f>
        <v>0.00236815588149274</v>
      </c>
      <c r="BD81" s="171"/>
      <c r="BF81" s="290">
        <f t="shared" si="18"/>
        <v>1</v>
      </c>
      <c r="BI81" s="9">
        <f t="shared" si="19"/>
        <v>1</v>
      </c>
      <c r="BJ81" s="9">
        <f>VLOOKUP(C81,Штаб!$B$16:$C$104,2)</f>
        <v>1</v>
      </c>
      <c r="BK81" s="9">
        <f>VLOOKUP(C81,'РО - регионы'!$B$16:$C$104,2)</f>
        <v>1</v>
      </c>
      <c r="BL81" s="9">
        <f>VLOOKUP(C81,'РО - регионы'!$B$16:$L$104,11)</f>
        <v>2</v>
      </c>
      <c r="BM81" s="9">
        <f>VLOOKUP(C81,Спецтехника!$B$16:$C$104,2)</f>
        <v>0</v>
      </c>
      <c r="BN81" s="9">
        <f>VLOOKUP($C81,МНО!$B$16:$AB$104,6,0)</f>
        <v>0</v>
      </c>
      <c r="BO81" s="9">
        <f>VLOOKUP($C81,МНО!$B$16:$AB$104,4,0)</f>
        <v>0</v>
      </c>
      <c r="BP81" s="9">
        <f>VLOOKUP($C81,МНО!$B$16:$AB$104,5,0)</f>
        <v>0</v>
      </c>
      <c r="BQ81" s="9">
        <f>VLOOKUP($C81,Контейнеры!$B$16:$G$104,6,0)</f>
        <v>0</v>
      </c>
      <c r="BR81" s="9">
        <f>VLOOKUP($C81,Контейнеры!$B$16:$G$104,4,0)</f>
        <v>0</v>
      </c>
      <c r="BS81" s="9">
        <f>VLOOKUP($C81,Контейнеры!$B$16:$G$104,5,0)</f>
        <v>2</v>
      </c>
      <c r="BT81" s="9">
        <f>VLOOKUP($C81,'ДК МНО'!$B$16:$C$104,2,0)</f>
        <v>2</v>
      </c>
      <c r="BU81" s="9">
        <f>VLOOKUP($C81,Обработка!$B$16:$F$104,5,0)</f>
        <v>1</v>
      </c>
      <c r="BV81" s="9">
        <f>VLOOKUP($C81,Обработка!$B$16:$F$104,4,0)</f>
        <v>2</v>
      </c>
      <c r="BW81" s="9">
        <f>VLOOKUP($C81,Утилизация!$B$16:$F$104,5,0)</f>
        <v>1</v>
      </c>
      <c r="BX81" s="9">
        <f>VLOOKUP($C81,Утилизация!$B$16:$F$104,4,0)</f>
        <v>2</v>
      </c>
      <c r="BY81" s="9">
        <f>VLOOKUP($C81,Захоронение!$B$16:$C$104,2,0)</f>
        <v>1</v>
      </c>
      <c r="BZ81" s="9">
        <f>VLOOKUP($C81,'ДК ИП'!$B$16:$C$104,2,0)</f>
        <v>2</v>
      </c>
      <c r="CA81" s="9">
        <f>VLOOKUP(C81,Радар!$B$16:$G$104,2,0)</f>
        <v>0</v>
      </c>
      <c r="CB81" s="9">
        <f>SUMPRODUCT(BJ81:BZ81,$BJ$5:$BZ$5)</f>
        <v>0.95</v>
      </c>
    </row>
    <row r="82" ht="15.75" spans="1:80">
      <c r="A82" s="6" t="s">
        <v>67</v>
      </c>
      <c r="B82" s="137">
        <f t="shared" si="13"/>
        <v>72</v>
      </c>
      <c r="C82" s="3" t="s">
        <v>103</v>
      </c>
      <c r="D82" s="133" t="str">
        <f>VLOOKUP($C82,Штаб!$B$16:$J$104,6,0)</f>
        <v/>
      </c>
      <c r="E82" s="134" t="str">
        <f>VLOOKUP($C82,Штаб!$B$16:$J$104,7,0)</f>
        <v/>
      </c>
      <c r="F82" s="134" t="str">
        <f>VLOOKUP($C82,Штаб!$B$16:$J$104,8,0)</f>
        <v/>
      </c>
      <c r="G82" s="135" t="str">
        <f>VLOOKUP($C82,Штаб!$B$16:$J$104,9,0)</f>
        <v>✔️</v>
      </c>
      <c r="H82" s="139" t="str">
        <f>VLOOKUP(C82,'РО - регионы'!$B$16:$I$104,8,0)</f>
        <v>0 / 0 / 1 из 1</v>
      </c>
      <c r="I82" s="169"/>
      <c r="J82" s="137"/>
      <c r="K82" s="170"/>
      <c r="L82" s="170"/>
      <c r="M82" s="171"/>
      <c r="N82" s="172">
        <f>VLOOKUP(C82,Спецтехника!$B$16:$J$104,4,0)</f>
        <v>113</v>
      </c>
      <c r="O82" s="173">
        <f>VLOOKUP(C82,Спецтехника!$B$16:$J$104,5,0)</f>
        <v>107</v>
      </c>
      <c r="P82" s="173">
        <f>VLOOKUP(C82,Спецтехника!$B$16:$J$104,6,0)</f>
        <v>6</v>
      </c>
      <c r="Q82" s="196">
        <f>VLOOKUP(C82,Спецтехника!$B$16:$J$104,7,0)</f>
        <v>0.0530973451327434</v>
      </c>
      <c r="R82" s="197"/>
      <c r="S82" s="137"/>
      <c r="T82" s="170"/>
      <c r="U82" s="170"/>
      <c r="V82" s="171"/>
      <c r="W82" s="172">
        <f>VLOOKUP($C82,МНО!$B$16:$AB$104,16,0)</f>
        <v>7409</v>
      </c>
      <c r="X82" s="173">
        <f>VLOOKUP($C82,МНО!$B$16:$AB$104,8,0)</f>
        <v>6089</v>
      </c>
      <c r="Y82" s="173">
        <f>VLOOKUP($C82,МНО!$B$16:$AB$104,11,0)</f>
        <v>1320</v>
      </c>
      <c r="Z82" s="216">
        <f>VLOOKUP($C82,МНО!$B$16:$AB$104,17,0)</f>
        <v>0.178161695235524</v>
      </c>
      <c r="AA82" s="213"/>
      <c r="AB82" s="214">
        <f>VLOOKUP($C82,МНО!$B$16:$AB$104,13,0)</f>
        <v>6.35657712442433</v>
      </c>
      <c r="AC82" s="215">
        <f>VLOOKUP($C82,МНО!$B$16:$AB$104,18,0)</f>
        <v>0.763702495923743</v>
      </c>
      <c r="AD82" s="174">
        <f>VLOOKUP($C82,Контейнеры!$B$16:$AB$104,16,0)</f>
        <v>16732</v>
      </c>
      <c r="AE82" s="175">
        <f>VLOOKUP($C82,Контейнеры!$B$16:$AB$104,8,0)</f>
        <v>12460</v>
      </c>
      <c r="AF82" s="175">
        <f>VLOOKUP($C82,Контейнеры!$B$16:$AB$104,11,0)</f>
        <v>4272</v>
      </c>
      <c r="AG82" s="212">
        <f>VLOOKUP($C82,Контейнеры!$B$16:$AB$104,17,0)</f>
        <v>0.25531914893617</v>
      </c>
      <c r="AH82" s="213"/>
      <c r="AI82" s="214">
        <f>VLOOKUP($C82,Контейнеры!$B$16:$AB$104,13,0)</f>
        <v>14.4215132866582</v>
      </c>
      <c r="AJ82" s="215">
        <f>VLOOKUP($C82,Контейнеры!$B$16:$AB$104,18,0)</f>
        <v>0.673149648838466</v>
      </c>
      <c r="AK82" s="231"/>
      <c r="AL82" s="170"/>
      <c r="AM82" s="170"/>
      <c r="AN82" s="232"/>
      <c r="AO82" s="257">
        <f>VLOOKUP($C82,Обработка!$B$16:$L$104,6,0)</f>
        <v>0.598</v>
      </c>
      <c r="AP82" s="250">
        <f t="shared" si="14"/>
        <v>0.0549999999999999</v>
      </c>
      <c r="AQ82" s="259">
        <f>VLOOKUP($C82,Обработка!$B$16:$L$104,7,0)</f>
        <v>0.55</v>
      </c>
      <c r="AR82" s="262">
        <f t="shared" si="15"/>
        <v>-0.257</v>
      </c>
      <c r="AS82" s="253">
        <f>VLOOKUP($C82,Утилизация!$B$16:$L$104,6,0)</f>
        <v>0.014</v>
      </c>
      <c r="AT82" s="251">
        <f t="shared" si="16"/>
        <v>-0.125</v>
      </c>
      <c r="AU82" s="251">
        <f>VLOOKUP($C82,Утилизация!$B$16:$L$104,7,0)</f>
        <v>0.014</v>
      </c>
      <c r="AV82" s="254">
        <f t="shared" si="17"/>
        <v>-0.272</v>
      </c>
      <c r="AW82" s="284" t="str">
        <f>VLOOKUP(C82,Захоронение!$B$16:$Q$104,16,0)</f>
        <v/>
      </c>
      <c r="AX82" s="231"/>
      <c r="AY82" s="170"/>
      <c r="AZ82" s="170"/>
      <c r="BA82" s="171"/>
      <c r="BB82" s="280" t="str">
        <f>VLOOKUP(C82,'ДК ИП'!$B$16:$S$104,5,0)</f>
        <v>существенное</v>
      </c>
      <c r="BC82" s="281">
        <f>VLOOKUP(C82,Радар!$B$16:$G$104,6,0)</f>
        <v>0.626166828899046</v>
      </c>
      <c r="BD82" s="171"/>
      <c r="BF82" s="291">
        <f t="shared" si="18"/>
        <v>0.583333333333333</v>
      </c>
      <c r="BI82" s="9">
        <f t="shared" si="19"/>
        <v>0</v>
      </c>
      <c r="BJ82" s="9">
        <f>VLOOKUP(C82,Штаб!$B$16:$C$104,2)</f>
        <v>2</v>
      </c>
      <c r="BK82" s="9">
        <f>VLOOKUP(C82,'РО - регионы'!$B$16:$C$104,2)</f>
        <v>0</v>
      </c>
      <c r="BL82" s="9">
        <f>VLOOKUP(C82,'РО - регионы'!$B$16:$L$104,11)</f>
        <v>0</v>
      </c>
      <c r="BM82" s="9">
        <f>VLOOKUP(C82,Спецтехника!$B$16:$C$104,2)</f>
        <v>0</v>
      </c>
      <c r="BN82" s="9">
        <f>VLOOKUP($C82,МНО!$B$16:$AB$104,6,0)</f>
        <v>0</v>
      </c>
      <c r="BO82" s="9">
        <f>VLOOKUP($C82,МНО!$B$16:$AB$104,4,0)</f>
        <v>0</v>
      </c>
      <c r="BP82" s="9">
        <f>VLOOKUP($C82,МНО!$B$16:$AB$104,5,0)</f>
        <v>1</v>
      </c>
      <c r="BQ82" s="9">
        <f>VLOOKUP($C82,Контейнеры!$B$16:$G$104,6,0)</f>
        <v>1</v>
      </c>
      <c r="BR82" s="9">
        <f>VLOOKUP($C82,Контейнеры!$B$16:$G$104,4,0)</f>
        <v>0</v>
      </c>
      <c r="BS82" s="9">
        <f>VLOOKUP($C82,Контейнеры!$B$16:$G$104,5,0)</f>
        <v>2</v>
      </c>
      <c r="BT82" s="9">
        <f>VLOOKUP($C82,'ДК МНО'!$B$16:$C$104,2,0)</f>
        <v>2</v>
      </c>
      <c r="BU82" s="9">
        <f>VLOOKUP($C82,Обработка!$B$16:$F$104,5,0)</f>
        <v>1</v>
      </c>
      <c r="BV82" s="9">
        <f>VLOOKUP($C82,Обработка!$B$16:$F$104,4,0)</f>
        <v>0</v>
      </c>
      <c r="BW82" s="9">
        <f>VLOOKUP($C82,Утилизация!$B$16:$F$104,5,0)</f>
        <v>2</v>
      </c>
      <c r="BX82" s="9">
        <f>VLOOKUP($C82,Утилизация!$B$16:$F$104,4,0)</f>
        <v>2</v>
      </c>
      <c r="BY82" s="9">
        <f>VLOOKUP($C82,Захоронение!$B$16:$C$104,2,0)</f>
        <v>0</v>
      </c>
      <c r="BZ82" s="9">
        <f>VLOOKUP($C82,'ДК ИП'!$B$16:$C$104,2,0)</f>
        <v>2</v>
      </c>
      <c r="CA82" s="9">
        <f>VLOOKUP(C82,Радар!$B$16:$G$104,2,0)</f>
        <v>2</v>
      </c>
      <c r="CB82" s="9">
        <f>SUMPRODUCT(BJ82:BZ82,$BJ$5:$BZ$5)</f>
        <v>0.5</v>
      </c>
    </row>
    <row r="83" ht="15.75" spans="1:80">
      <c r="A83" s="6" t="s">
        <v>104</v>
      </c>
      <c r="B83" s="131">
        <f t="shared" si="13"/>
        <v>73</v>
      </c>
      <c r="C83" s="3" t="s">
        <v>105</v>
      </c>
      <c r="D83" s="133" t="str">
        <f>VLOOKUP($C83,Штаб!$B$16:$J$104,6,0)</f>
        <v/>
      </c>
      <c r="E83" s="134" t="str">
        <f>VLOOKUP($C83,Штаб!$B$16:$J$104,7,0)</f>
        <v/>
      </c>
      <c r="F83" s="134" t="str">
        <f>VLOOKUP($C83,Штаб!$B$16:$J$104,8,0)</f>
        <v>✔️</v>
      </c>
      <c r="G83" s="135" t="str">
        <f>VLOOKUP($C83,Штаб!$B$16:$J$104,9,0)</f>
        <v/>
      </c>
      <c r="H83" s="138" t="str">
        <f>VLOOKUP(C83,'РО - регионы'!$B$16:$I$104,8,0)</f>
        <v>0 / 1 / 3 из 4</v>
      </c>
      <c r="I83" s="169"/>
      <c r="J83" s="137"/>
      <c r="K83" s="170"/>
      <c r="L83" s="170"/>
      <c r="M83" s="171"/>
      <c r="N83" s="174">
        <f>VLOOKUP(C83,Спецтехника!$B$16:$J$104,4,0)</f>
        <v>783</v>
      </c>
      <c r="O83" s="175">
        <f>VLOOKUP(C83,Спецтехника!$B$16:$J$104,5,0)</f>
        <v>679</v>
      </c>
      <c r="P83" s="175">
        <f>VLOOKUP(C83,Спецтехника!$B$16:$J$104,6,0)</f>
        <v>104</v>
      </c>
      <c r="Q83" s="198">
        <f>VLOOKUP(C83,Спецтехника!$B$16:$J$104,7,0)</f>
        <v>0.132822477650064</v>
      </c>
      <c r="R83" s="197"/>
      <c r="S83" s="137"/>
      <c r="T83" s="170"/>
      <c r="U83" s="170"/>
      <c r="V83" s="171"/>
      <c r="W83" s="172">
        <f>VLOOKUP($C83,МНО!$B$16:$AB$104,16,0)</f>
        <v>12598</v>
      </c>
      <c r="X83" s="173">
        <f>VLOOKUP($C83,МНО!$B$16:$AB$104,8,0)</f>
        <v>10544</v>
      </c>
      <c r="Y83" s="173">
        <f>VLOOKUP($C83,МНО!$B$16:$AB$104,11,0)</f>
        <v>2054</v>
      </c>
      <c r="Z83" s="216">
        <f>VLOOKUP($C83,МНО!$B$16:$AB$104,17,0)</f>
        <v>0.163041752659152</v>
      </c>
      <c r="AA83" s="213"/>
      <c r="AB83" s="214">
        <f>VLOOKUP($C83,МНО!$B$16:$AB$104,13,0)</f>
        <v>3.52793450556944</v>
      </c>
      <c r="AC83" s="215">
        <f>VLOOKUP($C83,МНО!$B$16:$AB$104,18,0)</f>
        <v>0.724922653832932</v>
      </c>
      <c r="AD83" s="174">
        <f>VLOOKUP($C83,Контейнеры!$B$16:$AB$104,16,0)</f>
        <v>23360</v>
      </c>
      <c r="AE83" s="175">
        <f>VLOOKUP($C83,Контейнеры!$B$16:$AB$104,8,0)</f>
        <v>19550</v>
      </c>
      <c r="AF83" s="175">
        <f>VLOOKUP($C83,Контейнеры!$B$16:$AB$104,11,0)</f>
        <v>3810</v>
      </c>
      <c r="AG83" s="212">
        <f>VLOOKUP($C83,Контейнеры!$B$16:$AB$104,17,0)</f>
        <v>0.163099315068493</v>
      </c>
      <c r="AH83" s="213"/>
      <c r="AI83" s="214">
        <f>VLOOKUP($C83,Контейнеры!$B$16:$AB$104,13,0)</f>
        <v>6.77382828362625</v>
      </c>
      <c r="AJ83" s="215">
        <f>VLOOKUP($C83,Контейнеры!$B$16:$AB$104,18,0)</f>
        <v>0.732264589107798</v>
      </c>
      <c r="AK83" s="231"/>
      <c r="AL83" s="170"/>
      <c r="AM83" s="170"/>
      <c r="AN83" s="232"/>
      <c r="AO83" s="257">
        <f>VLOOKUP($C83,Обработка!$B$16:$L$104,6,0)</f>
        <v>0.948</v>
      </c>
      <c r="AP83" s="250">
        <f t="shared" si="14"/>
        <v>0.405</v>
      </c>
      <c r="AQ83" s="250">
        <f>VLOOKUP($C83,Обработка!$B$16:$L$104,7,0)</f>
        <v>0.9</v>
      </c>
      <c r="AR83" s="255">
        <f t="shared" si="15"/>
        <v>0.093</v>
      </c>
      <c r="AS83" s="263">
        <f>VLOOKUP($C83,Утилизация!$B$16:$L$104,6,0)</f>
        <v>0.385</v>
      </c>
      <c r="AT83" s="250">
        <f t="shared" si="16"/>
        <v>0.246</v>
      </c>
      <c r="AU83" s="259">
        <f>VLOOKUP($C83,Утилизация!$B$16:$L$104,7,0)</f>
        <v>0.15</v>
      </c>
      <c r="AV83" s="260">
        <f t="shared" si="17"/>
        <v>-0.136</v>
      </c>
      <c r="AW83" s="284" t="str">
        <f>VLOOKUP(C83,Захоронение!$B$16:$Q$104,16,0)</f>
        <v/>
      </c>
      <c r="AX83" s="231"/>
      <c r="AY83" s="170"/>
      <c r="AZ83" s="170"/>
      <c r="BA83" s="171"/>
      <c r="BB83" s="280" t="str">
        <f>VLOOKUP(C83,'ДК ИП'!$B$16:$S$104,5,0)</f>
        <v>не подписана</v>
      </c>
      <c r="BC83" s="285">
        <f>VLOOKUP(C83,Радар!$B$16:$G$104,6,0)</f>
        <v>0.0176708563920685</v>
      </c>
      <c r="BD83" s="171"/>
      <c r="BF83" s="292">
        <f t="shared" si="18"/>
        <v>0.0833333333333333</v>
      </c>
      <c r="BI83" s="9">
        <f t="shared" si="19"/>
        <v>0</v>
      </c>
      <c r="BJ83" s="9">
        <f>VLOOKUP(C83,Штаб!$B$16:$C$104,2)</f>
        <v>1</v>
      </c>
      <c r="BK83" s="9">
        <f>VLOOKUP(C83,'РО - регионы'!$B$16:$C$104,2)</f>
        <v>1</v>
      </c>
      <c r="BL83" s="9">
        <f>VLOOKUP(C83,'РО - регионы'!$B$16:$L$104,11)</f>
        <v>2</v>
      </c>
      <c r="BM83" s="9">
        <f>VLOOKUP(C83,Спецтехника!$B$16:$C$104,2)</f>
        <v>1</v>
      </c>
      <c r="BN83" s="9">
        <f>VLOOKUP($C83,МНО!$B$16:$AB$104,6,0)</f>
        <v>0</v>
      </c>
      <c r="BO83" s="9">
        <f>VLOOKUP($C83,МНО!$B$16:$AB$104,4,0)</f>
        <v>1</v>
      </c>
      <c r="BP83" s="9">
        <f>VLOOKUP($C83,МНО!$B$16:$AB$104,5,0)</f>
        <v>1</v>
      </c>
      <c r="BQ83" s="9">
        <f>VLOOKUP($C83,Контейнеры!$B$16:$G$104,6,0)</f>
        <v>1</v>
      </c>
      <c r="BR83" s="9">
        <f>VLOOKUP($C83,Контейнеры!$B$16:$G$104,4,0)</f>
        <v>0</v>
      </c>
      <c r="BS83" s="9">
        <f>VLOOKUP($C83,Контейнеры!$B$16:$G$104,5,0)</f>
        <v>2</v>
      </c>
      <c r="BT83" s="9">
        <f>VLOOKUP($C83,'ДК МНО'!$B$16:$C$104,2,0)</f>
        <v>2</v>
      </c>
      <c r="BU83" s="9">
        <f>VLOOKUP($C83,Обработка!$B$16:$F$104,5,0)</f>
        <v>0</v>
      </c>
      <c r="BV83" s="9">
        <f>VLOOKUP($C83,Обработка!$B$16:$F$104,4,0)</f>
        <v>0</v>
      </c>
      <c r="BW83" s="9">
        <f>VLOOKUP($C83,Утилизация!$B$16:$F$104,5,0)</f>
        <v>1</v>
      </c>
      <c r="BX83" s="9">
        <f>VLOOKUP($C83,Утилизация!$B$16:$F$104,4,0)</f>
        <v>0</v>
      </c>
      <c r="BY83" s="9">
        <f>VLOOKUP($C83,Захоронение!$B$16:$C$104,2,0)</f>
        <v>0</v>
      </c>
      <c r="BZ83" s="9">
        <f>VLOOKUP($C83,'ДК ИП'!$B$16:$C$104,2,0)</f>
        <v>0</v>
      </c>
      <c r="CA83" s="9">
        <f>VLOOKUP(C83,Радар!$B$16:$G$104,2,0)</f>
        <v>0</v>
      </c>
      <c r="CB83" s="9">
        <f>SUMPRODUCT(BJ83:BZ83,$BJ$5:$BZ$5)</f>
        <v>0.4</v>
      </c>
    </row>
    <row r="84" ht="15.75" spans="1:80">
      <c r="A84" s="6" t="s">
        <v>67</v>
      </c>
      <c r="B84" s="137">
        <f t="shared" si="13"/>
        <v>74</v>
      </c>
      <c r="C84" s="3" t="s">
        <v>125</v>
      </c>
      <c r="D84" s="133" t="str">
        <f>VLOOKUP($C84,Штаб!$B$16:$J$104,6,0)</f>
        <v>✔️</v>
      </c>
      <c r="E84" s="134" t="str">
        <f>VLOOKUP($C84,Штаб!$B$16:$J$104,7,0)</f>
        <v/>
      </c>
      <c r="F84" s="134" t="str">
        <f>VLOOKUP($C84,Штаб!$B$16:$J$104,8,0)</f>
        <v/>
      </c>
      <c r="G84" s="135" t="str">
        <f>VLOOKUP($C84,Штаб!$B$16:$J$104,9,0)</f>
        <v/>
      </c>
      <c r="H84" s="139" t="str">
        <f>VLOOKUP(C84,'РО - регионы'!$B$16:$I$104,8,0)</f>
        <v>0 / 0 / 1 из 1</v>
      </c>
      <c r="I84" s="169"/>
      <c r="J84" s="137"/>
      <c r="K84" s="170"/>
      <c r="L84" s="170"/>
      <c r="M84" s="171"/>
      <c r="N84" s="172">
        <f>VLOOKUP(C84,Спецтехника!$B$16:$J$104,4,0)</f>
        <v>227</v>
      </c>
      <c r="O84" s="173">
        <f>VLOOKUP(C84,Спецтехника!$B$16:$J$104,5,0)</f>
        <v>215</v>
      </c>
      <c r="P84" s="173">
        <f>VLOOKUP(C84,Спецтехника!$B$16:$J$104,6,0)</f>
        <v>12</v>
      </c>
      <c r="Q84" s="196">
        <f>VLOOKUP(C84,Спецтехника!$B$16:$J$104,7,0)</f>
        <v>0.052863436123348</v>
      </c>
      <c r="R84" s="197"/>
      <c r="S84" s="137"/>
      <c r="T84" s="170"/>
      <c r="U84" s="170"/>
      <c r="V84" s="171"/>
      <c r="W84" s="176">
        <f>VLOOKUP($C84,МНО!$B$16:$AB$104,16,0)</f>
        <v>17308</v>
      </c>
      <c r="X84" s="177">
        <f>VLOOKUP($C84,МНО!$B$16:$AB$104,8,0)</f>
        <v>9197</v>
      </c>
      <c r="Y84" s="177">
        <f>VLOOKUP($C84,МНО!$B$16:$AB$104,11,0)</f>
        <v>8111</v>
      </c>
      <c r="Z84" s="217">
        <f>VLOOKUP($C84,МНО!$B$16:$AB$104,17,0)</f>
        <v>0.468627224404899</v>
      </c>
      <c r="AA84" s="213"/>
      <c r="AB84" s="214">
        <f>VLOOKUP($C84,МНО!$B$16:$AB$104,13,0)</f>
        <v>5.84549489068193</v>
      </c>
      <c r="AC84" s="215">
        <f>VLOOKUP($C84,МНО!$B$16:$AB$104,18,0)</f>
        <v>1</v>
      </c>
      <c r="AD84" s="176">
        <f>VLOOKUP($C84,Контейнеры!$B$16:$AB$104,16,0)</f>
        <v>24942</v>
      </c>
      <c r="AE84" s="177">
        <f>VLOOKUP($C84,Контейнеры!$B$16:$AB$104,8,0)</f>
        <v>10692</v>
      </c>
      <c r="AF84" s="177">
        <f>VLOOKUP($C84,Контейнеры!$B$16:$AB$104,11,0)</f>
        <v>14250</v>
      </c>
      <c r="AG84" s="217">
        <f>VLOOKUP($C84,Контейнеры!$B$16:$AB$104,17,0)</f>
        <v>0.571325475102237</v>
      </c>
      <c r="AH84" s="213"/>
      <c r="AI84" s="214">
        <f>VLOOKUP($C84,Контейнеры!$B$16:$AB$104,13,0)</f>
        <v>11.1806853973473</v>
      </c>
      <c r="AJ84" s="215">
        <f>VLOOKUP($C84,Контейнеры!$B$16:$AB$104,18,0)</f>
        <v>0.760725720384205</v>
      </c>
      <c r="AK84" s="231"/>
      <c r="AL84" s="170"/>
      <c r="AM84" s="170"/>
      <c r="AN84" s="232"/>
      <c r="AO84" s="257">
        <f>VLOOKUP($C84,Обработка!$B$16:$L$104,6,0)</f>
        <v>0.809</v>
      </c>
      <c r="AP84" s="250">
        <f t="shared" si="14"/>
        <v>0.266</v>
      </c>
      <c r="AQ84" s="250">
        <f>VLOOKUP($C84,Обработка!$B$16:$L$104,7,0)</f>
        <v>1</v>
      </c>
      <c r="AR84" s="255">
        <f t="shared" si="15"/>
        <v>0.193</v>
      </c>
      <c r="AS84" s="253">
        <f>VLOOKUP($C84,Утилизация!$B$16:$L$104,6,0)</f>
        <v>0.023</v>
      </c>
      <c r="AT84" s="251">
        <f t="shared" si="16"/>
        <v>-0.116</v>
      </c>
      <c r="AU84" s="250">
        <f>VLOOKUP($C84,Утилизация!$B$16:$L$104,7,0)</f>
        <v>0.5</v>
      </c>
      <c r="AV84" s="256">
        <f t="shared" si="17"/>
        <v>0.214</v>
      </c>
      <c r="AW84" s="279">
        <f>VLOOKUP(C84,Захоронение!$B$16:$Q$104,16,0)</f>
        <v>0</v>
      </c>
      <c r="AX84" s="231"/>
      <c r="AY84" s="170"/>
      <c r="AZ84" s="170"/>
      <c r="BA84" s="171"/>
      <c r="BB84" s="280" t="str">
        <f>VLOOKUP(C84,'ДК ИП'!$B$16:$S$104,5,0)</f>
        <v>небольшое</v>
      </c>
      <c r="BC84" s="285">
        <f>VLOOKUP(C84,Радар!$B$16:$G$104,6,0)</f>
        <v>0.0533309909525542</v>
      </c>
      <c r="BD84" s="171"/>
      <c r="BF84" s="291">
        <f t="shared" si="18"/>
        <v>0.833333333333333</v>
      </c>
      <c r="BI84" s="9">
        <f t="shared" si="19"/>
        <v>1</v>
      </c>
      <c r="BJ84" s="9">
        <f>VLOOKUP(C84,Штаб!$B$16:$C$104,2)</f>
        <v>0</v>
      </c>
      <c r="BK84" s="9">
        <f>VLOOKUP(C84,'РО - регионы'!$B$16:$C$104,2)</f>
        <v>0</v>
      </c>
      <c r="BL84" s="9">
        <f>VLOOKUP(C84,'РО - регионы'!$B$16:$L$104,11)</f>
        <v>0</v>
      </c>
      <c r="BM84" s="9">
        <f>VLOOKUP(C84,Спецтехника!$B$16:$C$104,2)</f>
        <v>0</v>
      </c>
      <c r="BN84" s="9">
        <f>VLOOKUP($C84,МНО!$B$16:$AB$104,6,0)</f>
        <v>2</v>
      </c>
      <c r="BO84" s="9">
        <f>VLOOKUP($C84,МНО!$B$16:$AB$104,4,0)</f>
        <v>1</v>
      </c>
      <c r="BP84" s="9">
        <f>VLOOKUP($C84,МНО!$B$16:$AB$104,5,0)</f>
        <v>0</v>
      </c>
      <c r="BQ84" s="9">
        <f>VLOOKUP($C84,Контейнеры!$B$16:$G$104,6,0)</f>
        <v>2</v>
      </c>
      <c r="BR84" s="9">
        <f>VLOOKUP($C84,Контейнеры!$B$16:$G$104,4,0)</f>
        <v>0</v>
      </c>
      <c r="BS84" s="9">
        <f>VLOOKUP($C84,Контейнеры!$B$16:$G$104,5,0)</f>
        <v>2</v>
      </c>
      <c r="BT84" s="9">
        <f>VLOOKUP($C84,'ДК МНО'!$B$16:$C$104,2,0)</f>
        <v>2</v>
      </c>
      <c r="BU84" s="9">
        <f>VLOOKUP($C84,Обработка!$B$16:$F$104,5,0)</f>
        <v>0</v>
      </c>
      <c r="BV84" s="9">
        <f>VLOOKUP($C84,Обработка!$B$16:$F$104,4,0)</f>
        <v>0</v>
      </c>
      <c r="BW84" s="9">
        <f>VLOOKUP($C84,Утилизация!$B$16:$F$104,5,0)</f>
        <v>0</v>
      </c>
      <c r="BX84" s="9">
        <f>VLOOKUP($C84,Утилизация!$B$16:$F$104,4,0)</f>
        <v>2</v>
      </c>
      <c r="BY84" s="9">
        <f>VLOOKUP($C84,Захоронение!$B$16:$C$104,2,0)</f>
        <v>2</v>
      </c>
      <c r="BZ84" s="9">
        <f>VLOOKUP($C84,'ДК ИП'!$B$16:$C$104,2,0)</f>
        <v>0</v>
      </c>
      <c r="CA84" s="9">
        <f>VLOOKUP(C84,Радар!$B$16:$G$104,2,0)</f>
        <v>0</v>
      </c>
      <c r="CB84" s="9">
        <f>SUMPRODUCT(BJ84:BZ84,$BJ$5:$BZ$5)</f>
        <v>0.85</v>
      </c>
    </row>
    <row r="85" ht="15.75" spans="1:80">
      <c r="A85" s="6" t="s">
        <v>67</v>
      </c>
      <c r="B85" s="131">
        <f t="shared" si="13"/>
        <v>75</v>
      </c>
      <c r="C85" s="3" t="s">
        <v>156</v>
      </c>
      <c r="D85" s="133" t="str">
        <f>VLOOKUP($C85,Штаб!$B$16:$J$104,6,0)</f>
        <v/>
      </c>
      <c r="E85" s="134" t="str">
        <f>VLOOKUP($C85,Штаб!$B$16:$J$104,7,0)</f>
        <v>✔️</v>
      </c>
      <c r="F85" s="134" t="str">
        <f>VLOOKUP($C85,Штаб!$B$16:$J$104,8,0)</f>
        <v/>
      </c>
      <c r="G85" s="135" t="str">
        <f>VLOOKUP($C85,Штаб!$B$16:$J$104,9,0)</f>
        <v/>
      </c>
      <c r="H85" s="138" t="str">
        <f>VLOOKUP(C85,'РО - регионы'!$B$16:$I$104,8,0)</f>
        <v>0 / 1 / 0 из 1</v>
      </c>
      <c r="I85" s="169"/>
      <c r="J85" s="137"/>
      <c r="K85" s="170"/>
      <c r="L85" s="170"/>
      <c r="M85" s="171"/>
      <c r="N85" s="176">
        <f>VLOOKUP(C85,Спецтехника!$B$16:$J$104,4,0)</f>
        <v>335</v>
      </c>
      <c r="O85" s="177">
        <f>VLOOKUP(C85,Спецтехника!$B$16:$J$104,5,0)</f>
        <v>255</v>
      </c>
      <c r="P85" s="177">
        <f>VLOOKUP(C85,Спецтехника!$B$16:$J$104,6,0)</f>
        <v>80</v>
      </c>
      <c r="Q85" s="199">
        <f>VLOOKUP(C85,Спецтехника!$B$16:$J$104,7,0)</f>
        <v>0.238805970149254</v>
      </c>
      <c r="R85" s="197"/>
      <c r="S85" s="137"/>
      <c r="T85" s="170"/>
      <c r="U85" s="170"/>
      <c r="V85" s="171"/>
      <c r="W85" s="172">
        <f>VLOOKUP($C85,МНО!$B$16:$AB$104,16,0)</f>
        <v>10953</v>
      </c>
      <c r="X85" s="173">
        <f>VLOOKUP($C85,МНО!$B$16:$AB$104,8,0)</f>
        <v>9718</v>
      </c>
      <c r="Y85" s="173">
        <f>VLOOKUP($C85,МНО!$B$16:$AB$104,11,0)</f>
        <v>1235</v>
      </c>
      <c r="Z85" s="216">
        <f>VLOOKUP($C85,МНО!$B$16:$AB$104,17,0)</f>
        <v>0.112754496484981</v>
      </c>
      <c r="AA85" s="213"/>
      <c r="AB85" s="214">
        <f>VLOOKUP($C85,МНО!$B$16:$AB$104,13,0)</f>
        <v>5.98376157639902</v>
      </c>
      <c r="AC85" s="215">
        <f>VLOOKUP($C85,МНО!$B$16:$AB$104,18,0)</f>
        <v>0.944503839051414</v>
      </c>
      <c r="AD85" s="174">
        <f>VLOOKUP($C85,Контейнеры!$B$16:$AB$104,16,0)</f>
        <v>25653</v>
      </c>
      <c r="AE85" s="175">
        <f>VLOOKUP($C85,Контейнеры!$B$16:$AB$104,8,0)</f>
        <v>20453</v>
      </c>
      <c r="AF85" s="175">
        <f>VLOOKUP($C85,Контейнеры!$B$16:$AB$104,11,0)</f>
        <v>5200</v>
      </c>
      <c r="AG85" s="212">
        <f>VLOOKUP($C85,Контейнеры!$B$16:$AB$104,17,0)</f>
        <v>0.202705336607804</v>
      </c>
      <c r="AH85" s="213"/>
      <c r="AI85" s="214">
        <f>VLOOKUP($C85,Контейнеры!$B$16:$AB$104,13,0)</f>
        <v>17.0477609029237</v>
      </c>
      <c r="AJ85" s="215">
        <f>VLOOKUP($C85,Контейнеры!$B$16:$AB$104,18,0)</f>
        <v>0.96832686298646</v>
      </c>
      <c r="AK85" s="231"/>
      <c r="AL85" s="170"/>
      <c r="AM85" s="170"/>
      <c r="AN85" s="232"/>
      <c r="AO85" s="261">
        <f>VLOOKUP($C85,Обработка!$B$16:$L$104,6,0)</f>
        <v>0.319</v>
      </c>
      <c r="AP85" s="250">
        <f t="shared" si="14"/>
        <v>-0.224</v>
      </c>
      <c r="AQ85" s="251">
        <f>VLOOKUP($C85,Обработка!$B$16:$L$104,7,0)</f>
        <v>0.3</v>
      </c>
      <c r="AR85" s="252">
        <f t="shared" si="15"/>
        <v>-0.507</v>
      </c>
      <c r="AS85" s="253">
        <f>VLOOKUP($C85,Утилизация!$B$16:$L$104,6,0)</f>
        <v>0.025</v>
      </c>
      <c r="AT85" s="251">
        <f t="shared" si="16"/>
        <v>-0.114</v>
      </c>
      <c r="AU85" s="251">
        <f>VLOOKUP($C85,Утилизация!$B$16:$L$104,7,0)</f>
        <v>0.025</v>
      </c>
      <c r="AV85" s="254">
        <f t="shared" si="17"/>
        <v>-0.261</v>
      </c>
      <c r="AW85" s="279" t="str">
        <f>VLOOKUP(C85,Захоронение!$B$16:$Q$104,16,0)</f>
        <v>765 приказ</v>
      </c>
      <c r="AX85" s="231"/>
      <c r="AY85" s="170"/>
      <c r="AZ85" s="170"/>
      <c r="BA85" s="171"/>
      <c r="BB85" s="280" t="str">
        <f>VLOOKUP(C85,'ДК ИП'!$B$16:$S$104,5,0)</f>
        <v>существенное</v>
      </c>
      <c r="BC85" s="281">
        <f>VLOOKUP(C85,Радар!$B$16:$G$104,6,0)</f>
        <v>0.090852488066234</v>
      </c>
      <c r="BD85" s="171"/>
      <c r="BF85" s="290">
        <f t="shared" si="18"/>
        <v>1.41666666666667</v>
      </c>
      <c r="BI85" s="9">
        <f t="shared" si="19"/>
        <v>2</v>
      </c>
      <c r="BJ85" s="9">
        <f>VLOOKUP(C85,Штаб!$B$16:$C$104,2)</f>
        <v>1</v>
      </c>
      <c r="BK85" s="9">
        <f>VLOOKUP(C85,'РО - регионы'!$B$16:$C$104,2)</f>
        <v>1</v>
      </c>
      <c r="BL85" s="9">
        <f>VLOOKUP(C85,'РО - регионы'!$B$16:$L$104,11)</f>
        <v>2</v>
      </c>
      <c r="BM85" s="9">
        <f>VLOOKUP(C85,Спецтехника!$B$16:$C$104,2)</f>
        <v>2</v>
      </c>
      <c r="BN85" s="9">
        <f>VLOOKUP($C85,МНО!$B$16:$AB$104,6,0)</f>
        <v>0</v>
      </c>
      <c r="BO85" s="9">
        <f>VLOOKUP($C85,МНО!$B$16:$AB$104,4,0)</f>
        <v>0</v>
      </c>
      <c r="BP85" s="9">
        <f>VLOOKUP($C85,МНО!$B$16:$AB$104,5,0)</f>
        <v>0</v>
      </c>
      <c r="BQ85" s="9">
        <f>VLOOKUP($C85,Контейнеры!$B$16:$G$104,6,0)</f>
        <v>1</v>
      </c>
      <c r="BR85" s="9">
        <f>VLOOKUP($C85,Контейнеры!$B$16:$G$104,4,0)</f>
        <v>0</v>
      </c>
      <c r="BS85" s="9">
        <f>VLOOKUP($C85,Контейнеры!$B$16:$G$104,5,0)</f>
        <v>0</v>
      </c>
      <c r="BT85" s="9">
        <f>VLOOKUP($C85,'ДК МНО'!$B$16:$C$104,2,0)</f>
        <v>2</v>
      </c>
      <c r="BU85" s="9">
        <f>VLOOKUP($C85,Обработка!$B$16:$F$104,5,0)</f>
        <v>2</v>
      </c>
      <c r="BV85" s="9">
        <f>VLOOKUP($C85,Обработка!$B$16:$F$104,4,0)</f>
        <v>1</v>
      </c>
      <c r="BW85" s="9">
        <f>VLOOKUP($C85,Утилизация!$B$16:$F$104,5,0)</f>
        <v>2</v>
      </c>
      <c r="BX85" s="9">
        <f>VLOOKUP($C85,Утилизация!$B$16:$F$104,4,0)</f>
        <v>2</v>
      </c>
      <c r="BY85" s="9">
        <f>VLOOKUP($C85,Захоронение!$B$16:$C$104,2,0)</f>
        <v>2</v>
      </c>
      <c r="BZ85" s="9">
        <f>VLOOKUP($C85,'ДК ИП'!$B$16:$C$104,2,0)</f>
        <v>2</v>
      </c>
      <c r="CA85" s="9">
        <f>VLOOKUP(C85,Радар!$B$16:$G$104,2,0)</f>
        <v>2</v>
      </c>
      <c r="CB85" s="9">
        <f>SUMPRODUCT(BJ85:BZ85,$BJ$5:$BZ$5)</f>
        <v>1.4</v>
      </c>
    </row>
    <row r="86" ht="15.75" spans="1:80">
      <c r="A86" s="6" t="s">
        <v>108</v>
      </c>
      <c r="B86" s="137">
        <f t="shared" si="13"/>
        <v>76</v>
      </c>
      <c r="C86" s="3" t="s">
        <v>116</v>
      </c>
      <c r="D86" s="133" t="str">
        <f>VLOOKUP($C86,Штаб!$B$16:$J$104,6,0)</f>
        <v/>
      </c>
      <c r="E86" s="134" t="str">
        <f>VLOOKUP($C86,Штаб!$B$16:$J$104,7,0)</f>
        <v>✔️</v>
      </c>
      <c r="F86" s="134" t="str">
        <f>VLOOKUP($C86,Штаб!$B$16:$J$104,8,0)</f>
        <v/>
      </c>
      <c r="G86" s="135" t="str">
        <f>VLOOKUP($C86,Штаб!$B$16:$J$104,9,0)</f>
        <v/>
      </c>
      <c r="H86" s="139" t="str">
        <f>VLOOKUP(C86,'РО - регионы'!$B$16:$I$104,8,0)</f>
        <v>0 / 0 / 7 из 7</v>
      </c>
      <c r="I86" s="169"/>
      <c r="J86" s="137"/>
      <c r="K86" s="170"/>
      <c r="L86" s="170"/>
      <c r="M86" s="171"/>
      <c r="N86" s="174">
        <f>VLOOKUP(C86,Спецтехника!$B$16:$J$104,4,0)</f>
        <v>202</v>
      </c>
      <c r="O86" s="175">
        <f>VLOOKUP(C86,Спецтехника!$B$16:$J$104,5,0)</f>
        <v>170</v>
      </c>
      <c r="P86" s="175">
        <f>VLOOKUP(C86,Спецтехника!$B$16:$J$104,6,0)</f>
        <v>32</v>
      </c>
      <c r="Q86" s="198">
        <f>VLOOKUP(C86,Спецтехника!$B$16:$J$104,7,0)</f>
        <v>0.158415841584158</v>
      </c>
      <c r="R86" s="197"/>
      <c r="S86" s="137"/>
      <c r="T86" s="170"/>
      <c r="U86" s="170"/>
      <c r="V86" s="171"/>
      <c r="W86" s="174">
        <f>VLOOKUP($C86,МНО!$B$16:$AB$104,16,0)</f>
        <v>20833</v>
      </c>
      <c r="X86" s="175">
        <f>VLOOKUP($C86,МНО!$B$16:$AB$104,8,0)</f>
        <v>13268</v>
      </c>
      <c r="Y86" s="175">
        <f>VLOOKUP($C86,МНО!$B$16:$AB$104,11,0)</f>
        <v>7565</v>
      </c>
      <c r="Z86" s="212">
        <f>VLOOKUP($C86,МНО!$B$16:$AB$104,17,0)</f>
        <v>0.36312581001296</v>
      </c>
      <c r="AA86" s="213"/>
      <c r="AB86" s="214">
        <f>VLOOKUP($C86,МНО!$B$16:$AB$104,13,0)</f>
        <v>11.8316824566196</v>
      </c>
      <c r="AC86" s="215">
        <f>VLOOKUP($C86,МНО!$B$16:$AB$104,18,0)</f>
        <v>0.933774368358083</v>
      </c>
      <c r="AD86" s="172">
        <f>VLOOKUP($C86,Контейнеры!$B$16:$AB$104,16,0)</f>
        <v>24705</v>
      </c>
      <c r="AE86" s="173">
        <f>VLOOKUP($C86,Контейнеры!$B$16:$AB$104,8,0)</f>
        <v>21478</v>
      </c>
      <c r="AF86" s="173">
        <f>VLOOKUP($C86,Контейнеры!$B$16:$AB$104,11,0)</f>
        <v>3227</v>
      </c>
      <c r="AG86" s="216">
        <f>VLOOKUP($C86,Контейнеры!$B$16:$AB$104,17,0)</f>
        <v>0.130621331714228</v>
      </c>
      <c r="AH86" s="213"/>
      <c r="AI86" s="214">
        <f>VLOOKUP($C86,Контейнеры!$B$16:$AB$104,13,0)</f>
        <v>20.5849231108364</v>
      </c>
      <c r="AJ86" s="215">
        <f>VLOOKUP($C86,Контейнеры!$B$16:$AB$104,18,0)</f>
        <v>1</v>
      </c>
      <c r="AK86" s="231"/>
      <c r="AL86" s="170"/>
      <c r="AM86" s="170"/>
      <c r="AN86" s="232"/>
      <c r="AO86" s="249">
        <f>VLOOKUP($C86,Обработка!$B$16:$L$104,6,0)</f>
        <v>0.086</v>
      </c>
      <c r="AP86" s="250">
        <f t="shared" si="14"/>
        <v>-0.457</v>
      </c>
      <c r="AQ86" s="259">
        <f>VLOOKUP($C86,Обработка!$B$16:$L$104,7,0)</f>
        <v>0.78</v>
      </c>
      <c r="AR86" s="262">
        <f t="shared" si="15"/>
        <v>-0.027</v>
      </c>
      <c r="AS86" s="253">
        <f>VLOOKUP($C86,Утилизация!$B$16:$L$104,6,0)</f>
        <v>0.005</v>
      </c>
      <c r="AT86" s="251">
        <f t="shared" si="16"/>
        <v>-0.134</v>
      </c>
      <c r="AU86" s="250">
        <f>VLOOKUP($C86,Утилизация!$B$16:$L$104,7,0)</f>
        <v>0.348</v>
      </c>
      <c r="AV86" s="256">
        <f t="shared" si="17"/>
        <v>0.062</v>
      </c>
      <c r="AW86" s="284" t="str">
        <f>VLOOKUP(C86,Захоронение!$B$16:$Q$104,16,0)</f>
        <v/>
      </c>
      <c r="AX86" s="231"/>
      <c r="AY86" s="170"/>
      <c r="AZ86" s="170"/>
      <c r="BA86" s="171"/>
      <c r="BB86" s="280" t="str">
        <f>VLOOKUP(C86,'ДК ИП'!$B$16:$S$104,5,0)</f>
        <v>нет</v>
      </c>
      <c r="BC86" s="282">
        <f>VLOOKUP(C86,Радар!$B$16:$G$104,6,0)</f>
        <v>0.187850122438026</v>
      </c>
      <c r="BD86" s="171"/>
      <c r="BF86" s="292">
        <f t="shared" si="18"/>
        <v>0.416666666666667</v>
      </c>
      <c r="BI86" s="9">
        <f t="shared" si="19"/>
        <v>0</v>
      </c>
      <c r="BJ86" s="9">
        <f>VLOOKUP(C86,Штаб!$B$16:$C$104,2)</f>
        <v>1</v>
      </c>
      <c r="BK86" s="9">
        <f>VLOOKUP(C86,'РО - регионы'!$B$16:$C$104,2)</f>
        <v>0</v>
      </c>
      <c r="BL86" s="9">
        <f>VLOOKUP(C86,'РО - регионы'!$B$16:$L$104,11)</f>
        <v>0</v>
      </c>
      <c r="BM86" s="9">
        <f>VLOOKUP(C86,Спецтехника!$B$16:$C$104,2)</f>
        <v>1</v>
      </c>
      <c r="BN86" s="9">
        <f>VLOOKUP($C86,МНО!$B$16:$AB$104,6,0)</f>
        <v>1</v>
      </c>
      <c r="BO86" s="9">
        <f>VLOOKUP($C86,МНО!$B$16:$AB$104,4,0)</f>
        <v>0</v>
      </c>
      <c r="BP86" s="9">
        <f>VLOOKUP($C86,МНО!$B$16:$AB$104,5,0)</f>
        <v>0</v>
      </c>
      <c r="BQ86" s="9">
        <f>VLOOKUP($C86,Контейнеры!$B$16:$G$104,6,0)</f>
        <v>0</v>
      </c>
      <c r="BR86" s="9">
        <f>VLOOKUP($C86,Контейнеры!$B$16:$G$104,4,0)</f>
        <v>0</v>
      </c>
      <c r="BS86" s="9">
        <f>VLOOKUP($C86,Контейнеры!$B$16:$G$104,5,0)</f>
        <v>0</v>
      </c>
      <c r="BT86" s="9">
        <f>VLOOKUP($C86,'ДК МНО'!$B$16:$C$104,2,0)</f>
        <v>2</v>
      </c>
      <c r="BU86" s="9">
        <f>VLOOKUP($C86,Обработка!$B$16:$F$104,5,0)</f>
        <v>1</v>
      </c>
      <c r="BV86" s="9">
        <f>VLOOKUP($C86,Обработка!$B$16:$F$104,4,0)</f>
        <v>2</v>
      </c>
      <c r="BW86" s="9">
        <f>VLOOKUP($C86,Утилизация!$B$16:$F$104,5,0)</f>
        <v>0</v>
      </c>
      <c r="BX86" s="9">
        <f>VLOOKUP($C86,Утилизация!$B$16:$F$104,4,0)</f>
        <v>2</v>
      </c>
      <c r="BY86" s="9">
        <f>VLOOKUP($C86,Захоронение!$B$16:$C$104,2,0)</f>
        <v>0</v>
      </c>
      <c r="BZ86" s="9">
        <f>VLOOKUP($C86,'ДК ИП'!$B$16:$C$104,2,0)</f>
        <v>0</v>
      </c>
      <c r="CA86" s="9">
        <f>VLOOKUP(C86,Радар!$B$16:$G$104,2,0)</f>
        <v>1</v>
      </c>
      <c r="CB86" s="9">
        <f>SUMPRODUCT(BJ86:BZ86,$BJ$5:$BZ$5)</f>
        <v>0.35</v>
      </c>
    </row>
    <row r="87" ht="15.75" spans="1:80">
      <c r="A87" s="6" t="s">
        <v>67</v>
      </c>
      <c r="B87" s="131">
        <f t="shared" si="13"/>
        <v>77</v>
      </c>
      <c r="C87" s="3" t="s">
        <v>73</v>
      </c>
      <c r="D87" s="133" t="str">
        <f>VLOOKUP($C87,Штаб!$B$16:$J$104,6,0)</f>
        <v/>
      </c>
      <c r="E87" s="134" t="str">
        <f>VLOOKUP($C87,Штаб!$B$16:$J$104,7,0)</f>
        <v>✔️</v>
      </c>
      <c r="F87" s="134" t="str">
        <f>VLOOKUP($C87,Штаб!$B$16:$J$104,8,0)</f>
        <v/>
      </c>
      <c r="G87" s="135" t="str">
        <f>VLOOKUP($C87,Штаб!$B$16:$J$104,9,0)</f>
        <v/>
      </c>
      <c r="H87" s="139" t="str">
        <f>VLOOKUP(C87,'РО - регионы'!$B$16:$I$104,8,0)</f>
        <v>0 / 0 / 2 из 2</v>
      </c>
      <c r="I87" s="169"/>
      <c r="J87" s="137"/>
      <c r="K87" s="170"/>
      <c r="L87" s="170"/>
      <c r="M87" s="171"/>
      <c r="N87" s="174">
        <f>VLOOKUP(C87,Спецтехника!$B$16:$J$104,4,0)</f>
        <v>272</v>
      </c>
      <c r="O87" s="175">
        <f>VLOOKUP(C87,Спецтехника!$B$16:$J$104,5,0)</f>
        <v>243</v>
      </c>
      <c r="P87" s="175">
        <f>VLOOKUP(C87,Спецтехника!$B$16:$J$104,6,0)</f>
        <v>29</v>
      </c>
      <c r="Q87" s="198">
        <f>VLOOKUP(C87,Спецтехника!$B$16:$J$104,7,0)</f>
        <v>0.106617647058824</v>
      </c>
      <c r="R87" s="197"/>
      <c r="S87" s="137"/>
      <c r="T87" s="170"/>
      <c r="U87" s="170"/>
      <c r="V87" s="171"/>
      <c r="W87" s="172">
        <f>VLOOKUP($C87,МНО!$B$16:$AB$104,16,0)</f>
        <v>10374</v>
      </c>
      <c r="X87" s="173">
        <f>VLOOKUP($C87,МНО!$B$16:$AB$104,8,0)</f>
        <v>9955</v>
      </c>
      <c r="Y87" s="173">
        <f>VLOOKUP($C87,МНО!$B$16:$AB$104,11,0)</f>
        <v>419</v>
      </c>
      <c r="Z87" s="216">
        <f>VLOOKUP($C87,МНО!$B$16:$AB$104,17,0)</f>
        <v>0.0403894351262772</v>
      </c>
      <c r="AA87" s="213"/>
      <c r="AB87" s="214">
        <f>VLOOKUP($C87,МНО!$B$16:$AB$104,13,0)</f>
        <v>5.70781842652637</v>
      </c>
      <c r="AC87" s="215">
        <f>VLOOKUP($C87,МНО!$B$16:$AB$104,18,0)</f>
        <v>1</v>
      </c>
      <c r="AD87" s="174">
        <f>VLOOKUP($C87,Контейнеры!$B$16:$AB$104,16,0)</f>
        <v>19938</v>
      </c>
      <c r="AE87" s="175">
        <f>VLOOKUP($C87,Контейнеры!$B$16:$AB$104,8,0)</f>
        <v>16568</v>
      </c>
      <c r="AF87" s="175">
        <f>VLOOKUP($C87,Контейнеры!$B$16:$AB$104,11,0)</f>
        <v>3370</v>
      </c>
      <c r="AG87" s="212">
        <f>VLOOKUP($C87,Контейнеры!$B$16:$AB$104,17,0)</f>
        <v>0.169023974320393</v>
      </c>
      <c r="AH87" s="213"/>
      <c r="AI87" s="214">
        <f>VLOOKUP($C87,Контейнеры!$B$16:$AB$104,13,0)</f>
        <v>11.2620144921625</v>
      </c>
      <c r="AJ87" s="215">
        <f>VLOOKUP($C87,Контейнеры!$B$16:$AB$104,18,0)</f>
        <v>0.538411542961133</v>
      </c>
      <c r="AK87" s="231"/>
      <c r="AL87" s="170"/>
      <c r="AM87" s="170"/>
      <c r="AN87" s="232"/>
      <c r="AO87" s="261">
        <f>VLOOKUP($C87,Обработка!$B$16:$L$104,6,0)</f>
        <v>0.414</v>
      </c>
      <c r="AP87" s="250">
        <f t="shared" si="14"/>
        <v>-0.129</v>
      </c>
      <c r="AQ87" s="250">
        <f>VLOOKUP($C87,Обработка!$B$16:$L$104,7,0)</f>
        <v>1</v>
      </c>
      <c r="AR87" s="255">
        <f t="shared" si="15"/>
        <v>0.193</v>
      </c>
      <c r="AS87" s="258">
        <f>VLOOKUP($C87,Утилизация!$B$16:$L$104,6,0)</f>
        <v>0.124</v>
      </c>
      <c r="AT87" s="259">
        <f t="shared" si="16"/>
        <v>-0.015</v>
      </c>
      <c r="AU87" s="259">
        <f>VLOOKUP($C87,Утилизация!$B$16:$L$104,7,0)</f>
        <v>0.259</v>
      </c>
      <c r="AV87" s="260">
        <f t="shared" si="17"/>
        <v>-0.027</v>
      </c>
      <c r="AW87" s="284" t="str">
        <f>VLOOKUP(C87,Захоронение!$B$16:$Q$104,16,0)</f>
        <v/>
      </c>
      <c r="AX87" s="231"/>
      <c r="AY87" s="170"/>
      <c r="AZ87" s="170"/>
      <c r="BA87" s="171"/>
      <c r="BB87" s="280" t="str">
        <f>VLOOKUP(C87,'ДК ИП'!$B$16:$S$104,5,0)</f>
        <v>не подписана</v>
      </c>
      <c r="BC87" s="281">
        <f>VLOOKUP(C87,Радар!$B$16:$G$104,6,0)</f>
        <v>0.0305885231861006</v>
      </c>
      <c r="BD87" s="171"/>
      <c r="BF87" s="292">
        <f t="shared" si="18"/>
        <v>0.25</v>
      </c>
      <c r="BI87" s="9">
        <f t="shared" si="19"/>
        <v>0</v>
      </c>
      <c r="BJ87" s="9">
        <f>VLOOKUP(C87,Штаб!$B$16:$C$104,2)</f>
        <v>1</v>
      </c>
      <c r="BK87" s="9">
        <f>VLOOKUP(C87,'РО - регионы'!$B$16:$C$104,2)</f>
        <v>0</v>
      </c>
      <c r="BL87" s="9">
        <f>VLOOKUP(C87,'РО - регионы'!$B$16:$L$104,11)</f>
        <v>0</v>
      </c>
      <c r="BM87" s="9">
        <f>VLOOKUP(C87,Спецтехника!$B$16:$C$104,2)</f>
        <v>1</v>
      </c>
      <c r="BN87" s="9">
        <f>VLOOKUP($C87,МНО!$B$16:$AB$104,6,0)</f>
        <v>0</v>
      </c>
      <c r="BO87" s="9">
        <f>VLOOKUP($C87,МНО!$B$16:$AB$104,4,0)</f>
        <v>1</v>
      </c>
      <c r="BP87" s="9">
        <f>VLOOKUP($C87,МНО!$B$16:$AB$104,5,0)</f>
        <v>0</v>
      </c>
      <c r="BQ87" s="9">
        <f>VLOOKUP($C87,Контейнеры!$B$16:$G$104,6,0)</f>
        <v>1</v>
      </c>
      <c r="BR87" s="9">
        <f>VLOOKUP($C87,Контейнеры!$B$16:$G$104,4,0)</f>
        <v>0</v>
      </c>
      <c r="BS87" s="9">
        <f>VLOOKUP($C87,Контейнеры!$B$16:$G$104,5,0)</f>
        <v>2</v>
      </c>
      <c r="BT87" s="9">
        <f>VLOOKUP($C87,'ДК МНО'!$B$16:$C$104,2,0)</f>
        <v>2</v>
      </c>
      <c r="BU87" s="9">
        <f>VLOOKUP($C87,Обработка!$B$16:$F$104,5,0)</f>
        <v>0</v>
      </c>
      <c r="BV87" s="9">
        <f>VLOOKUP($C87,Обработка!$B$16:$F$104,4,0)</f>
        <v>1</v>
      </c>
      <c r="BW87" s="9">
        <f>VLOOKUP($C87,Утилизация!$B$16:$F$104,5,0)</f>
        <v>1</v>
      </c>
      <c r="BX87" s="9">
        <f>VLOOKUP($C87,Утилизация!$B$16:$F$104,4,0)</f>
        <v>1</v>
      </c>
      <c r="BY87" s="9">
        <f>VLOOKUP($C87,Захоронение!$B$16:$C$104,2,0)</f>
        <v>0</v>
      </c>
      <c r="BZ87" s="9">
        <f>VLOOKUP($C87,'ДК ИП'!$B$16:$C$104,2,0)</f>
        <v>0</v>
      </c>
      <c r="CA87" s="9">
        <f>VLOOKUP(C87,Радар!$B$16:$G$104,2,0)</f>
        <v>2</v>
      </c>
      <c r="CB87" s="9">
        <f>SUMPRODUCT(BJ87:BZ87,$BJ$5:$BZ$5)</f>
        <v>0.3</v>
      </c>
    </row>
    <row r="88" ht="15.75" spans="1:80">
      <c r="A88" s="6" t="s">
        <v>78</v>
      </c>
      <c r="B88" s="137">
        <f t="shared" si="13"/>
        <v>78</v>
      </c>
      <c r="C88" s="3" t="s">
        <v>83</v>
      </c>
      <c r="D88" s="133" t="str">
        <f>VLOOKUP($C88,Штаб!$B$16:$J$104,6,0)</f>
        <v>✔️</v>
      </c>
      <c r="E88" s="134" t="str">
        <f>VLOOKUP($C88,Штаб!$B$16:$J$104,7,0)</f>
        <v/>
      </c>
      <c r="F88" s="134" t="str">
        <f>VLOOKUP($C88,Штаб!$B$16:$J$104,8,0)</f>
        <v/>
      </c>
      <c r="G88" s="135" t="str">
        <f>VLOOKUP($C88,Штаб!$B$16:$J$104,9,0)</f>
        <v/>
      </c>
      <c r="H88" s="139" t="str">
        <f>VLOOKUP(C88,'РО - регионы'!$B$16:$I$104,8,0)</f>
        <v>0 / 0 / 1 из 1</v>
      </c>
      <c r="I88" s="169"/>
      <c r="J88" s="137"/>
      <c r="K88" s="170"/>
      <c r="L88" s="170"/>
      <c r="M88" s="171"/>
      <c r="N88" s="172">
        <f>VLOOKUP(C88,Спецтехника!$B$16:$J$104,4,0)</f>
        <v>301</v>
      </c>
      <c r="O88" s="173">
        <f>VLOOKUP(C88,Спецтехника!$B$16:$J$104,5,0)</f>
        <v>298</v>
      </c>
      <c r="P88" s="173">
        <f>VLOOKUP(C88,Спецтехника!$B$16:$J$104,6,0)</f>
        <v>3</v>
      </c>
      <c r="Q88" s="196">
        <f>VLOOKUP(C88,Спецтехника!$B$16:$J$104,7,0)</f>
        <v>0.00996677740863787</v>
      </c>
      <c r="R88" s="197"/>
      <c r="S88" s="137"/>
      <c r="T88" s="170"/>
      <c r="U88" s="170"/>
      <c r="V88" s="171"/>
      <c r="W88" s="176">
        <f>VLOOKUP($C88,МНО!$B$16:$AB$104,16,0)</f>
        <v>15786</v>
      </c>
      <c r="X88" s="177">
        <f>VLOOKUP($C88,МНО!$B$16:$AB$104,8,0)</f>
        <v>15786</v>
      </c>
      <c r="Y88" s="177">
        <f>VLOOKUP($C88,МНО!$B$16:$AB$104,11,0)</f>
        <v>0</v>
      </c>
      <c r="Z88" s="217">
        <f>VLOOKUP($C88,МНО!$B$16:$AB$104,17,0)</f>
        <v>0</v>
      </c>
      <c r="AA88" s="213"/>
      <c r="AB88" s="214">
        <f>VLOOKUP($C88,МНО!$B$16:$AB$104,13,0)</f>
        <v>9.47845002086101</v>
      </c>
      <c r="AC88" s="215">
        <f>VLOOKUP($C88,МНО!$B$16:$AB$104,18,0)</f>
        <v>1</v>
      </c>
      <c r="AD88" s="176">
        <f>VLOOKUP($C88,Контейнеры!$B$16:$AB$104,16,0)</f>
        <v>27758</v>
      </c>
      <c r="AE88" s="177">
        <f>VLOOKUP($C88,Контейнеры!$B$16:$AB$104,8,0)</f>
        <v>27758</v>
      </c>
      <c r="AF88" s="177">
        <f>VLOOKUP($C88,Контейнеры!$B$16:$AB$104,11,0)</f>
        <v>0</v>
      </c>
      <c r="AG88" s="217">
        <f>VLOOKUP($C88,Контейнеры!$B$16:$AB$104,17,0)</f>
        <v>0</v>
      </c>
      <c r="AH88" s="213"/>
      <c r="AI88" s="214">
        <f>VLOOKUP($C88,Контейнеры!$B$16:$AB$104,13,0)</f>
        <v>17.1827857679637</v>
      </c>
      <c r="AJ88" s="215">
        <f>VLOOKUP($C88,Контейнеры!$B$16:$AB$104,18,0)</f>
        <v>1</v>
      </c>
      <c r="AK88" s="231"/>
      <c r="AL88" s="170"/>
      <c r="AM88" s="170"/>
      <c r="AN88" s="232"/>
      <c r="AO88" s="257">
        <f>VLOOKUP($C88,Обработка!$B$16:$L$104,6,0)</f>
        <v>1</v>
      </c>
      <c r="AP88" s="250">
        <f t="shared" si="14"/>
        <v>0.457</v>
      </c>
      <c r="AQ88" s="250">
        <f>VLOOKUP($C88,Обработка!$B$16:$L$104,7,0)</f>
        <v>0.95</v>
      </c>
      <c r="AR88" s="255">
        <f t="shared" si="15"/>
        <v>0.143</v>
      </c>
      <c r="AS88" s="253">
        <f>VLOOKUP($C88,Утилизация!$B$16:$L$104,6,0)</f>
        <v>0.04</v>
      </c>
      <c r="AT88" s="251">
        <f t="shared" si="16"/>
        <v>-0.099</v>
      </c>
      <c r="AU88" s="251">
        <f>VLOOKUP($C88,Утилизация!$B$16:$L$104,7,0)</f>
        <v>0.1</v>
      </c>
      <c r="AV88" s="254">
        <f t="shared" si="17"/>
        <v>-0.186</v>
      </c>
      <c r="AW88" s="284" t="str">
        <f>VLOOKUP(C88,Захоронение!$B$16:$Q$104,16,0)</f>
        <v/>
      </c>
      <c r="AX88" s="231"/>
      <c r="AY88" s="170"/>
      <c r="AZ88" s="170"/>
      <c r="BA88" s="171"/>
      <c r="BB88" s="280" t="str">
        <f>VLOOKUP(C88,'ДК ИП'!$B$16:$S$104,5,0)</f>
        <v>не подписана</v>
      </c>
      <c r="BC88" s="282">
        <f>VLOOKUP(C88,Радар!$B$16:$G$104,6,0)</f>
        <v>0.055092871725224</v>
      </c>
      <c r="BD88" s="171"/>
      <c r="BF88" s="292">
        <f t="shared" si="18"/>
        <v>0.333333333333333</v>
      </c>
      <c r="BI88" s="9">
        <f t="shared" si="19"/>
        <v>0</v>
      </c>
      <c r="BJ88" s="9">
        <f>VLOOKUP(C88,Штаб!$B$16:$C$104,2)</f>
        <v>0</v>
      </c>
      <c r="BK88" s="9">
        <f>VLOOKUP(C88,'РО - регионы'!$B$16:$C$104,2)</f>
        <v>0</v>
      </c>
      <c r="BL88" s="9">
        <f>VLOOKUP(C88,'РО - регионы'!$B$16:$L$104,11)</f>
        <v>0</v>
      </c>
      <c r="BM88" s="9">
        <f>VLOOKUP(C88,Спецтехника!$B$16:$C$104,2)</f>
        <v>0</v>
      </c>
      <c r="BN88" s="9">
        <f>VLOOKUP($C88,МНО!$B$16:$AB$104,6,0)</f>
        <v>2</v>
      </c>
      <c r="BO88" s="9">
        <f>VLOOKUP($C88,МНО!$B$16:$AB$104,4,0)</f>
        <v>0</v>
      </c>
      <c r="BP88" s="9">
        <f>VLOOKUP($C88,МНО!$B$16:$AB$104,5,0)</f>
        <v>0</v>
      </c>
      <c r="BQ88" s="9">
        <f>VLOOKUP($C88,Контейнеры!$B$16:$G$104,6,0)</f>
        <v>2</v>
      </c>
      <c r="BR88" s="9">
        <f>VLOOKUP($C88,Контейнеры!$B$16:$G$104,4,0)</f>
        <v>0</v>
      </c>
      <c r="BS88" s="9">
        <f>VLOOKUP($C88,Контейнеры!$B$16:$G$104,5,0)</f>
        <v>0</v>
      </c>
      <c r="BT88" s="9">
        <f>VLOOKUP($C88,'ДК МНО'!$B$16:$C$104,2,0)</f>
        <v>2</v>
      </c>
      <c r="BU88" s="9">
        <f>VLOOKUP($C88,Обработка!$B$16:$F$104,5,0)</f>
        <v>0</v>
      </c>
      <c r="BV88" s="9">
        <f>VLOOKUP($C88,Обработка!$B$16:$F$104,4,0)</f>
        <v>0</v>
      </c>
      <c r="BW88" s="9">
        <f>VLOOKUP($C88,Утилизация!$B$16:$F$104,5,0)</f>
        <v>2</v>
      </c>
      <c r="BX88" s="9">
        <f>VLOOKUP($C88,Утилизация!$B$16:$F$104,4,0)</f>
        <v>2</v>
      </c>
      <c r="BY88" s="9">
        <f>VLOOKUP($C88,Захоронение!$B$16:$C$104,2,0)</f>
        <v>0</v>
      </c>
      <c r="BZ88" s="9">
        <f>VLOOKUP($C88,'ДК ИП'!$B$16:$C$104,2,0)</f>
        <v>0</v>
      </c>
      <c r="CA88" s="9">
        <f>VLOOKUP(C88,Радар!$B$16:$G$104,2,0)</f>
        <v>1</v>
      </c>
      <c r="CB88" s="9">
        <f>SUMPRODUCT(BJ88:BZ88,$BJ$5:$BZ$5)</f>
        <v>0.4</v>
      </c>
    </row>
    <row r="89" ht="15.75" spans="1:80">
      <c r="A89" s="6" t="s">
        <v>74</v>
      </c>
      <c r="B89" s="131">
        <f t="shared" si="13"/>
        <v>79</v>
      </c>
      <c r="C89" s="3" t="s">
        <v>99</v>
      </c>
      <c r="D89" s="133" t="str">
        <f>VLOOKUP($C89,Штаб!$B$16:$J$104,6,0)</f>
        <v/>
      </c>
      <c r="E89" s="134" t="str">
        <f>VLOOKUP($C89,Штаб!$B$16:$J$104,7,0)</f>
        <v/>
      </c>
      <c r="F89" s="134" t="str">
        <f>VLOOKUP($C89,Штаб!$B$16:$J$104,8,0)</f>
        <v/>
      </c>
      <c r="G89" s="135" t="str">
        <f>VLOOKUP($C89,Штаб!$B$16:$J$104,9,0)</f>
        <v>✔️</v>
      </c>
      <c r="H89" s="139" t="str">
        <f>VLOOKUP(C89,'РО - регионы'!$B$16:$I$104,8,0)</f>
        <v>0 / 0 / 1 из 1</v>
      </c>
      <c r="I89" s="169"/>
      <c r="J89" s="137"/>
      <c r="K89" s="170"/>
      <c r="L89" s="170"/>
      <c r="M89" s="171"/>
      <c r="N89" s="174">
        <f>VLOOKUP(C89,Спецтехника!$B$16:$J$104,4,0)</f>
        <v>201</v>
      </c>
      <c r="O89" s="175">
        <f>VLOOKUP(C89,Спецтехника!$B$16:$J$104,5,0)</f>
        <v>179</v>
      </c>
      <c r="P89" s="175">
        <f>VLOOKUP(C89,Спецтехника!$B$16:$J$104,6,0)</f>
        <v>22</v>
      </c>
      <c r="Q89" s="198">
        <f>VLOOKUP(C89,Спецтехника!$B$16:$J$104,7,0)</f>
        <v>0.109452736318408</v>
      </c>
      <c r="R89" s="197"/>
      <c r="S89" s="137"/>
      <c r="T89" s="170"/>
      <c r="U89" s="170"/>
      <c r="V89" s="171"/>
      <c r="W89" s="174">
        <f>VLOOKUP($C89,МНО!$B$16:$AB$104,16,0)</f>
        <v>11885</v>
      </c>
      <c r="X89" s="175">
        <f>VLOOKUP($C89,МНО!$B$16:$AB$104,8,0)</f>
        <v>8883</v>
      </c>
      <c r="Y89" s="175">
        <f>VLOOKUP($C89,МНО!$B$16:$AB$104,11,0)</f>
        <v>3002</v>
      </c>
      <c r="Z89" s="212">
        <f>VLOOKUP($C89,МНО!$B$16:$AB$104,17,0)</f>
        <v>0.25258729490955</v>
      </c>
      <c r="AA89" s="213"/>
      <c r="AB89" s="214">
        <f>VLOOKUP($C89,МНО!$B$16:$AB$104,13,0)</f>
        <v>5.52853598706778</v>
      </c>
      <c r="AC89" s="215">
        <f>VLOOKUP($C89,МНО!$B$16:$AB$104,18,0)</f>
        <v>0.316447579352357</v>
      </c>
      <c r="AD89" s="174">
        <f>VLOOKUP($C89,Контейнеры!$B$16:$AB$104,16,0)</f>
        <v>24999</v>
      </c>
      <c r="AE89" s="175">
        <f>VLOOKUP($C89,Контейнеры!$B$16:$AB$104,8,0)</f>
        <v>17493</v>
      </c>
      <c r="AF89" s="175">
        <f>VLOOKUP($C89,Контейнеры!$B$16:$AB$104,11,0)</f>
        <v>7506</v>
      </c>
      <c r="AG89" s="212">
        <f>VLOOKUP($C89,Контейнеры!$B$16:$AB$104,17,0)</f>
        <v>0.300252010080403</v>
      </c>
      <c r="AH89" s="213"/>
      <c r="AI89" s="214">
        <f>VLOOKUP($C89,Контейнеры!$B$16:$AB$104,13,0)</f>
        <v>12.1940083245211</v>
      </c>
      <c r="AJ89" s="215">
        <f>VLOOKUP($C89,Контейнеры!$B$16:$AB$104,18,0)</f>
        <v>1</v>
      </c>
      <c r="AK89" s="231"/>
      <c r="AL89" s="170"/>
      <c r="AM89" s="170"/>
      <c r="AN89" s="232"/>
      <c r="AO89" s="257">
        <f>VLOOKUP($C89,Обработка!$B$16:$L$104,6,0)</f>
        <v>0.735</v>
      </c>
      <c r="AP89" s="251">
        <f t="shared" si="14"/>
        <v>0.192</v>
      </c>
      <c r="AQ89" s="259">
        <f>VLOOKUP($C89,Обработка!$B$16:$L$104,7,0)</f>
        <v>0.679</v>
      </c>
      <c r="AR89" s="262">
        <f t="shared" si="15"/>
        <v>-0.128</v>
      </c>
      <c r="AS89" s="258">
        <f>VLOOKUP($C89,Утилизация!$B$16:$L$104,6,0)</f>
        <v>0.092</v>
      </c>
      <c r="AT89" s="259">
        <f t="shared" si="16"/>
        <v>-0.047</v>
      </c>
      <c r="AU89" s="251">
        <f>VLOOKUP($C89,Утилизация!$B$16:$L$104,7,0)</f>
        <v>0.065</v>
      </c>
      <c r="AV89" s="254">
        <f t="shared" si="17"/>
        <v>-0.221</v>
      </c>
      <c r="AW89" s="284" t="str">
        <f>VLOOKUP(C89,Захоронение!$B$16:$Q$104,16,0)</f>
        <v/>
      </c>
      <c r="AX89" s="231"/>
      <c r="AY89" s="170"/>
      <c r="AZ89" s="170"/>
      <c r="BA89" s="171"/>
      <c r="BB89" s="280" t="str">
        <f>VLOOKUP(C89,'ДК ИП'!$B$16:$S$104,5,0)</f>
        <v>небольшое</v>
      </c>
      <c r="BC89" s="281">
        <f>VLOOKUP(C89,Радар!$B$16:$G$104,6,0)</f>
        <v>0.0348539653704942</v>
      </c>
      <c r="BD89" s="171"/>
      <c r="BF89" s="292">
        <f t="shared" si="18"/>
        <v>0.333333333333333</v>
      </c>
      <c r="BI89" s="9">
        <f t="shared" si="19"/>
        <v>0</v>
      </c>
      <c r="BJ89" s="9">
        <f>VLOOKUP(C89,Штаб!$B$16:$C$104,2)</f>
        <v>2</v>
      </c>
      <c r="BK89" s="9">
        <f>VLOOKUP(C89,'РО - регионы'!$B$16:$C$104,2)</f>
        <v>0</v>
      </c>
      <c r="BL89" s="9">
        <f>VLOOKUP(C89,'РО - регионы'!$B$16:$L$104,11)</f>
        <v>0</v>
      </c>
      <c r="BM89" s="9">
        <f>VLOOKUP(C89,Спецтехника!$B$16:$C$104,2)</f>
        <v>1</v>
      </c>
      <c r="BN89" s="9">
        <f>VLOOKUP($C89,МНО!$B$16:$AB$104,6,0)</f>
        <v>1</v>
      </c>
      <c r="BO89" s="9">
        <f>VLOOKUP($C89,МНО!$B$16:$AB$104,4,0)</f>
        <v>1</v>
      </c>
      <c r="BP89" s="9">
        <f>VLOOKUP($C89,МНО!$B$16:$AB$104,5,0)</f>
        <v>2</v>
      </c>
      <c r="BQ89" s="9">
        <f>VLOOKUP($C89,Контейнеры!$B$16:$G$104,6,0)</f>
        <v>1</v>
      </c>
      <c r="BR89" s="9">
        <f>VLOOKUP($C89,Контейнеры!$B$16:$G$104,4,0)</f>
        <v>2</v>
      </c>
      <c r="BS89" s="9">
        <f>VLOOKUP($C89,Контейнеры!$B$16:$G$104,5,0)</f>
        <v>0</v>
      </c>
      <c r="BT89" s="9">
        <f>VLOOKUP($C89,'ДК МНО'!$B$16:$C$104,2,0)</f>
        <v>2</v>
      </c>
      <c r="BU89" s="9">
        <f>VLOOKUP($C89,Обработка!$B$16:$F$104,5,0)</f>
        <v>1</v>
      </c>
      <c r="BV89" s="9">
        <f>VLOOKUP($C89,Обработка!$B$16:$F$104,4,0)</f>
        <v>0</v>
      </c>
      <c r="BW89" s="9">
        <f>VLOOKUP($C89,Утилизация!$B$16:$F$104,5,0)</f>
        <v>2</v>
      </c>
      <c r="BX89" s="9">
        <f>VLOOKUP($C89,Утилизация!$B$16:$F$104,4,0)</f>
        <v>1</v>
      </c>
      <c r="BY89" s="9">
        <f>VLOOKUP($C89,Захоронение!$B$16:$C$104,2,0)</f>
        <v>0</v>
      </c>
      <c r="BZ89" s="9">
        <f>VLOOKUP($C89,'ДК ИП'!$B$16:$C$104,2,0)</f>
        <v>0</v>
      </c>
      <c r="CA89" s="9">
        <f>VLOOKUP(C89,Радар!$B$16:$G$104,2,0)</f>
        <v>2</v>
      </c>
      <c r="CB89" s="9">
        <f>SUMPRODUCT(BJ89:BZ89,$BJ$5:$BZ$5)</f>
        <v>0.5</v>
      </c>
    </row>
    <row r="90" ht="15.75" spans="1:80">
      <c r="A90" s="6" t="s">
        <v>74</v>
      </c>
      <c r="B90" s="137">
        <f t="shared" si="13"/>
        <v>80</v>
      </c>
      <c r="C90" s="3" t="s">
        <v>128</v>
      </c>
      <c r="D90" s="133" t="str">
        <f>VLOOKUP($C90,Штаб!$B$16:$J$104,6,0)</f>
        <v>✔️</v>
      </c>
      <c r="E90" s="134" t="str">
        <f>VLOOKUP($C90,Штаб!$B$16:$J$104,7,0)</f>
        <v/>
      </c>
      <c r="F90" s="134" t="str">
        <f>VLOOKUP($C90,Штаб!$B$16:$J$104,8,0)</f>
        <v/>
      </c>
      <c r="G90" s="135" t="str">
        <f>VLOOKUP($C90,Штаб!$B$16:$J$104,9,0)</f>
        <v/>
      </c>
      <c r="H90" s="138" t="str">
        <f>VLOOKUP(C90,'РО - регионы'!$B$16:$I$104,8,0)</f>
        <v>0 / 1 / 4 из 5</v>
      </c>
      <c r="I90" s="169"/>
      <c r="J90" s="137"/>
      <c r="K90" s="170"/>
      <c r="L90" s="170"/>
      <c r="M90" s="171"/>
      <c r="N90" s="172">
        <f>VLOOKUP(C90,Спецтехника!$B$16:$J$104,4,0)</f>
        <v>151</v>
      </c>
      <c r="O90" s="173">
        <f>VLOOKUP(C90,Спецтехника!$B$16:$J$104,5,0)</f>
        <v>140</v>
      </c>
      <c r="P90" s="173">
        <f>VLOOKUP(C90,Спецтехника!$B$16:$J$104,6,0)</f>
        <v>11</v>
      </c>
      <c r="Q90" s="196">
        <f>VLOOKUP(C90,Спецтехника!$B$16:$J$104,7,0)</f>
        <v>0.0728476821192053</v>
      </c>
      <c r="R90" s="197"/>
      <c r="S90" s="137"/>
      <c r="T90" s="170"/>
      <c r="U90" s="170"/>
      <c r="V90" s="171"/>
      <c r="W90" s="172">
        <f>VLOOKUP($C90,МНО!$B$16:$AB$104,16,0)</f>
        <v>10527</v>
      </c>
      <c r="X90" s="173">
        <f>VLOOKUP($C90,МНО!$B$16:$AB$104,8,0)</f>
        <v>10477</v>
      </c>
      <c r="Y90" s="173">
        <f>VLOOKUP($C90,МНО!$B$16:$AB$104,11,0)</f>
        <v>50</v>
      </c>
      <c r="Z90" s="216">
        <f>VLOOKUP($C90,МНО!$B$16:$AB$104,17,0)</f>
        <v>0.00474969127006745</v>
      </c>
      <c r="AA90" s="213"/>
      <c r="AB90" s="214">
        <f>VLOOKUP($C90,МНО!$B$16:$AB$104,13,0)</f>
        <v>7.91195635676537</v>
      </c>
      <c r="AC90" s="215">
        <f>VLOOKUP($C90,МНО!$B$16:$AB$104,18,0)</f>
        <v>0.832763691280502</v>
      </c>
      <c r="AD90" s="172">
        <f>VLOOKUP($C90,Контейнеры!$B$16:$AB$104,16,0)</f>
        <v>15247</v>
      </c>
      <c r="AE90" s="173">
        <f>VLOOKUP($C90,Контейнеры!$B$16:$AB$104,8,0)</f>
        <v>15166</v>
      </c>
      <c r="AF90" s="173">
        <f>VLOOKUP($C90,Контейнеры!$B$16:$AB$104,11,0)</f>
        <v>81</v>
      </c>
      <c r="AG90" s="216">
        <f>VLOOKUP($C90,Контейнеры!$B$16:$AB$104,17,0)</f>
        <v>0.00531252049583525</v>
      </c>
      <c r="AH90" s="213"/>
      <c r="AI90" s="214">
        <f>VLOOKUP($C90,Контейнеры!$B$16:$AB$104,13,0)</f>
        <v>12.9316445852682</v>
      </c>
      <c r="AJ90" s="215">
        <f>VLOOKUP($C90,Контейнеры!$B$16:$AB$104,18,0)</f>
        <v>0.785111559766009</v>
      </c>
      <c r="AK90" s="231"/>
      <c r="AL90" s="170"/>
      <c r="AM90" s="170"/>
      <c r="AN90" s="232"/>
      <c r="AO90" s="257">
        <f>VLOOKUP($C90,Обработка!$B$16:$L$104,6,0)</f>
        <v>0.863</v>
      </c>
      <c r="AP90" s="250">
        <f t="shared" si="14"/>
        <v>0.32</v>
      </c>
      <c r="AQ90" s="259">
        <f>VLOOKUP($C90,Обработка!$B$16:$L$104,7,0)</f>
        <v>0.6</v>
      </c>
      <c r="AR90" s="262">
        <f t="shared" si="15"/>
        <v>-0.207</v>
      </c>
      <c r="AS90" s="253">
        <f>VLOOKUP($C90,Утилизация!$B$16:$L$104,6,0)</f>
        <v>0.342</v>
      </c>
      <c r="AT90" s="251">
        <f t="shared" si="16"/>
        <v>0.203</v>
      </c>
      <c r="AU90" s="251">
        <f>VLOOKUP($C90,Утилизация!$B$16:$L$104,7,0)</f>
        <v>0.1</v>
      </c>
      <c r="AV90" s="254">
        <f t="shared" si="17"/>
        <v>-0.186</v>
      </c>
      <c r="AW90" s="283" t="str">
        <f>VLOOKUP(C90,Захоронение!$B$16:$Q$104,16,0)</f>
        <v>перегруз</v>
      </c>
      <c r="AX90" s="231"/>
      <c r="AY90" s="170"/>
      <c r="AZ90" s="170"/>
      <c r="BA90" s="171"/>
      <c r="BB90" s="280" t="str">
        <f>VLOOKUP(C90,'ДК ИП'!$B$16:$S$104,5,0)</f>
        <v>существенное</v>
      </c>
      <c r="BC90" s="281">
        <f>VLOOKUP(C90,Радар!$B$16:$G$104,6,0)</f>
        <v>0.0912360523950743</v>
      </c>
      <c r="BD90" s="171"/>
      <c r="BF90" s="291">
        <f t="shared" si="18"/>
        <v>0.916666666666667</v>
      </c>
      <c r="BI90" s="9">
        <f t="shared" si="19"/>
        <v>1</v>
      </c>
      <c r="BJ90" s="9">
        <f>VLOOKUP(C90,Штаб!$B$16:$C$104,2)</f>
        <v>0</v>
      </c>
      <c r="BK90" s="9">
        <f>VLOOKUP(C90,'РО - регионы'!$B$16:$C$104,2)</f>
        <v>1</v>
      </c>
      <c r="BL90" s="9">
        <f>VLOOKUP(C90,'РО - регионы'!$B$16:$L$104,11)</f>
        <v>2</v>
      </c>
      <c r="BM90" s="9">
        <f>VLOOKUP(C90,Спецтехника!$B$16:$C$104,2)</f>
        <v>0</v>
      </c>
      <c r="BN90" s="9">
        <f>VLOOKUP($C90,МНО!$B$16:$AB$104,6,0)</f>
        <v>0</v>
      </c>
      <c r="BO90" s="9">
        <f>VLOOKUP($C90,МНО!$B$16:$AB$104,4,0)</f>
        <v>0</v>
      </c>
      <c r="BP90" s="9">
        <f>VLOOKUP($C90,МНО!$B$16:$AB$104,5,0)</f>
        <v>1</v>
      </c>
      <c r="BQ90" s="9">
        <f>VLOOKUP($C90,Контейнеры!$B$16:$G$104,6,0)</f>
        <v>0</v>
      </c>
      <c r="BR90" s="9">
        <f>VLOOKUP($C90,Контейнеры!$B$16:$G$104,4,0)</f>
        <v>0</v>
      </c>
      <c r="BS90" s="9">
        <f>VLOOKUP($C90,Контейнеры!$B$16:$G$104,5,0)</f>
        <v>2</v>
      </c>
      <c r="BT90" s="9">
        <f>VLOOKUP($C90,'ДК МНО'!$B$16:$C$104,2,0)</f>
        <v>2</v>
      </c>
      <c r="BU90" s="9">
        <f>VLOOKUP($C90,Обработка!$B$16:$F$104,5,0)</f>
        <v>1</v>
      </c>
      <c r="BV90" s="9">
        <f>VLOOKUP($C90,Обработка!$B$16:$F$104,4,0)</f>
        <v>0</v>
      </c>
      <c r="BW90" s="9">
        <f>VLOOKUP($C90,Утилизация!$B$16:$F$104,5,0)</f>
        <v>2</v>
      </c>
      <c r="BX90" s="9">
        <f>VLOOKUP($C90,Утилизация!$B$16:$F$104,4,0)</f>
        <v>2</v>
      </c>
      <c r="BY90" s="9">
        <f>VLOOKUP($C90,Захоронение!$B$16:$C$104,2,0)</f>
        <v>1</v>
      </c>
      <c r="BZ90" s="9">
        <f>VLOOKUP($C90,'ДК ИП'!$B$16:$C$104,2,0)</f>
        <v>2</v>
      </c>
      <c r="CA90" s="9">
        <f>VLOOKUP(C90,Радар!$B$16:$G$104,2,0)</f>
        <v>2</v>
      </c>
      <c r="CB90" s="9">
        <f>SUMPRODUCT(BJ90:BZ90,$BJ$5:$BZ$5)</f>
        <v>0.9</v>
      </c>
    </row>
    <row r="91" ht="15.75" spans="1:80">
      <c r="A91" s="6" t="s">
        <v>129</v>
      </c>
      <c r="B91" s="131">
        <f t="shared" si="13"/>
        <v>81</v>
      </c>
      <c r="C91" s="3" t="s">
        <v>145</v>
      </c>
      <c r="D91" s="133" t="str">
        <f>VLOOKUP($C91,Штаб!$B$16:$J$104,6,0)</f>
        <v/>
      </c>
      <c r="E91" s="134" t="str">
        <f>VLOOKUP($C91,Штаб!$B$16:$J$104,7,0)</f>
        <v/>
      </c>
      <c r="F91" s="134" t="str">
        <f>VLOOKUP($C91,Штаб!$B$16:$J$104,8,0)</f>
        <v>✔️</v>
      </c>
      <c r="G91" s="135" t="str">
        <f>VLOOKUP($C91,Штаб!$B$16:$J$104,9,0)</f>
        <v/>
      </c>
      <c r="H91" s="138" t="str">
        <f>VLOOKUP(C91,'РО - регионы'!$B$16:$I$104,8,0)</f>
        <v>0 / 1 / 2 из 3</v>
      </c>
      <c r="I91" s="169"/>
      <c r="J91" s="137"/>
      <c r="K91" s="170"/>
      <c r="L91" s="170"/>
      <c r="M91" s="171"/>
      <c r="N91" s="176">
        <f>VLOOKUP(C91,Спецтехника!$B$16:$J$104,4,0)</f>
        <v>299</v>
      </c>
      <c r="O91" s="177">
        <f>VLOOKUP(C91,Спецтехника!$B$16:$J$104,5,0)</f>
        <v>142</v>
      </c>
      <c r="P91" s="177">
        <f>VLOOKUP(C91,Спецтехника!$B$16:$J$104,6,0)</f>
        <v>157</v>
      </c>
      <c r="Q91" s="199">
        <f>VLOOKUP(C91,Спецтехника!$B$16:$J$104,7,0)</f>
        <v>0.525083612040134</v>
      </c>
      <c r="R91" s="197"/>
      <c r="S91" s="137"/>
      <c r="T91" s="170"/>
      <c r="U91" s="170"/>
      <c r="V91" s="171"/>
      <c r="W91" s="172">
        <f>VLOOKUP($C91,МНО!$B$16:$AB$104,16,0)</f>
        <v>28498</v>
      </c>
      <c r="X91" s="173">
        <f>VLOOKUP($C91,МНО!$B$16:$AB$104,8,0)</f>
        <v>24620</v>
      </c>
      <c r="Y91" s="173">
        <f>VLOOKUP($C91,МНО!$B$16:$AB$104,11,0)</f>
        <v>3878</v>
      </c>
      <c r="Z91" s="216">
        <f>VLOOKUP($C91,МНО!$B$16:$AB$104,17,0)</f>
        <v>0.136079724892975</v>
      </c>
      <c r="AA91" s="213"/>
      <c r="AB91" s="214">
        <f>VLOOKUP($C91,МНО!$B$16:$AB$104,13,0)</f>
        <v>7.93032331558869</v>
      </c>
      <c r="AC91" s="215">
        <f>VLOOKUP($C91,МНО!$B$16:$AB$104,18,0)</f>
        <v>0.302937087029814</v>
      </c>
      <c r="AD91" s="174">
        <f>VLOOKUP($C91,Контейнеры!$B$16:$AB$104,16,0)</f>
        <v>31966</v>
      </c>
      <c r="AE91" s="175">
        <f>VLOOKUP($C91,Контейнеры!$B$16:$AB$104,8,0)</f>
        <v>26988</v>
      </c>
      <c r="AF91" s="175">
        <f>VLOOKUP($C91,Контейнеры!$B$16:$AB$104,11,0)</f>
        <v>4978</v>
      </c>
      <c r="AG91" s="212">
        <f>VLOOKUP($C91,Контейнеры!$B$16:$AB$104,17,0)</f>
        <v>0.155727960958518</v>
      </c>
      <c r="AH91" s="213"/>
      <c r="AI91" s="214">
        <f>VLOOKUP($C91,Контейнеры!$B$16:$AB$104,13,0)</f>
        <v>21.1151899803776</v>
      </c>
      <c r="AJ91" s="215">
        <f>VLOOKUP($C91,Контейнеры!$B$16:$AB$104,18,0)</f>
        <v>1</v>
      </c>
      <c r="AK91" s="231"/>
      <c r="AL91" s="170"/>
      <c r="AM91" s="170"/>
      <c r="AN91" s="232"/>
      <c r="AO91" s="249">
        <f>VLOOKUP($C91,Обработка!$B$16:$L$104,6,0)</f>
        <v>0.259</v>
      </c>
      <c r="AP91" s="251">
        <f t="shared" si="14"/>
        <v>-0.284</v>
      </c>
      <c r="AQ91" s="259">
        <f>VLOOKUP($C91,Обработка!$B$16:$L$104,7,0)</f>
        <v>0.731</v>
      </c>
      <c r="AR91" s="262">
        <f t="shared" si="15"/>
        <v>-0.0760000000000001</v>
      </c>
      <c r="AS91" s="258">
        <f>VLOOKUP($C91,Утилизация!$B$16:$L$104,6,0)</f>
        <v>0.117</v>
      </c>
      <c r="AT91" s="259">
        <f t="shared" si="16"/>
        <v>-0.022</v>
      </c>
      <c r="AU91" s="250">
        <f>VLOOKUP($C91,Утилизация!$B$16:$L$104,7,0)</f>
        <v>0.296</v>
      </c>
      <c r="AV91" s="256">
        <f t="shared" si="17"/>
        <v>0.0100000000000001</v>
      </c>
      <c r="AW91" s="279" t="str">
        <f>VLOOKUP(C91,Захоронение!$B$16:$Q$104,16,0)</f>
        <v>белые пятна</v>
      </c>
      <c r="AX91" s="231"/>
      <c r="AY91" s="170"/>
      <c r="AZ91" s="170"/>
      <c r="BA91" s="171"/>
      <c r="BB91" s="280" t="str">
        <f>VLOOKUP(C91,'ДК ИП'!$B$16:$S$104,5,0)</f>
        <v>небольшое</v>
      </c>
      <c r="BC91" s="285">
        <f>VLOOKUP(C91,Радар!$B$16:$G$104,6,0)</f>
        <v>0.0492906835913661</v>
      </c>
      <c r="BD91" s="171"/>
      <c r="BF91" s="290">
        <f t="shared" si="18"/>
        <v>1</v>
      </c>
      <c r="BI91" s="9">
        <f t="shared" si="19"/>
        <v>1</v>
      </c>
      <c r="BJ91" s="9">
        <f>VLOOKUP(C91,Штаб!$B$16:$C$104,2)</f>
        <v>1</v>
      </c>
      <c r="BK91" s="9">
        <f>VLOOKUP(C91,'РО - регионы'!$B$16:$C$104,2)</f>
        <v>1</v>
      </c>
      <c r="BL91" s="9">
        <f>VLOOKUP(C91,'РО - регионы'!$B$16:$L$104,11)</f>
        <v>0</v>
      </c>
      <c r="BM91" s="9">
        <f>VLOOKUP(C91,Спецтехника!$B$16:$C$104,2)</f>
        <v>2</v>
      </c>
      <c r="BN91" s="9">
        <f>VLOOKUP($C91,МНО!$B$16:$AB$104,6,0)</f>
        <v>0</v>
      </c>
      <c r="BO91" s="9">
        <f>VLOOKUP($C91,МНО!$B$16:$AB$104,4,0)</f>
        <v>0</v>
      </c>
      <c r="BP91" s="9">
        <f>VLOOKUP($C91,МНО!$B$16:$AB$104,5,0)</f>
        <v>2</v>
      </c>
      <c r="BQ91" s="9">
        <f>VLOOKUP($C91,Контейнеры!$B$16:$G$104,6,0)</f>
        <v>1</v>
      </c>
      <c r="BR91" s="9">
        <f>VLOOKUP($C91,Контейнеры!$B$16:$G$104,4,0)</f>
        <v>2</v>
      </c>
      <c r="BS91" s="9">
        <f>VLOOKUP($C91,Контейнеры!$B$16:$G$104,5,0)</f>
        <v>0</v>
      </c>
      <c r="BT91" s="9">
        <f>VLOOKUP($C91,'ДК МНО'!$B$16:$C$104,2,0)</f>
        <v>2</v>
      </c>
      <c r="BU91" s="9">
        <f>VLOOKUP($C91,Обработка!$B$16:$F$104,5,0)</f>
        <v>1</v>
      </c>
      <c r="BV91" s="9">
        <f>VLOOKUP($C91,Обработка!$B$16:$F$104,4,0)</f>
        <v>2</v>
      </c>
      <c r="BW91" s="9">
        <f>VLOOKUP($C91,Утилизация!$B$16:$F$104,5,0)</f>
        <v>0</v>
      </c>
      <c r="BX91" s="9">
        <f>VLOOKUP($C91,Утилизация!$B$16:$F$104,4,0)</f>
        <v>1</v>
      </c>
      <c r="BY91" s="9">
        <f>VLOOKUP($C91,Захоронение!$B$16:$C$104,2,0)</f>
        <v>2</v>
      </c>
      <c r="BZ91" s="9">
        <f>VLOOKUP($C91,'ДК ИП'!$B$16:$C$104,2,0)</f>
        <v>0</v>
      </c>
      <c r="CA91" s="9">
        <f>VLOOKUP(C91,Радар!$B$16:$G$104,2,0)</f>
        <v>0</v>
      </c>
      <c r="CB91" s="9">
        <f>SUMPRODUCT(BJ91:BZ91,$BJ$5:$BZ$5)</f>
        <v>1.15</v>
      </c>
    </row>
    <row r="92" ht="15.75" spans="1:80">
      <c r="A92" s="6" t="s">
        <v>78</v>
      </c>
      <c r="B92" s="137">
        <f t="shared" si="13"/>
        <v>82</v>
      </c>
      <c r="C92" s="3" t="s">
        <v>84</v>
      </c>
      <c r="D92" s="133" t="str">
        <f>VLOOKUP($C92,Штаб!$B$16:$J$104,6,0)</f>
        <v>✔️</v>
      </c>
      <c r="E92" s="134" t="str">
        <f>VLOOKUP($C92,Штаб!$B$16:$J$104,7,0)</f>
        <v/>
      </c>
      <c r="F92" s="134" t="str">
        <f>VLOOKUP($C92,Штаб!$B$16:$J$104,8,0)</f>
        <v/>
      </c>
      <c r="G92" s="135" t="str">
        <f>VLOOKUP($C92,Штаб!$B$16:$J$104,9,0)</f>
        <v/>
      </c>
      <c r="H92" s="139" t="str">
        <f>VLOOKUP(C92,'РО - регионы'!$B$16:$I$104,8,0)</f>
        <v>0 / 0 / 2 из 2</v>
      </c>
      <c r="I92" s="169"/>
      <c r="J92" s="137"/>
      <c r="K92" s="170"/>
      <c r="L92" s="170"/>
      <c r="M92" s="171"/>
      <c r="N92" s="172">
        <f>VLOOKUP(C92,Спецтехника!$B$16:$J$104,4,0)</f>
        <v>328</v>
      </c>
      <c r="O92" s="173">
        <f>VLOOKUP(C92,Спецтехника!$B$16:$J$104,5,0)</f>
        <v>309</v>
      </c>
      <c r="P92" s="173">
        <f>VLOOKUP(C92,Спецтехника!$B$16:$J$104,6,0)</f>
        <v>19</v>
      </c>
      <c r="Q92" s="196">
        <f>VLOOKUP(C92,Спецтехника!$B$16:$J$104,7,0)</f>
        <v>0.0579268292682927</v>
      </c>
      <c r="R92" s="197"/>
      <c r="S92" s="137"/>
      <c r="T92" s="170"/>
      <c r="U92" s="170"/>
      <c r="V92" s="171"/>
      <c r="W92" s="172">
        <f>VLOOKUP($C92,МНО!$B$16:$AB$104,16,0)</f>
        <v>17867</v>
      </c>
      <c r="X92" s="173">
        <f>VLOOKUP($C92,МНО!$B$16:$AB$104,8,0)</f>
        <v>17823</v>
      </c>
      <c r="Y92" s="173">
        <f>VLOOKUP($C92,МНО!$B$16:$AB$104,11,0)</f>
        <v>44</v>
      </c>
      <c r="Z92" s="216">
        <f>VLOOKUP($C92,МНО!$B$16:$AB$104,17,0)</f>
        <v>0.00246264062237645</v>
      </c>
      <c r="AA92" s="213"/>
      <c r="AB92" s="214">
        <f>VLOOKUP($C92,МНО!$B$16:$AB$104,13,0)</f>
        <v>9.64597876759279</v>
      </c>
      <c r="AC92" s="215">
        <f>VLOOKUP($C92,МНО!$B$16:$AB$104,18,0)</f>
        <v>1</v>
      </c>
      <c r="AD92" s="172">
        <f>VLOOKUP($C92,Контейнеры!$B$16:$AB$104,16,0)</f>
        <v>45503</v>
      </c>
      <c r="AE92" s="173">
        <f>VLOOKUP($C92,Контейнеры!$B$16:$AB$104,8,0)</f>
        <v>39609</v>
      </c>
      <c r="AF92" s="173">
        <f>VLOOKUP($C92,Контейнеры!$B$16:$AB$104,11,0)</f>
        <v>5894</v>
      </c>
      <c r="AG92" s="216">
        <f>VLOOKUP($C92,Контейнеры!$B$16:$AB$104,17,0)</f>
        <v>0.129529921104103</v>
      </c>
      <c r="AH92" s="213"/>
      <c r="AI92" s="214">
        <f>VLOOKUP($C92,Контейнеры!$B$16:$AB$104,13,0)</f>
        <v>22.5129675921032</v>
      </c>
      <c r="AJ92" s="215">
        <f>VLOOKUP($C92,Контейнеры!$B$16:$AB$104,18,0)</f>
        <v>0.970761237194255</v>
      </c>
      <c r="AK92" s="231"/>
      <c r="AL92" s="170"/>
      <c r="AM92" s="170"/>
      <c r="AN92" s="232"/>
      <c r="AO92" s="261">
        <f>VLOOKUP($C92,Обработка!$B$16:$L$104,6,0)</f>
        <v>0.323</v>
      </c>
      <c r="AP92" s="250">
        <f t="shared" si="14"/>
        <v>-0.22</v>
      </c>
      <c r="AQ92" s="259">
        <f>VLOOKUP($C92,Обработка!$B$16:$L$104,7,0)</f>
        <v>0.406</v>
      </c>
      <c r="AR92" s="262">
        <f t="shared" si="15"/>
        <v>-0.401</v>
      </c>
      <c r="AS92" s="253">
        <f>VLOOKUP($C92,Утилизация!$B$16:$L$104,6,0)</f>
        <v>0.017</v>
      </c>
      <c r="AT92" s="251">
        <f t="shared" si="16"/>
        <v>-0.122</v>
      </c>
      <c r="AU92" s="251">
        <f>VLOOKUP($C92,Утилизация!$B$16:$L$104,7,0)</f>
        <v>0.091</v>
      </c>
      <c r="AV92" s="254">
        <f t="shared" si="17"/>
        <v>-0.195</v>
      </c>
      <c r="AW92" s="284" t="str">
        <f>VLOOKUP(C92,Захоронение!$B$16:$Q$104,16,0)</f>
        <v/>
      </c>
      <c r="AX92" s="231"/>
      <c r="AY92" s="170"/>
      <c r="AZ92" s="170"/>
      <c r="BA92" s="171"/>
      <c r="BB92" s="280" t="str">
        <f>VLOOKUP(C92,'ДК ИП'!$B$16:$S$104,5,0)</f>
        <v>небольшое</v>
      </c>
      <c r="BC92" s="285">
        <f>VLOOKUP(C92,Радар!$B$16:$G$104,6,0)</f>
        <v>0.00625218115865421</v>
      </c>
      <c r="BD92" s="171"/>
      <c r="BF92" s="291">
        <f t="shared" si="18"/>
        <v>0.5</v>
      </c>
      <c r="BI92" s="9">
        <f t="shared" si="19"/>
        <v>0</v>
      </c>
      <c r="BJ92" s="9">
        <f>VLOOKUP(C92,Штаб!$B$16:$C$104,2)</f>
        <v>0</v>
      </c>
      <c r="BK92" s="9">
        <f>VLOOKUP(C92,'РО - регионы'!$B$16:$C$104,2)</f>
        <v>0</v>
      </c>
      <c r="BL92" s="9">
        <f>VLOOKUP(C92,'РО - регионы'!$B$16:$L$104,11)</f>
        <v>0</v>
      </c>
      <c r="BM92" s="9">
        <f>VLOOKUP(C92,Спецтехника!$B$16:$C$104,2)</f>
        <v>0</v>
      </c>
      <c r="BN92" s="9">
        <f>VLOOKUP($C92,МНО!$B$16:$AB$104,6,0)</f>
        <v>0</v>
      </c>
      <c r="BO92" s="9">
        <f>VLOOKUP($C92,МНО!$B$16:$AB$104,4,0)</f>
        <v>0</v>
      </c>
      <c r="BP92" s="9">
        <f>VLOOKUP($C92,МНО!$B$16:$AB$104,5,0)</f>
        <v>0</v>
      </c>
      <c r="BQ92" s="9">
        <f>VLOOKUP($C92,Контейнеры!$B$16:$G$104,6,0)</f>
        <v>0</v>
      </c>
      <c r="BR92" s="9">
        <f>VLOOKUP($C92,Контейнеры!$B$16:$G$104,4,0)</f>
        <v>0</v>
      </c>
      <c r="BS92" s="9">
        <f>VLOOKUP($C92,Контейнеры!$B$16:$G$104,5,0)</f>
        <v>0</v>
      </c>
      <c r="BT92" s="9">
        <f>VLOOKUP($C92,'ДК МНО'!$B$16:$C$104,2,0)</f>
        <v>2</v>
      </c>
      <c r="BU92" s="9">
        <f>VLOOKUP($C92,Обработка!$B$16:$F$104,5,0)</f>
        <v>1</v>
      </c>
      <c r="BV92" s="9">
        <f>VLOOKUP($C92,Обработка!$B$16:$F$104,4,0)</f>
        <v>1</v>
      </c>
      <c r="BW92" s="9">
        <f>VLOOKUP($C92,Утилизация!$B$16:$F$104,5,0)</f>
        <v>2</v>
      </c>
      <c r="BX92" s="9">
        <f>VLOOKUP($C92,Утилизация!$B$16:$F$104,4,0)</f>
        <v>2</v>
      </c>
      <c r="BY92" s="9">
        <f>VLOOKUP($C92,Захоронение!$B$16:$C$104,2,0)</f>
        <v>0</v>
      </c>
      <c r="BZ92" s="9">
        <f>VLOOKUP($C92,'ДК ИП'!$B$16:$C$104,2,0)</f>
        <v>0</v>
      </c>
      <c r="CA92" s="9">
        <f>VLOOKUP(C92,Радар!$B$16:$G$104,2,0)</f>
        <v>0</v>
      </c>
      <c r="CB92" s="9">
        <f>SUMPRODUCT(BJ92:BZ92,$BJ$5:$BZ$5)</f>
        <v>0.3</v>
      </c>
    </row>
    <row r="93" ht="15.75" spans="2:80">
      <c r="B93" s="131">
        <f t="shared" si="13"/>
        <v>83</v>
      </c>
      <c r="C93" s="3" t="s">
        <v>163</v>
      </c>
      <c r="D93" s="133" t="str">
        <f>VLOOKUP($C93,Штаб!$B$16:$J$104,6,0)</f>
        <v/>
      </c>
      <c r="E93" s="134" t="str">
        <f>VLOOKUP($C93,Штаб!$B$16:$J$104,7,0)</f>
        <v/>
      </c>
      <c r="F93" s="134" t="str">
        <f>VLOOKUP($C93,Штаб!$B$16:$J$104,8,0)</f>
        <v/>
      </c>
      <c r="G93" s="135" t="str">
        <f>VLOOKUP($C93,Штаб!$B$16:$J$104,9,0)</f>
        <v>✔️</v>
      </c>
      <c r="H93" s="138" t="str">
        <f>VLOOKUP(C93,'РО - регионы'!$B$16:$I$104,8,0)</f>
        <v>0 / 1 / 0 из 1</v>
      </c>
      <c r="I93" s="169"/>
      <c r="J93" s="137"/>
      <c r="K93" s="170"/>
      <c r="L93" s="170"/>
      <c r="M93" s="171"/>
      <c r="N93" s="174">
        <f>VLOOKUP(C93,Спецтехника!$B$16:$J$104,4,0)</f>
        <v>50</v>
      </c>
      <c r="O93" s="175">
        <f>VLOOKUP(C93,Спецтехника!$B$16:$J$104,5,0)</f>
        <v>42</v>
      </c>
      <c r="P93" s="175">
        <f>VLOOKUP(C93,Спецтехника!$B$16:$J$104,6,0)</f>
        <v>8</v>
      </c>
      <c r="Q93" s="198">
        <f>VLOOKUP(C93,Спецтехника!$B$16:$J$104,7,0)</f>
        <v>0.16</v>
      </c>
      <c r="R93" s="197"/>
      <c r="S93" s="137"/>
      <c r="T93" s="170"/>
      <c r="U93" s="170"/>
      <c r="V93" s="171"/>
      <c r="W93" s="172">
        <f>VLOOKUP($C93,МНО!$B$16:$AB$104,16,0)</f>
        <v>0</v>
      </c>
      <c r="X93" s="173">
        <f>VLOOKUP($C93,МНО!$B$16:$AB$104,8,0)</f>
        <v>0</v>
      </c>
      <c r="Y93" s="173">
        <f>VLOOKUP($C93,МНО!$B$16:$AB$104,11,0)</f>
        <v>0</v>
      </c>
      <c r="Z93" s="216">
        <f>VLOOKUP($C93,МНО!$B$16:$AB$104,17,0)</f>
        <v>0</v>
      </c>
      <c r="AA93" s="213"/>
      <c r="AB93" s="214"/>
      <c r="AC93" s="215"/>
      <c r="AD93" s="172">
        <f>VLOOKUP($C93,Контейнеры!$B$16:$AB$104,16,0)</f>
        <v>0</v>
      </c>
      <c r="AE93" s="173">
        <f>VLOOKUP($C93,Контейнеры!$B$16:$AB$104,8,0)</f>
        <v>0</v>
      </c>
      <c r="AF93" s="173">
        <f>VLOOKUP($C93,Контейнеры!$B$16:$AB$104,11,0)</f>
        <v>0</v>
      </c>
      <c r="AG93" s="216">
        <f>VLOOKUP($C93,Контейнеры!$B$16:$AB$104,17,0)</f>
        <v>0</v>
      </c>
      <c r="AH93" s="213"/>
      <c r="AI93" s="214"/>
      <c r="AJ93" s="215"/>
      <c r="AK93" s="231"/>
      <c r="AL93" s="170"/>
      <c r="AM93" s="170"/>
      <c r="AN93" s="232"/>
      <c r="AO93" s="257">
        <f>VLOOKUP($C93,Обработка!$B$16:$L$104,6,0)</f>
        <v>0</v>
      </c>
      <c r="AP93" s="250">
        <f t="shared" si="14"/>
        <v>-0.543</v>
      </c>
      <c r="AQ93" s="250">
        <f>VLOOKUP($C93,Обработка!$B$16:$L$104,7,0)</f>
        <v>0</v>
      </c>
      <c r="AR93" s="255">
        <f t="shared" si="15"/>
        <v>-0.807</v>
      </c>
      <c r="AS93" s="263">
        <f>VLOOKUP($C93,Утилизация!$B$16:$L$104,6,0)</f>
        <v>0</v>
      </c>
      <c r="AT93" s="250">
        <f t="shared" si="16"/>
        <v>-0.139</v>
      </c>
      <c r="AU93" s="250">
        <f>VLOOKUP($C93,Утилизация!$B$16:$L$104,7,0)</f>
        <v>0</v>
      </c>
      <c r="AV93" s="256">
        <f t="shared" si="17"/>
        <v>-0.286</v>
      </c>
      <c r="AW93" s="284"/>
      <c r="AX93" s="231"/>
      <c r="AY93" s="170"/>
      <c r="AZ93" s="170"/>
      <c r="BA93" s="171"/>
      <c r="BB93" s="280" t="str">
        <f>VLOOKUP(C93,'ДК ИП'!$B$16:$S$104,5,0)</f>
        <v>не подписана</v>
      </c>
      <c r="BC93" s="281" t="str">
        <f>VLOOKUP(C93,Радар!$B$16:$G$104,6,0)</f>
        <v/>
      </c>
      <c r="BD93" s="171"/>
      <c r="BF93" s="292">
        <f t="shared" si="18"/>
        <v>0</v>
      </c>
      <c r="BI93" s="9">
        <f t="shared" si="19"/>
        <v>0</v>
      </c>
      <c r="BJ93" s="9">
        <f>VLOOKUP(C93,Штаб!$B$16:$C$104,2)</f>
        <v>2</v>
      </c>
      <c r="BK93" s="9">
        <f>VLOOKUP(C93,'РО - регионы'!$B$16:$C$104,2)</f>
        <v>1</v>
      </c>
      <c r="BL93" s="9">
        <f>VLOOKUP(C93,'РО - регионы'!$B$16:$L$104,11)</f>
        <v>2</v>
      </c>
      <c r="BM93" s="9">
        <f>VLOOKUP(C93,Спецтехника!$B$16:$C$104,2)</f>
        <v>1</v>
      </c>
      <c r="BN93" s="9">
        <f>VLOOKUP($C93,МНО!$B$16:$AB$104,6,0)</f>
        <v>0</v>
      </c>
      <c r="BO93" s="9">
        <f>VLOOKUP($C93,МНО!$B$16:$AB$104,4,0)</f>
        <v>0</v>
      </c>
      <c r="BP93" s="9">
        <f>VLOOKUP($C93,МНО!$B$16:$AB$104,5,0)</f>
        <v>0</v>
      </c>
      <c r="BQ93" s="9">
        <f>VLOOKUP($C93,Контейнеры!$B$16:$G$104,6,0)</f>
        <v>0</v>
      </c>
      <c r="BR93" s="9">
        <f>VLOOKUP($C93,Контейнеры!$B$16:$G$104,4,0)</f>
        <v>0</v>
      </c>
      <c r="BS93" s="9">
        <f>VLOOKUP($C93,Контейнеры!$B$16:$G$104,5,0)</f>
        <v>0</v>
      </c>
      <c r="BT93" s="9">
        <f>VLOOKUP($C93,'ДК МНО'!$B$16:$C$104,2,0)</f>
        <v>2</v>
      </c>
      <c r="BU93" s="9">
        <f>VLOOKUP($C93,Обработка!$B$16:$F$104,5,0)</f>
        <v>0</v>
      </c>
      <c r="BV93" s="9">
        <f>VLOOKUP($C93,Обработка!$B$16:$F$104,4,0)</f>
        <v>0</v>
      </c>
      <c r="BW93" s="9">
        <f>VLOOKUP($C93,Утилизация!$B$16:$F$104,5,0)</f>
        <v>0</v>
      </c>
      <c r="BX93" s="9">
        <f>VLOOKUP($C93,Утилизация!$B$16:$F$104,4,0)</f>
        <v>0</v>
      </c>
      <c r="BY93" s="9">
        <f>VLOOKUP($C93,Захоронение!$B$16:$C$104,2,0)</f>
        <v>0</v>
      </c>
      <c r="BZ93" s="9">
        <f>VLOOKUP($C93,'ДК ИП'!$B$16:$C$104,2,0)</f>
        <v>0</v>
      </c>
      <c r="CA93" s="9">
        <f>VLOOKUP(C93,Радар!$B$16:$G$104,2,0)</f>
        <v>2</v>
      </c>
      <c r="CB93" s="9">
        <f>SUMPRODUCT(BJ93:BZ93,$BJ$5:$BZ$5)</f>
        <v>0.25</v>
      </c>
    </row>
    <row r="94" ht="15.75" spans="1:80">
      <c r="A94" s="6" t="s">
        <v>78</v>
      </c>
      <c r="B94" s="137">
        <f t="shared" si="13"/>
        <v>84</v>
      </c>
      <c r="C94" s="3" t="s">
        <v>79</v>
      </c>
      <c r="D94" s="133" t="str">
        <f>VLOOKUP($C94,Штаб!$B$16:$J$104,6,0)</f>
        <v>✔️</v>
      </c>
      <c r="E94" s="134" t="str">
        <f>VLOOKUP($C94,Штаб!$B$16:$J$104,7,0)</f>
        <v/>
      </c>
      <c r="F94" s="134" t="str">
        <f>VLOOKUP($C94,Штаб!$B$16:$J$104,8,0)</f>
        <v/>
      </c>
      <c r="G94" s="135" t="str">
        <f>VLOOKUP($C94,Штаб!$B$16:$J$104,9,0)</f>
        <v/>
      </c>
      <c r="H94" s="138" t="str">
        <f>VLOOKUP(C94,'РО - регионы'!$B$16:$I$104,8,0)</f>
        <v>0 / 2 / 3 из 5</v>
      </c>
      <c r="I94" s="169"/>
      <c r="J94" s="137"/>
      <c r="K94" s="170"/>
      <c r="L94" s="170"/>
      <c r="M94" s="171"/>
      <c r="N94" s="172">
        <f>VLOOKUP(C94,Спецтехника!$B$16:$J$104,4,0)</f>
        <v>484</v>
      </c>
      <c r="O94" s="173">
        <f>VLOOKUP(C94,Спецтехника!$B$16:$J$104,5,0)</f>
        <v>444</v>
      </c>
      <c r="P94" s="173">
        <f>VLOOKUP(C94,Спецтехника!$B$16:$J$104,6,0)</f>
        <v>40</v>
      </c>
      <c r="Q94" s="196">
        <f>VLOOKUP(C94,Спецтехника!$B$16:$J$104,7,0)</f>
        <v>0.0826446280991736</v>
      </c>
      <c r="R94" s="197"/>
      <c r="S94" s="137"/>
      <c r="T94" s="170"/>
      <c r="U94" s="170"/>
      <c r="V94" s="171"/>
      <c r="W94" s="172">
        <f>VLOOKUP($C94,МНО!$B$16:$AB$104,16,0)</f>
        <v>19616</v>
      </c>
      <c r="X94" s="173">
        <f>VLOOKUP($C94,МНО!$B$16:$AB$104,8,0)</f>
        <v>18134</v>
      </c>
      <c r="Y94" s="173">
        <f>VLOOKUP($C94,МНО!$B$16:$AB$104,11,0)</f>
        <v>1482</v>
      </c>
      <c r="Z94" s="216">
        <f>VLOOKUP($C94,МНО!$B$16:$AB$104,17,0)</f>
        <v>0.0755505709624796</v>
      </c>
      <c r="AA94" s="213"/>
      <c r="AB94" s="214">
        <f>VLOOKUP($C94,МНО!$B$16:$AB$104,13,0)</f>
        <v>5.05507100245657</v>
      </c>
      <c r="AC94" s="215">
        <f>VLOOKUP($C94,МНО!$B$16:$AB$104,18,0)</f>
        <v>0.550566232504478</v>
      </c>
      <c r="AD94" s="172">
        <f>VLOOKUP($C94,Контейнеры!$B$16:$AB$104,16,0)</f>
        <v>42325</v>
      </c>
      <c r="AE94" s="173">
        <f>VLOOKUP($C94,Контейнеры!$B$16:$AB$104,8,0)</f>
        <v>37721</v>
      </c>
      <c r="AF94" s="173">
        <f>VLOOKUP($C94,Контейнеры!$B$16:$AB$104,11,0)</f>
        <v>4604</v>
      </c>
      <c r="AG94" s="216">
        <f>VLOOKUP($C94,Контейнеры!$B$16:$AB$104,17,0)</f>
        <v>0.108777318369758</v>
      </c>
      <c r="AH94" s="213"/>
      <c r="AI94" s="214">
        <f>VLOOKUP($C94,Контейнеры!$B$16:$AB$104,13,0)</f>
        <v>11.108140119053</v>
      </c>
      <c r="AJ94" s="215">
        <f>VLOOKUP($C94,Контейнеры!$B$16:$AB$104,18,0)</f>
        <v>0.593172097119134</v>
      </c>
      <c r="AK94" s="231"/>
      <c r="AL94" s="170"/>
      <c r="AM94" s="170"/>
      <c r="AN94" s="232"/>
      <c r="AO94" s="257">
        <f>VLOOKUP($C94,Обработка!$B$16:$L$104,6,0)</f>
        <v>0.683</v>
      </c>
      <c r="AP94" s="250">
        <f t="shared" si="14"/>
        <v>0.14</v>
      </c>
      <c r="AQ94" s="250">
        <f>VLOOKUP($C94,Обработка!$B$16:$L$104,7,0)</f>
        <v>0.808</v>
      </c>
      <c r="AR94" s="255">
        <f t="shared" si="15"/>
        <v>0.00099999999999989</v>
      </c>
      <c r="AS94" s="258">
        <f>VLOOKUP($C94,Утилизация!$B$16:$L$104,6,0)</f>
        <v>0.137</v>
      </c>
      <c r="AT94" s="259">
        <f t="shared" si="16"/>
        <v>-0.00200000000000003</v>
      </c>
      <c r="AU94" s="259">
        <f>VLOOKUP($C94,Утилизация!$B$16:$L$104,7,0)</f>
        <v>0.233</v>
      </c>
      <c r="AV94" s="260">
        <f t="shared" si="17"/>
        <v>-0.053</v>
      </c>
      <c r="AW94" s="284" t="str">
        <f>VLOOKUP(C94,Захоронение!$B$16:$Q$104,16,0)</f>
        <v/>
      </c>
      <c r="AX94" s="231"/>
      <c r="AY94" s="170"/>
      <c r="AZ94" s="170"/>
      <c r="BA94" s="171"/>
      <c r="BB94" s="280" t="str">
        <f>VLOOKUP(C94,'ДК ИП'!$B$16:$S$104,5,0)</f>
        <v>небольшое</v>
      </c>
      <c r="BC94" s="285">
        <f>VLOOKUP(C94,Радар!$B$16:$G$104,6,0)</f>
        <v>0.0159020059497061</v>
      </c>
      <c r="BD94" s="171"/>
      <c r="BF94" s="292">
        <f t="shared" si="18"/>
        <v>0.166666666666667</v>
      </c>
      <c r="BI94" s="9">
        <f t="shared" si="19"/>
        <v>0</v>
      </c>
      <c r="BJ94" s="9">
        <f>VLOOKUP(C94,Штаб!$B$16:$C$104,2)</f>
        <v>0</v>
      </c>
      <c r="BK94" s="9">
        <f>VLOOKUP(C94,'РО - регионы'!$B$16:$C$104,2)</f>
        <v>1</v>
      </c>
      <c r="BL94" s="9">
        <f>VLOOKUP(C94,'РО - регионы'!$B$16:$L$104,11)</f>
        <v>2</v>
      </c>
      <c r="BM94" s="9">
        <f>VLOOKUP(C94,Спецтехника!$B$16:$C$104,2)</f>
        <v>0</v>
      </c>
      <c r="BN94" s="9">
        <f>VLOOKUP($C94,МНО!$B$16:$AB$104,6,0)</f>
        <v>0</v>
      </c>
      <c r="BO94" s="9">
        <f>VLOOKUP($C94,МНО!$B$16:$AB$104,4,0)</f>
        <v>1</v>
      </c>
      <c r="BP94" s="9">
        <f>VLOOKUP($C94,МНО!$B$16:$AB$104,5,0)</f>
        <v>2</v>
      </c>
      <c r="BQ94" s="9">
        <f>VLOOKUP($C94,Контейнеры!$B$16:$G$104,6,0)</f>
        <v>0</v>
      </c>
      <c r="BR94" s="9">
        <f>VLOOKUP($C94,Контейнеры!$B$16:$G$104,4,0)</f>
        <v>0</v>
      </c>
      <c r="BS94" s="9">
        <f>VLOOKUP($C94,Контейнеры!$B$16:$G$104,5,0)</f>
        <v>2</v>
      </c>
      <c r="BT94" s="9">
        <f>VLOOKUP($C94,'ДК МНО'!$B$16:$C$104,2,0)</f>
        <v>2</v>
      </c>
      <c r="BU94" s="9">
        <f>VLOOKUP($C94,Обработка!$B$16:$F$104,5,0)</f>
        <v>0</v>
      </c>
      <c r="BV94" s="9">
        <f>VLOOKUP($C94,Обработка!$B$16:$F$104,4,0)</f>
        <v>0</v>
      </c>
      <c r="BW94" s="9">
        <f>VLOOKUP($C94,Утилизация!$B$16:$F$104,5,0)</f>
        <v>1</v>
      </c>
      <c r="BX94" s="9">
        <f>VLOOKUP($C94,Утилизация!$B$16:$F$104,4,0)</f>
        <v>1</v>
      </c>
      <c r="BY94" s="9">
        <f>VLOOKUP($C94,Захоронение!$B$16:$C$104,2,0)</f>
        <v>0</v>
      </c>
      <c r="BZ94" s="9">
        <f>VLOOKUP($C94,'ДК ИП'!$B$16:$C$104,2,0)</f>
        <v>0</v>
      </c>
      <c r="CA94" s="9">
        <f>VLOOKUP(C94,Радар!$B$16:$G$104,2,0)</f>
        <v>0</v>
      </c>
      <c r="CB94" s="9">
        <f>SUMPRODUCT(BJ94:BZ94,$BJ$5:$BZ$5)</f>
        <v>0.35</v>
      </c>
    </row>
    <row r="95" ht="15.75" spans="1:80">
      <c r="A95" s="6" t="s">
        <v>104</v>
      </c>
      <c r="B95" s="131">
        <f t="shared" si="13"/>
        <v>85</v>
      </c>
      <c r="C95" s="3" t="s">
        <v>117</v>
      </c>
      <c r="D95" s="133" t="str">
        <f>VLOOKUP($C95,Штаб!$B$16:$J$104,6,0)</f>
        <v/>
      </c>
      <c r="E95" s="134" t="str">
        <f>VLOOKUP($C95,Штаб!$B$16:$J$104,7,0)</f>
        <v>✔️</v>
      </c>
      <c r="F95" s="134" t="str">
        <f>VLOOKUP($C95,Штаб!$B$16:$J$104,8,0)</f>
        <v/>
      </c>
      <c r="G95" s="135" t="str">
        <f>VLOOKUP($C95,Штаб!$B$16:$J$104,9,0)</f>
        <v/>
      </c>
      <c r="H95" s="138" t="str">
        <f>VLOOKUP(C95,'РО - регионы'!$B$16:$I$104,8,0)</f>
        <v>0 / 1 / 0 из 1</v>
      </c>
      <c r="I95" s="169"/>
      <c r="J95" s="137"/>
      <c r="K95" s="170"/>
      <c r="L95" s="170"/>
      <c r="M95" s="171"/>
      <c r="N95" s="172">
        <f>VLOOKUP(C95,Спецтехника!$B$16:$J$104,4,0)</f>
        <v>111</v>
      </c>
      <c r="O95" s="173">
        <f>VLOOKUP(C95,Спецтехника!$B$16:$J$104,5,0)</f>
        <v>111</v>
      </c>
      <c r="P95" s="173">
        <f>VLOOKUP(C95,Спецтехника!$B$16:$J$104,6,0)</f>
        <v>0</v>
      </c>
      <c r="Q95" s="196">
        <f>VLOOKUP(C95,Спецтехника!$B$16:$J$104,7,0)</f>
        <v>0</v>
      </c>
      <c r="R95" s="197"/>
      <c r="S95" s="137"/>
      <c r="T95" s="170"/>
      <c r="U95" s="170"/>
      <c r="V95" s="171"/>
      <c r="W95" s="176">
        <f>VLOOKUP($C95,МНО!$B$16:$AB$104,16,0)</f>
        <v>1498</v>
      </c>
      <c r="X95" s="177">
        <f>VLOOKUP($C95,МНО!$B$16:$AB$104,8,0)</f>
        <v>1498</v>
      </c>
      <c r="Y95" s="177">
        <f>VLOOKUP($C95,МНО!$B$16:$AB$104,11,0)</f>
        <v>0</v>
      </c>
      <c r="Z95" s="217">
        <f>VLOOKUP($C95,МНО!$B$16:$AB$104,17,0)</f>
        <v>0</v>
      </c>
      <c r="AA95" s="213"/>
      <c r="AB95" s="214">
        <f>VLOOKUP($C95,МНО!$B$16:$AB$104,13,0)</f>
        <v>0.957584234570143</v>
      </c>
      <c r="AC95" s="215">
        <f>VLOOKUP($C95,МНО!$B$16:$AB$104,18,0)</f>
        <v>0.863400576368876</v>
      </c>
      <c r="AD95" s="172">
        <f>VLOOKUP($C95,Контейнеры!$B$16:$AB$104,16,0)</f>
        <v>6007</v>
      </c>
      <c r="AE95" s="173">
        <f>VLOOKUP($C95,Контейнеры!$B$16:$AB$104,8,0)</f>
        <v>5807</v>
      </c>
      <c r="AF95" s="173">
        <f>VLOOKUP($C95,Контейнеры!$B$16:$AB$104,11,0)</f>
        <v>200</v>
      </c>
      <c r="AG95" s="216">
        <f>VLOOKUP($C95,Контейнеры!$B$16:$AB$104,17,0)</f>
        <v>0.0332944897619444</v>
      </c>
      <c r="AH95" s="213"/>
      <c r="AI95" s="214">
        <f>VLOOKUP($C95,Контейнеры!$B$16:$AB$104,13,0)</f>
        <v>3.73953708819692</v>
      </c>
      <c r="AJ95" s="215">
        <f>VLOOKUP($C95,Контейнеры!$B$16:$AB$104,18,0)</f>
        <v>0.735063291139241</v>
      </c>
      <c r="AK95" s="231"/>
      <c r="AL95" s="170"/>
      <c r="AM95" s="170"/>
      <c r="AN95" s="232"/>
      <c r="AO95" s="261">
        <f>VLOOKUP($C95,Обработка!$B$16:$L$104,6,0)</f>
        <v>0.514</v>
      </c>
      <c r="AP95" s="251">
        <f t="shared" si="14"/>
        <v>-0.029</v>
      </c>
      <c r="AQ95" s="259">
        <f>VLOOKUP($C95,Обработка!$B$16:$L$104,7,0)</f>
        <v>0.5</v>
      </c>
      <c r="AR95" s="262">
        <f t="shared" si="15"/>
        <v>-0.307</v>
      </c>
      <c r="AS95" s="253">
        <f>VLOOKUP($C95,Утилизация!$B$16:$L$104,6,0)</f>
        <v>0.04</v>
      </c>
      <c r="AT95" s="251">
        <f t="shared" si="16"/>
        <v>-0.099</v>
      </c>
      <c r="AU95" s="251">
        <f>VLOOKUP($C95,Утилизация!$B$16:$L$104,7,0)</f>
        <v>0.1</v>
      </c>
      <c r="AV95" s="254">
        <f t="shared" si="17"/>
        <v>-0.186</v>
      </c>
      <c r="AW95" s="284" t="str">
        <f>VLOOKUP(C95,Захоронение!$B$16:$Q$104,16,0)</f>
        <v/>
      </c>
      <c r="AX95" s="231"/>
      <c r="AY95" s="170"/>
      <c r="AZ95" s="170"/>
      <c r="BA95" s="171"/>
      <c r="BB95" s="280" t="str">
        <f>VLOOKUP(C95,'ДК ИП'!$B$16:$S$104,5,0)</f>
        <v>не подписана</v>
      </c>
      <c r="BC95" s="281">
        <f>VLOOKUP(C95,Радар!$B$16:$G$104,6,0)</f>
        <v>0.222169845949361</v>
      </c>
      <c r="BD95" s="171"/>
      <c r="BF95" s="291">
        <f t="shared" si="18"/>
        <v>0.5</v>
      </c>
      <c r="BI95" s="9">
        <f t="shared" si="19"/>
        <v>1</v>
      </c>
      <c r="BJ95" s="9">
        <f>VLOOKUP(C95,Штаб!$B$16:$C$104,2)</f>
        <v>1</v>
      </c>
      <c r="BK95" s="9">
        <f>VLOOKUP(C95,'РО - регионы'!$B$16:$C$104,2)</f>
        <v>1</v>
      </c>
      <c r="BL95" s="9">
        <f>VLOOKUP(C95,'РО - регионы'!$B$16:$L$104,11)</f>
        <v>2</v>
      </c>
      <c r="BM95" s="9">
        <f>VLOOKUP(C95,Спецтехника!$B$16:$C$104,2)</f>
        <v>0</v>
      </c>
      <c r="BN95" s="9">
        <f>VLOOKUP($C95,МНО!$B$16:$AB$104,6,0)</f>
        <v>2</v>
      </c>
      <c r="BO95" s="9">
        <f>VLOOKUP($C95,МНО!$B$16:$AB$104,4,0)</f>
        <v>2</v>
      </c>
      <c r="BP95" s="9">
        <f>VLOOKUP($C95,МНО!$B$16:$AB$104,5,0)</f>
        <v>0</v>
      </c>
      <c r="BQ95" s="9">
        <f>VLOOKUP($C95,Контейнеры!$B$16:$G$104,6,0)</f>
        <v>0</v>
      </c>
      <c r="BR95" s="9">
        <f>VLOOKUP($C95,Контейнеры!$B$16:$G$104,4,0)</f>
        <v>2</v>
      </c>
      <c r="BS95" s="9">
        <f>VLOOKUP($C95,Контейнеры!$B$16:$G$104,5,0)</f>
        <v>2</v>
      </c>
      <c r="BT95" s="9">
        <f>VLOOKUP($C95,'ДК МНО'!$B$16:$C$104,2,0)</f>
        <v>2</v>
      </c>
      <c r="BU95" s="9">
        <f>VLOOKUP($C95,Обработка!$B$16:$F$104,5,0)</f>
        <v>1</v>
      </c>
      <c r="BV95" s="9">
        <f>VLOOKUP($C95,Обработка!$B$16:$F$104,4,0)</f>
        <v>1</v>
      </c>
      <c r="BW95" s="9">
        <f>VLOOKUP($C95,Утилизация!$B$16:$F$104,5,0)</f>
        <v>2</v>
      </c>
      <c r="BX95" s="9">
        <f>VLOOKUP($C95,Утилизация!$B$16:$F$104,4,0)</f>
        <v>2</v>
      </c>
      <c r="BY95" s="9">
        <f>VLOOKUP($C95,Захоронение!$B$16:$C$104,2,0)</f>
        <v>0</v>
      </c>
      <c r="BZ95" s="9">
        <f>VLOOKUP($C95,'ДК ИП'!$B$16:$C$104,2,0)</f>
        <v>0</v>
      </c>
      <c r="CA95" s="9">
        <f>VLOOKUP(C95,Радар!$B$16:$G$104,2,0)</f>
        <v>2</v>
      </c>
      <c r="CB95" s="9">
        <f>SUMPRODUCT(BJ95:BZ95,$BJ$5:$BZ$5)</f>
        <v>0.8</v>
      </c>
    </row>
    <row r="96" ht="15.75" spans="1:80">
      <c r="A96" s="6" t="s">
        <v>74</v>
      </c>
      <c r="B96" s="137">
        <f t="shared" si="13"/>
        <v>86</v>
      </c>
      <c r="C96" s="3" t="s">
        <v>82</v>
      </c>
      <c r="D96" s="133" t="str">
        <f>VLOOKUP($C96,Штаб!$B$16:$J$104,6,0)</f>
        <v>✔️</v>
      </c>
      <c r="E96" s="134" t="str">
        <f>VLOOKUP($C96,Штаб!$B$16:$J$104,7,0)</f>
        <v/>
      </c>
      <c r="F96" s="134" t="str">
        <f>VLOOKUP($C96,Штаб!$B$16:$J$104,8,0)</f>
        <v/>
      </c>
      <c r="G96" s="135" t="str">
        <f>VLOOKUP($C96,Штаб!$B$16:$J$104,9,0)</f>
        <v/>
      </c>
      <c r="H96" s="139" t="str">
        <f>VLOOKUP(C96,'РО - регионы'!$B$16:$I$104,8,0)</f>
        <v>0 / 0 / 1 из 1</v>
      </c>
      <c r="I96" s="169"/>
      <c r="J96" s="137"/>
      <c r="K96" s="170"/>
      <c r="L96" s="170"/>
      <c r="M96" s="171"/>
      <c r="N96" s="172">
        <f>VLOOKUP(C96,Спецтехника!$B$16:$J$104,4,0)</f>
        <v>149</v>
      </c>
      <c r="O96" s="173">
        <f>VLOOKUP(C96,Спецтехника!$B$16:$J$104,5,0)</f>
        <v>149</v>
      </c>
      <c r="P96" s="173">
        <f>VLOOKUP(C96,Спецтехника!$B$16:$J$104,6,0)</f>
        <v>0</v>
      </c>
      <c r="Q96" s="196">
        <f>VLOOKUP(C96,Спецтехника!$B$16:$J$104,7,0)</f>
        <v>0</v>
      </c>
      <c r="R96" s="197"/>
      <c r="S96" s="137"/>
      <c r="T96" s="170"/>
      <c r="U96" s="170"/>
      <c r="V96" s="171"/>
      <c r="W96" s="176">
        <f>VLOOKUP($C96,МНО!$B$16:$AB$104,16,0)</f>
        <v>15394</v>
      </c>
      <c r="X96" s="177">
        <f>VLOOKUP($C96,МНО!$B$16:$AB$104,8,0)</f>
        <v>15394</v>
      </c>
      <c r="Y96" s="177">
        <f>VLOOKUP($C96,МНО!$B$16:$AB$104,11,0)</f>
        <v>0</v>
      </c>
      <c r="Z96" s="217">
        <f>VLOOKUP($C96,МНО!$B$16:$AB$104,17,0)</f>
        <v>0</v>
      </c>
      <c r="AA96" s="213"/>
      <c r="AB96" s="214">
        <f>VLOOKUP($C96,МНО!$B$16:$AB$104,13,0)</f>
        <v>12.8767905019532</v>
      </c>
      <c r="AC96" s="215">
        <f>VLOOKUP($C96,МНО!$B$16:$AB$104,18,0)</f>
        <v>1</v>
      </c>
      <c r="AD96" s="172">
        <f>VLOOKUP($C96,Контейнеры!$B$16:$AB$104,16,0)</f>
        <v>29016</v>
      </c>
      <c r="AE96" s="173">
        <f>VLOOKUP($C96,Контейнеры!$B$16:$AB$104,8,0)</f>
        <v>28065</v>
      </c>
      <c r="AF96" s="173">
        <f>VLOOKUP($C96,Контейнеры!$B$16:$AB$104,11,0)</f>
        <v>951</v>
      </c>
      <c r="AG96" s="216">
        <f>VLOOKUP($C96,Контейнеры!$B$16:$AB$104,17,0)</f>
        <v>0.0327750206782465</v>
      </c>
      <c r="AH96" s="213"/>
      <c r="AI96" s="214">
        <f>VLOOKUP($C96,Контейнеры!$B$16:$AB$104,13,0)</f>
        <v>24.0475862015782</v>
      </c>
      <c r="AJ96" s="215">
        <f>VLOOKUP($C96,Контейнеры!$B$16:$AB$104,18,0)</f>
        <v>0.949264332825977</v>
      </c>
      <c r="AK96" s="231"/>
      <c r="AL96" s="170"/>
      <c r="AM96" s="170"/>
      <c r="AN96" s="232"/>
      <c r="AO96" s="257">
        <f>VLOOKUP($C96,Обработка!$B$16:$L$104,6,0)</f>
        <v>0.67</v>
      </c>
      <c r="AP96" s="250">
        <f t="shared" si="14"/>
        <v>0.127</v>
      </c>
      <c r="AQ96" s="259">
        <f>VLOOKUP($C96,Обработка!$B$16:$L$104,7,0)</f>
        <v>0.7</v>
      </c>
      <c r="AR96" s="262">
        <f t="shared" si="15"/>
        <v>-0.107</v>
      </c>
      <c r="AS96" s="258">
        <f>VLOOKUP($C96,Утилизация!$B$16:$L$104,6,0)</f>
        <v>0.094</v>
      </c>
      <c r="AT96" s="259">
        <f t="shared" si="16"/>
        <v>-0.045</v>
      </c>
      <c r="AU96" s="251">
        <f>VLOOKUP($C96,Утилизация!$B$16:$L$104,7,0)</f>
        <v>0.047</v>
      </c>
      <c r="AV96" s="254">
        <f t="shared" si="17"/>
        <v>-0.239</v>
      </c>
      <c r="AW96" s="284" t="str">
        <f>VLOOKUP(C96,Захоронение!$B$16:$Q$104,16,0)</f>
        <v/>
      </c>
      <c r="AX96" s="231"/>
      <c r="AY96" s="170"/>
      <c r="AZ96" s="170"/>
      <c r="BA96" s="171"/>
      <c r="BB96" s="280" t="str">
        <f>VLOOKUP(C96,'ДК ИП'!$B$16:$S$104,5,0)</f>
        <v>небольшое</v>
      </c>
      <c r="BC96" s="285">
        <f>VLOOKUP(C96,Радар!$B$16:$G$104,6,0)</f>
        <v>0.000856853240747484</v>
      </c>
      <c r="BD96" s="171"/>
      <c r="BF96" s="292">
        <f t="shared" si="18"/>
        <v>0.333333333333333</v>
      </c>
      <c r="BI96" s="9">
        <f t="shared" si="19"/>
        <v>0</v>
      </c>
      <c r="BJ96" s="9">
        <f>VLOOKUP(C96,Штаб!$B$16:$C$104,2)</f>
        <v>0</v>
      </c>
      <c r="BK96" s="9">
        <f>VLOOKUP(C96,'РО - регионы'!$B$16:$C$104,2)</f>
        <v>0</v>
      </c>
      <c r="BL96" s="9">
        <f>VLOOKUP(C96,'РО - регионы'!$B$16:$L$104,11)</f>
        <v>0</v>
      </c>
      <c r="BM96" s="9">
        <f>VLOOKUP(C96,Спецтехника!$B$16:$C$104,2)</f>
        <v>0</v>
      </c>
      <c r="BN96" s="9">
        <f>VLOOKUP($C96,МНО!$B$16:$AB$104,6,0)</f>
        <v>2</v>
      </c>
      <c r="BO96" s="9">
        <f>VLOOKUP($C96,МНО!$B$16:$AB$104,4,0)</f>
        <v>0</v>
      </c>
      <c r="BP96" s="9">
        <f>VLOOKUP($C96,МНО!$B$16:$AB$104,5,0)</f>
        <v>0</v>
      </c>
      <c r="BQ96" s="9">
        <f>VLOOKUP($C96,Контейнеры!$B$16:$G$104,6,0)</f>
        <v>0</v>
      </c>
      <c r="BR96" s="9">
        <f>VLOOKUP($C96,Контейнеры!$B$16:$G$104,4,0)</f>
        <v>0</v>
      </c>
      <c r="BS96" s="9">
        <f>VLOOKUP($C96,Контейнеры!$B$16:$G$104,5,0)</f>
        <v>0</v>
      </c>
      <c r="BT96" s="9">
        <f>VLOOKUP($C96,'ДК МНО'!$B$16:$C$104,2,0)</f>
        <v>2</v>
      </c>
      <c r="BU96" s="9">
        <f>VLOOKUP($C96,Обработка!$B$16:$F$104,5,0)</f>
        <v>1</v>
      </c>
      <c r="BV96" s="9">
        <f>VLOOKUP($C96,Обработка!$B$16:$F$104,4,0)</f>
        <v>0</v>
      </c>
      <c r="BW96" s="9">
        <f>VLOOKUP($C96,Утилизация!$B$16:$F$104,5,0)</f>
        <v>2</v>
      </c>
      <c r="BX96" s="9">
        <f>VLOOKUP($C96,Утилизация!$B$16:$F$104,4,0)</f>
        <v>1</v>
      </c>
      <c r="BY96" s="9">
        <f>VLOOKUP($C96,Захоронение!$B$16:$C$104,2,0)</f>
        <v>0</v>
      </c>
      <c r="BZ96" s="9">
        <f>VLOOKUP($C96,'ДК ИП'!$B$16:$C$104,2,0)</f>
        <v>0</v>
      </c>
      <c r="CA96" s="9">
        <f>VLOOKUP(C96,Радар!$B$16:$G$104,2,0)</f>
        <v>0</v>
      </c>
      <c r="CB96" s="9">
        <f>SUMPRODUCT(BJ96:BZ96,$BJ$5:$BZ$5)</f>
        <v>0.3</v>
      </c>
    </row>
    <row r="97" ht="15.75" spans="1:80">
      <c r="A97" s="6" t="s">
        <v>129</v>
      </c>
      <c r="B97" s="131">
        <f t="shared" si="13"/>
        <v>87</v>
      </c>
      <c r="C97" s="3" t="s">
        <v>149</v>
      </c>
      <c r="D97" s="133" t="str">
        <f>VLOOKUP($C97,Штаб!$B$16:$J$104,6,0)</f>
        <v>✔️</v>
      </c>
      <c r="E97" s="134" t="str">
        <f>VLOOKUP($C97,Штаб!$B$16:$J$104,7,0)</f>
        <v/>
      </c>
      <c r="F97" s="134" t="str">
        <f>VLOOKUP($C97,Штаб!$B$16:$J$104,8,0)</f>
        <v/>
      </c>
      <c r="G97" s="135" t="str">
        <f>VLOOKUP($C97,Штаб!$B$16:$J$104,9,0)</f>
        <v/>
      </c>
      <c r="H97" s="138" t="str">
        <f>VLOOKUP(C97,'РО - регионы'!$B$16:$I$104,8,0)</f>
        <v>0 / 18 / 3 из 21</v>
      </c>
      <c r="I97" s="169"/>
      <c r="J97" s="137"/>
      <c r="K97" s="170"/>
      <c r="L97" s="170"/>
      <c r="M97" s="171"/>
      <c r="N97" s="176">
        <f>VLOOKUP(C97,Спецтехника!$B$16:$J$104,4,0)</f>
        <v>50</v>
      </c>
      <c r="O97" s="177">
        <f>VLOOKUP(C97,Спецтехника!$B$16:$J$104,5,0)</f>
        <v>40</v>
      </c>
      <c r="P97" s="177">
        <f>VLOOKUP(C97,Спецтехника!$B$16:$J$104,6,0)</f>
        <v>10</v>
      </c>
      <c r="Q97" s="199">
        <f>VLOOKUP(C97,Спецтехника!$B$16:$J$104,7,0)</f>
        <v>0.2</v>
      </c>
      <c r="R97" s="197"/>
      <c r="S97" s="137"/>
      <c r="T97" s="170"/>
      <c r="U97" s="170"/>
      <c r="V97" s="171"/>
      <c r="W97" s="174">
        <f>VLOOKUP($C97,МНО!$B$16:$AB$104,16,0)</f>
        <v>722</v>
      </c>
      <c r="X97" s="175">
        <f>VLOOKUP($C97,МНО!$B$16:$AB$104,8,0)</f>
        <v>478</v>
      </c>
      <c r="Y97" s="175">
        <f>VLOOKUP($C97,МНО!$B$16:$AB$104,11,0)</f>
        <v>244</v>
      </c>
      <c r="Z97" s="212">
        <f>VLOOKUP($C97,МНО!$B$16:$AB$104,17,0)</f>
        <v>0.337950138504155</v>
      </c>
      <c r="AA97" s="213"/>
      <c r="AB97" s="214">
        <f>VLOOKUP($C97,МНО!$B$16:$AB$104,13,0)</f>
        <v>9.93149971891982</v>
      </c>
      <c r="AC97" s="215">
        <f>VLOOKUP($C97,МНО!$B$16:$AB$104,18,0)</f>
        <v>1</v>
      </c>
      <c r="AD97" s="174">
        <f>VLOOKUP($C97,Контейнеры!$B$16:$AB$104,16,0)</f>
        <v>1691</v>
      </c>
      <c r="AE97" s="175">
        <f>VLOOKUP($C97,Контейнеры!$B$16:$AB$104,8,0)</f>
        <v>1292</v>
      </c>
      <c r="AF97" s="175">
        <f>VLOOKUP($C97,Контейнеры!$B$16:$AB$104,11,0)</f>
        <v>399</v>
      </c>
      <c r="AG97" s="212">
        <f>VLOOKUP($C97,Контейнеры!$B$16:$AB$104,17,0)</f>
        <v>0.235955056179775</v>
      </c>
      <c r="AH97" s="213"/>
      <c r="AI97" s="214">
        <f>VLOOKUP($C97,Контейнеры!$B$16:$AB$104,13,0)</f>
        <v>26.9004143330071</v>
      </c>
      <c r="AJ97" s="215">
        <f>VLOOKUP($C97,Контейнеры!$B$16:$AB$104,18,0)</f>
        <v>1</v>
      </c>
      <c r="AK97" s="231"/>
      <c r="AL97" s="170"/>
      <c r="AM97" s="170"/>
      <c r="AN97" s="232"/>
      <c r="AO97" s="249">
        <f>VLOOKUP($C97,Обработка!$B$16:$L$104,6,0)</f>
        <v>0.244</v>
      </c>
      <c r="AP97" s="250">
        <f t="shared" si="14"/>
        <v>-0.299</v>
      </c>
      <c r="AQ97" s="259">
        <f>VLOOKUP($C97,Обработка!$B$16:$L$104,7,0)</f>
        <v>0.661</v>
      </c>
      <c r="AR97" s="262">
        <f t="shared" si="15"/>
        <v>-0.146</v>
      </c>
      <c r="AS97" s="253">
        <f>VLOOKUP($C97,Утилизация!$B$16:$L$104,6,0)</f>
        <v>0.231</v>
      </c>
      <c r="AT97" s="251">
        <f t="shared" si="16"/>
        <v>0.092</v>
      </c>
      <c r="AU97" s="259">
        <f>VLOOKUP($C97,Утилизация!$B$16:$L$104,7,0)</f>
        <v>0.25</v>
      </c>
      <c r="AV97" s="260">
        <f t="shared" si="17"/>
        <v>-0.036</v>
      </c>
      <c r="AW97" s="279" t="str">
        <f>VLOOKUP(C97,Захоронение!$B$16:$Q$104,16,0)</f>
        <v>свалки</v>
      </c>
      <c r="AX97" s="231"/>
      <c r="AY97" s="170"/>
      <c r="AZ97" s="170"/>
      <c r="BA97" s="171"/>
      <c r="BB97" s="280" t="str">
        <f>VLOOKUP(C97,'ДК ИП'!$B$16:$S$104,5,0)</f>
        <v>небольшое</v>
      </c>
      <c r="BC97" s="281">
        <f>VLOOKUP(C97,Радар!$B$16:$G$104,6,0)</f>
        <v>2.95654708613546</v>
      </c>
      <c r="BD97" s="171"/>
      <c r="BF97" s="290">
        <f t="shared" si="18"/>
        <v>1.16666666666667</v>
      </c>
      <c r="BI97" s="9">
        <f t="shared" si="19"/>
        <v>1</v>
      </c>
      <c r="BJ97" s="9">
        <f>VLOOKUP(C97,Штаб!$B$16:$C$104,2)</f>
        <v>0</v>
      </c>
      <c r="BK97" s="9">
        <f>VLOOKUP(C97,'РО - регионы'!$B$16:$C$104,2)</f>
        <v>1</v>
      </c>
      <c r="BL97" s="9">
        <f>VLOOKUP(C97,'РО - регионы'!$B$16:$L$104,11)</f>
        <v>2</v>
      </c>
      <c r="BM97" s="9">
        <f>VLOOKUP(C97,Спецтехника!$B$16:$C$104,2)</f>
        <v>2</v>
      </c>
      <c r="BN97" s="9">
        <f>VLOOKUP($C97,МНО!$B$16:$AB$104,6,0)</f>
        <v>1</v>
      </c>
      <c r="BO97" s="9">
        <f>VLOOKUP($C97,МНО!$B$16:$AB$104,4,0)</f>
        <v>0</v>
      </c>
      <c r="BP97" s="9">
        <f>VLOOKUP($C97,МНО!$B$16:$AB$104,5,0)</f>
        <v>0</v>
      </c>
      <c r="BQ97" s="9">
        <f>VLOOKUP($C97,Контейнеры!$B$16:$G$104,6,0)</f>
        <v>1</v>
      </c>
      <c r="BR97" s="9">
        <f>VLOOKUP($C97,Контейнеры!$B$16:$G$104,4,0)</f>
        <v>0</v>
      </c>
      <c r="BS97" s="9">
        <f>VLOOKUP($C97,Контейнеры!$B$16:$G$104,5,0)</f>
        <v>0</v>
      </c>
      <c r="BT97" s="9">
        <f>VLOOKUP($C97,'ДК МНО'!$B$16:$C$104,2,0)</f>
        <v>2</v>
      </c>
      <c r="BU97" s="9">
        <f>VLOOKUP($C97,Обработка!$B$16:$F$104,5,0)</f>
        <v>1</v>
      </c>
      <c r="BV97" s="9">
        <f>VLOOKUP($C97,Обработка!$B$16:$F$104,4,0)</f>
        <v>2</v>
      </c>
      <c r="BW97" s="9">
        <f>VLOOKUP($C97,Утилизация!$B$16:$F$104,5,0)</f>
        <v>1</v>
      </c>
      <c r="BX97" s="9">
        <f>VLOOKUP($C97,Утилизация!$B$16:$F$104,4,0)</f>
        <v>2</v>
      </c>
      <c r="BY97" s="9">
        <f>VLOOKUP($C97,Захоронение!$B$16:$C$104,2,0)</f>
        <v>2</v>
      </c>
      <c r="BZ97" s="9">
        <f>VLOOKUP($C97,'ДК ИП'!$B$16:$C$104,2,0)</f>
        <v>0</v>
      </c>
      <c r="CA97" s="9">
        <f>VLOOKUP(C97,Радар!$B$16:$G$104,2,0)</f>
        <v>2</v>
      </c>
      <c r="CB97" s="9">
        <f>SUMPRODUCT(BJ97:BZ97,$BJ$5:$BZ$5)</f>
        <v>1.2</v>
      </c>
    </row>
    <row r="98" ht="15.75" spans="1:80">
      <c r="A98" s="6" t="s">
        <v>78</v>
      </c>
      <c r="B98" s="137">
        <f t="shared" si="13"/>
        <v>88</v>
      </c>
      <c r="C98" s="3" t="s">
        <v>114</v>
      </c>
      <c r="D98" s="133" t="str">
        <f>VLOOKUP($C98,Штаб!$B$16:$J$104,6,0)</f>
        <v>✔️</v>
      </c>
      <c r="E98" s="134" t="str">
        <f>VLOOKUP($C98,Штаб!$B$16:$J$104,7,0)</f>
        <v/>
      </c>
      <c r="F98" s="134" t="str">
        <f>VLOOKUP($C98,Штаб!$B$16:$J$104,8,0)</f>
        <v/>
      </c>
      <c r="G98" s="135" t="str">
        <f>VLOOKUP($C98,Штаб!$B$16:$J$104,9,0)</f>
        <v/>
      </c>
      <c r="H98" s="139" t="str">
        <f>VLOOKUP(C98,'РО - регионы'!$B$16:$I$104,8,0)</f>
        <v>0 / 0 / 1 из 1</v>
      </c>
      <c r="I98" s="169"/>
      <c r="J98" s="137"/>
      <c r="K98" s="170"/>
      <c r="L98" s="170"/>
      <c r="M98" s="171"/>
      <c r="N98" s="172">
        <f>VLOOKUP(C98,Спецтехника!$B$16:$J$104,4,0)</f>
        <v>222</v>
      </c>
      <c r="O98" s="173">
        <f>VLOOKUP(C98,Спецтехника!$B$16:$J$104,5,0)</f>
        <v>222</v>
      </c>
      <c r="P98" s="173">
        <f>VLOOKUP(C98,Спецтехника!$B$16:$J$104,6,0)</f>
        <v>0</v>
      </c>
      <c r="Q98" s="196">
        <f>VLOOKUP(C98,Спецтехника!$B$16:$J$104,7,0)</f>
        <v>0</v>
      </c>
      <c r="R98" s="197"/>
      <c r="S98" s="137"/>
      <c r="T98" s="170"/>
      <c r="U98" s="170"/>
      <c r="V98" s="171"/>
      <c r="W98" s="172">
        <f>VLOOKUP($C98,МНО!$B$16:$AB$104,16,0)</f>
        <v>6749</v>
      </c>
      <c r="X98" s="173">
        <f>VLOOKUP($C98,МНО!$B$16:$AB$104,8,0)</f>
        <v>6714</v>
      </c>
      <c r="Y98" s="173">
        <f>VLOOKUP($C98,МНО!$B$16:$AB$104,11,0)</f>
        <v>35</v>
      </c>
      <c r="Z98" s="216">
        <f>VLOOKUP($C98,МНО!$B$16:$AB$104,17,0)</f>
        <v>0.00518595347458883</v>
      </c>
      <c r="AA98" s="213"/>
      <c r="AB98" s="214">
        <f>VLOOKUP($C98,МНО!$B$16:$AB$104,13,0)</f>
        <v>10.3709589890689</v>
      </c>
      <c r="AC98" s="215">
        <f>VLOOKUP($C98,МНО!$B$16:$AB$104,18,0)</f>
        <v>1</v>
      </c>
      <c r="AD98" s="172">
        <f>VLOOKUP($C98,Контейнеры!$B$16:$AB$104,16,0)</f>
        <v>16193</v>
      </c>
      <c r="AE98" s="173">
        <f>VLOOKUP($C98,Контейнеры!$B$16:$AB$104,8,0)</f>
        <v>15887</v>
      </c>
      <c r="AF98" s="173">
        <f>VLOOKUP($C98,Контейнеры!$B$16:$AB$104,11,0)</f>
        <v>306</v>
      </c>
      <c r="AG98" s="216">
        <f>VLOOKUP($C98,Контейнеры!$B$16:$AB$104,17,0)</f>
        <v>0.0188970542827148</v>
      </c>
      <c r="AH98" s="213"/>
      <c r="AI98" s="214">
        <f>VLOOKUP($C98,Контейнеры!$B$16:$AB$104,13,0)</f>
        <v>30.7911466005117</v>
      </c>
      <c r="AJ98" s="215">
        <f>VLOOKUP($C98,Контейнеры!$B$16:$AB$104,18,0)</f>
        <v>1</v>
      </c>
      <c r="AK98" s="231"/>
      <c r="AL98" s="170"/>
      <c r="AM98" s="170"/>
      <c r="AN98" s="232"/>
      <c r="AO98" s="261">
        <f>VLOOKUP($C98,Обработка!$B$16:$L$104,6,0)</f>
        <v>0.4</v>
      </c>
      <c r="AP98" s="250">
        <f t="shared" si="14"/>
        <v>-0.143</v>
      </c>
      <c r="AQ98" s="250">
        <f>VLOOKUP($C98,Обработка!$B$16:$L$104,7,0)</f>
        <v>0.9</v>
      </c>
      <c r="AR98" s="255">
        <f t="shared" si="15"/>
        <v>0.093</v>
      </c>
      <c r="AS98" s="253">
        <f>VLOOKUP($C98,Утилизация!$B$16:$L$104,6,0)</f>
        <v>0.016</v>
      </c>
      <c r="AT98" s="251">
        <f t="shared" si="16"/>
        <v>-0.123</v>
      </c>
      <c r="AU98" s="250">
        <f>VLOOKUP($C98,Утилизация!$B$16:$L$104,7,0)</f>
        <v>0.35</v>
      </c>
      <c r="AV98" s="256">
        <f t="shared" si="17"/>
        <v>0.064</v>
      </c>
      <c r="AW98" s="279" t="str">
        <f>VLOOKUP(C98,Захоронение!$B$16:$Q$104,16,0)</f>
        <v>белые пятна</v>
      </c>
      <c r="AX98" s="231"/>
      <c r="AY98" s="170"/>
      <c r="AZ98" s="170"/>
      <c r="BA98" s="171"/>
      <c r="BB98" s="280" t="str">
        <f>VLOOKUP(C98,'ДК ИП'!$B$16:$S$104,5,0)</f>
        <v>небольшое</v>
      </c>
      <c r="BC98" s="281">
        <f>VLOOKUP(C98,Радар!$B$16:$G$104,6,0)</f>
        <v>0.0368245600434142</v>
      </c>
      <c r="BD98" s="171"/>
      <c r="BF98" s="291">
        <f t="shared" si="18"/>
        <v>0.916666666666667</v>
      </c>
      <c r="BI98" s="9">
        <f t="shared" si="19"/>
        <v>0</v>
      </c>
      <c r="BJ98" s="9">
        <f>VLOOKUP(C98,Штаб!$B$16:$C$104,2)</f>
        <v>0</v>
      </c>
      <c r="BK98" s="9">
        <f>VLOOKUP(C98,'РО - регионы'!$B$16:$C$104,2)</f>
        <v>0</v>
      </c>
      <c r="BL98" s="9">
        <f>VLOOKUP(C98,'РО - регионы'!$B$16:$L$104,11)</f>
        <v>0</v>
      </c>
      <c r="BM98" s="9">
        <f>VLOOKUP(C98,Спецтехника!$B$16:$C$104,2)</f>
        <v>0</v>
      </c>
      <c r="BN98" s="9">
        <f>VLOOKUP($C98,МНО!$B$16:$AB$104,6,0)</f>
        <v>0</v>
      </c>
      <c r="BO98" s="9">
        <f>VLOOKUP($C98,МНО!$B$16:$AB$104,4,0)</f>
        <v>0</v>
      </c>
      <c r="BP98" s="9">
        <f>VLOOKUP($C98,МНО!$B$16:$AB$104,5,0)</f>
        <v>0</v>
      </c>
      <c r="BQ98" s="9">
        <f>VLOOKUP($C98,Контейнеры!$B$16:$G$104,6,0)</f>
        <v>0</v>
      </c>
      <c r="BR98" s="9">
        <f>VLOOKUP($C98,Контейнеры!$B$16:$G$104,4,0)</f>
        <v>0</v>
      </c>
      <c r="BS98" s="9">
        <f>VLOOKUP($C98,Контейнеры!$B$16:$G$104,5,0)</f>
        <v>0</v>
      </c>
      <c r="BT98" s="9">
        <f>VLOOKUP($C98,'ДК МНО'!$B$16:$C$104,2,0)</f>
        <v>2</v>
      </c>
      <c r="BU98" s="9">
        <f>VLOOKUP($C98,Обработка!$B$16:$F$104,5,0)</f>
        <v>0</v>
      </c>
      <c r="BV98" s="9">
        <f>VLOOKUP($C98,Обработка!$B$16:$F$104,4,0)</f>
        <v>1</v>
      </c>
      <c r="BW98" s="9">
        <f>VLOOKUP($C98,Утилизация!$B$16:$F$104,5,0)</f>
        <v>0</v>
      </c>
      <c r="BX98" s="9">
        <f>VLOOKUP($C98,Утилизация!$B$16:$F$104,4,0)</f>
        <v>2</v>
      </c>
      <c r="BY98" s="9">
        <f>VLOOKUP($C98,Захоронение!$B$16:$C$104,2,0)</f>
        <v>2</v>
      </c>
      <c r="BZ98" s="9">
        <f>VLOOKUP($C98,'ДК ИП'!$B$16:$C$104,2,0)</f>
        <v>0</v>
      </c>
      <c r="CA98" s="9">
        <f>VLOOKUP(C98,Радар!$B$16:$G$104,2,0)</f>
        <v>2</v>
      </c>
      <c r="CB98" s="9">
        <f>SUMPRODUCT(BJ98:BZ98,$BJ$5:$BZ$5)</f>
        <v>0.65</v>
      </c>
    </row>
    <row r="99" ht="15.75" spans="1:80">
      <c r="A99" s="6" t="s">
        <v>67</v>
      </c>
      <c r="B99" s="131">
        <f t="shared" si="13"/>
        <v>89</v>
      </c>
      <c r="C99" s="293" t="s">
        <v>80</v>
      </c>
      <c r="D99" s="133" t="str">
        <f>VLOOKUP($C99,Штаб!$B$16:$J$104,6,0)</f>
        <v/>
      </c>
      <c r="E99" s="134" t="str">
        <f>VLOOKUP($C99,Штаб!$B$16:$J$104,7,0)</f>
        <v/>
      </c>
      <c r="F99" s="134" t="str">
        <f>VLOOKUP($C99,Штаб!$B$16:$J$104,8,0)</f>
        <v/>
      </c>
      <c r="G99" s="135" t="str">
        <f>VLOOKUP($C99,Штаб!$B$16:$J$104,9,0)</f>
        <v>✔️</v>
      </c>
      <c r="H99" s="294" t="str">
        <f>VLOOKUP(C99,'РО - регионы'!$B$16:$I$104,8,0)</f>
        <v>0 / 0 / 1 из 1</v>
      </c>
      <c r="I99" s="295"/>
      <c r="J99" s="296"/>
      <c r="K99" s="297"/>
      <c r="L99" s="297"/>
      <c r="M99" s="298"/>
      <c r="N99" s="299">
        <f>VLOOKUP(C99,Спецтехника!$B$16:$J$104,4,0)</f>
        <v>298</v>
      </c>
      <c r="O99" s="300">
        <f>VLOOKUP(C99,Спецтехника!$B$16:$J$104,5,0)</f>
        <v>298</v>
      </c>
      <c r="P99" s="300">
        <f>VLOOKUP(C99,Спецтехника!$B$16:$J$104,6,0)</f>
        <v>0</v>
      </c>
      <c r="Q99" s="301">
        <f>VLOOKUP(C99,Спецтехника!$B$16:$J$104,7,0)</f>
        <v>0</v>
      </c>
      <c r="R99" s="302"/>
      <c r="S99" s="296"/>
      <c r="T99" s="297"/>
      <c r="U99" s="297"/>
      <c r="V99" s="298"/>
      <c r="W99" s="299">
        <f>VLOOKUP($C99,МНО!$B$16:$AB$104,16,0)</f>
        <v>7796</v>
      </c>
      <c r="X99" s="300">
        <f>VLOOKUP($C99,МНО!$B$16:$AB$104,8,0)</f>
        <v>6980</v>
      </c>
      <c r="Y99" s="300">
        <f>VLOOKUP($C99,МНО!$B$16:$AB$104,11,0)</f>
        <v>816</v>
      </c>
      <c r="Z99" s="303">
        <f>VLOOKUP($C99,МНО!$B$16:$AB$104,17,0)</f>
        <v>0.104669061056952</v>
      </c>
      <c r="AA99" s="304"/>
      <c r="AB99" s="305">
        <f>VLOOKUP($C99,МНО!$B$16:$AB$104,13,0)</f>
        <v>5.73024643848974</v>
      </c>
      <c r="AC99" s="306">
        <f>VLOOKUP($C99,МНО!$B$16:$AB$104,18,0)</f>
        <v>1</v>
      </c>
      <c r="AD99" s="299">
        <f>VLOOKUP($C99,Контейнеры!$B$16:$AB$104,16,0)</f>
        <v>17873</v>
      </c>
      <c r="AE99" s="300">
        <f>VLOOKUP($C99,Контейнеры!$B$16:$AB$104,8,0)</f>
        <v>16756</v>
      </c>
      <c r="AF99" s="300">
        <f>VLOOKUP($C99,Контейнеры!$B$16:$AB$104,11,0)</f>
        <v>1117</v>
      </c>
      <c r="AG99" s="303">
        <f>VLOOKUP($C99,Контейнеры!$B$16:$AB$104,17,0)</f>
        <v>0.0624965031052425</v>
      </c>
      <c r="AH99" s="304"/>
      <c r="AI99" s="305">
        <f>VLOOKUP($C99,Контейнеры!$B$16:$AB$104,13,0)</f>
        <v>14.1096266456038</v>
      </c>
      <c r="AJ99" s="306">
        <f>VLOOKUP($C99,Контейнеры!$B$16:$AB$104,18,0)</f>
        <v>0.982698961937716</v>
      </c>
      <c r="AK99" s="307"/>
      <c r="AL99" s="297"/>
      <c r="AM99" s="297"/>
      <c r="AN99" s="308"/>
      <c r="AO99" s="309">
        <f>VLOOKUP($C99,Обработка!$B$16:$L$104,6,0)</f>
        <v>0.62</v>
      </c>
      <c r="AP99" s="310">
        <f t="shared" si="14"/>
        <v>0.077</v>
      </c>
      <c r="AQ99" s="311">
        <f>VLOOKUP($C99,Обработка!$B$16:$L$104,7,0)</f>
        <v>0.61</v>
      </c>
      <c r="AR99" s="312">
        <f t="shared" si="15"/>
        <v>-0.197</v>
      </c>
      <c r="AS99" s="313">
        <f>VLOOKUP($C99,Утилизация!$B$16:$L$104,6,0)</f>
        <v>0.089</v>
      </c>
      <c r="AT99" s="311">
        <f t="shared" si="16"/>
        <v>-0.05</v>
      </c>
      <c r="AU99" s="314">
        <f>VLOOKUP($C99,Утилизация!$B$16:$L$104,7,0)</f>
        <v>0.082</v>
      </c>
      <c r="AV99" s="315">
        <f t="shared" si="17"/>
        <v>-0.204</v>
      </c>
      <c r="AW99" s="316" t="str">
        <f>VLOOKUP(C99,Захоронение!$B$16:$Q$104,16,0)</f>
        <v/>
      </c>
      <c r="AX99" s="307"/>
      <c r="AY99" s="297"/>
      <c r="AZ99" s="297"/>
      <c r="BA99" s="298"/>
      <c r="BB99" s="317" t="str">
        <f>VLOOKUP(C99,'ДК ИП'!$B$16:$S$104,5,0)</f>
        <v>небольшое</v>
      </c>
      <c r="BC99" s="318">
        <f>VLOOKUP(C99,Радар!$B$16:$G$104,6,0)</f>
        <v>0.134730261595644</v>
      </c>
      <c r="BD99" s="298"/>
      <c r="BF99" s="292">
        <f t="shared" si="18"/>
        <v>0.333333333333333</v>
      </c>
      <c r="BI99" s="9">
        <f t="shared" si="19"/>
        <v>0</v>
      </c>
      <c r="BJ99" s="9">
        <f>VLOOKUP(C99,Штаб!$B$16:$C$104,2)</f>
        <v>2</v>
      </c>
      <c r="BK99" s="9">
        <f>VLOOKUP(C99,'РО - регионы'!$B$16:$C$104,2)</f>
        <v>0</v>
      </c>
      <c r="BL99" s="9">
        <f>VLOOKUP(C99,'РО - регионы'!$B$16:$L$104,11)</f>
        <v>0</v>
      </c>
      <c r="BM99" s="9">
        <f>VLOOKUP(C99,Спецтехника!$B$16:$C$104,2)</f>
        <v>0</v>
      </c>
      <c r="BN99" s="9">
        <f>VLOOKUP($C99,МНО!$B$16:$AB$104,6,0)</f>
        <v>0</v>
      </c>
      <c r="BO99" s="9">
        <f>VLOOKUP($C99,МНО!$B$16:$AB$104,4,0)</f>
        <v>1</v>
      </c>
      <c r="BP99" s="9">
        <f>VLOOKUP($C99,МНО!$B$16:$AB$104,5,0)</f>
        <v>0</v>
      </c>
      <c r="BQ99" s="9">
        <f>VLOOKUP($C99,Контейнеры!$B$16:$G$104,6,0)</f>
        <v>0</v>
      </c>
      <c r="BR99" s="9">
        <f>VLOOKUP($C99,Контейнеры!$B$16:$G$104,4,0)</f>
        <v>0</v>
      </c>
      <c r="BS99" s="9">
        <f>VLOOKUP($C99,Контейнеры!$B$16:$G$104,5,0)</f>
        <v>0</v>
      </c>
      <c r="BT99" s="9">
        <f>VLOOKUP($C99,'ДК МНО'!$B$16:$C$104,2,0)</f>
        <v>2</v>
      </c>
      <c r="BU99" s="9">
        <f>VLOOKUP($C99,Обработка!$B$16:$F$104,5,0)</f>
        <v>1</v>
      </c>
      <c r="BV99" s="9">
        <f>VLOOKUP($C99,Обработка!$B$16:$F$104,4,0)</f>
        <v>0</v>
      </c>
      <c r="BW99" s="9">
        <f>VLOOKUP($C99,Утилизация!$B$16:$F$104,5,0)</f>
        <v>2</v>
      </c>
      <c r="BX99" s="9">
        <f>VLOOKUP($C99,Утилизация!$B$16:$F$104,4,0)</f>
        <v>1</v>
      </c>
      <c r="BY99" s="9">
        <f>VLOOKUP($C99,Захоронение!$B$16:$C$104,2,0)</f>
        <v>0</v>
      </c>
      <c r="BZ99" s="9">
        <f>VLOOKUP($C99,'ДК ИП'!$B$16:$C$104,2,0)</f>
        <v>0</v>
      </c>
      <c r="CA99" s="9">
        <f>VLOOKUP(C99,Радар!$B$16:$G$104,2,0)</f>
        <v>2</v>
      </c>
      <c r="CB99" s="9">
        <f>SUMPRODUCT(BJ99:BZ99,$BJ$5:$BZ$5)</f>
        <v>0.25</v>
      </c>
    </row>
  </sheetData>
  <autoFilter xmlns:etc="http://www.wps.cn/officeDocument/2017/etCustomData" ref="A10:CC99" etc:filterBottomFollowUsedRange="0">
    <extLst/>
  </autoFilter>
  <sortState ref="A11:CC99">
    <sortCondition ref="BF11:BF99" descending="1"/>
    <sortCondition ref="CB11:CB99" descending="1"/>
  </sortState>
  <mergeCells count="28">
    <mergeCell ref="D5:G5"/>
    <mergeCell ref="H5:M5"/>
    <mergeCell ref="N5:V5"/>
    <mergeCell ref="W5:AN5"/>
    <mergeCell ref="AO5:BA5"/>
    <mergeCell ref="BC5:BD5"/>
    <mergeCell ref="J6:M6"/>
    <mergeCell ref="N6:R6"/>
    <mergeCell ref="S6:V6"/>
    <mergeCell ref="W6:AC6"/>
    <mergeCell ref="AD6:AJ6"/>
    <mergeCell ref="AK6:AN6"/>
    <mergeCell ref="AO6:AR6"/>
    <mergeCell ref="AS6:AV6"/>
    <mergeCell ref="AX6:BA6"/>
    <mergeCell ref="N9:Q9"/>
    <mergeCell ref="W9:AC9"/>
    <mergeCell ref="AD9:AJ9"/>
    <mergeCell ref="AO9:AR9"/>
    <mergeCell ref="AS9:AV9"/>
    <mergeCell ref="B5:B7"/>
    <mergeCell ref="C5:C7"/>
    <mergeCell ref="D6:D7"/>
    <mergeCell ref="E6:E7"/>
    <mergeCell ref="F6:F7"/>
    <mergeCell ref="G6:G7"/>
    <mergeCell ref="H6:H7"/>
    <mergeCell ref="I6:I7"/>
  </mergeCells>
  <conditionalFormatting sqref="AI11:AJ99">
    <cfRule type="colorScale" priority="8">
      <colorScale>
        <cfvo type="formula" val="$BN$11=0"/>
        <cfvo type="formula" val="$BN$11=1"/>
        <cfvo type="formula" val="$BN$11=2"/>
        <color theme="9" tint="0.799981688894314"/>
        <color theme="7" tint="0.799981688894314"/>
        <color theme="5" tint="0.799981688894314"/>
      </colorScale>
    </cfRule>
  </conditionalFormatting>
  <pageMargins left="0.25" right="0.25" top="0.75" bottom="0.75" header="0.3" footer="0.3"/>
  <pageSetup paperSize="9" scale="32" fitToWidth="2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B3:C43"/>
  <sheetViews>
    <sheetView workbookViewId="0">
      <selection activeCell="A1" sqref="A1"/>
    </sheetView>
  </sheetViews>
  <sheetFormatPr defaultColWidth="10.8583333333333" defaultRowHeight="15.6" outlineLevelCol="2"/>
  <cols>
    <col min="2" max="2" width="3.14166666666667" customWidth="1"/>
    <col min="3" max="3" width="59.3583333333333" customWidth="1"/>
    <col min="4" max="4" width="32" customWidth="1"/>
    <col min="5" max="5" width="35.1416666666667" customWidth="1"/>
  </cols>
  <sheetData>
    <row r="3" spans="3:3">
      <c r="C3" t="s">
        <v>168</v>
      </c>
    </row>
    <row r="4" spans="3:3">
      <c r="C4" s="93" t="s">
        <v>157</v>
      </c>
    </row>
    <row r="6" spans="2:3">
      <c r="B6">
        <f>VLOOKUP($C$4,Штаб!$B$16:$F$104,2,0)</f>
        <v>2</v>
      </c>
      <c r="C6" t="str">
        <f>VLOOKUP($C$4,Штаб!$B$16:$F$104,5,0)</f>
        <v>Штаб не создан</v>
      </c>
    </row>
    <row r="8" spans="2:3">
      <c r="B8">
        <f>VLOOKUP($C$4,'РО - регионы'!$B$16:$N$104,2,0)</f>
        <v>0</v>
      </c>
      <c r="C8" t="str">
        <f>VLOOKUP($C$4,'РО - регионы'!$B$16:$N$104,12,0)</f>
        <v>Из 3 РО 3 в зеленой зоне, 0 - в желтой, 0 - в красной</v>
      </c>
    </row>
    <row r="9" spans="2:3">
      <c r="B9">
        <f>VLOOKUP($C$4,'РО - регионы'!$B$16:$N$104,11,0)</f>
        <v>0</v>
      </c>
      <c r="C9" t="str">
        <f>VLOOKUP($C$4,'РО - регионы'!$B$16:$N$104,13,0)</f>
        <v>Дорожная карта не требуется</v>
      </c>
    </row>
    <row r="11" spans="2:3">
      <c r="B11">
        <f>VLOOKUP($C$4,Спецтехника!$B$16:$I$104,2,0)</f>
        <v>0</v>
      </c>
      <c r="C11" t="str">
        <f>VLOOKUP($C$4,Спецтехника!$B$16:$I$104,8,0)</f>
        <v>Дефицит спецтехники не заявлен</v>
      </c>
    </row>
    <row r="13" spans="2:3">
      <c r="B13">
        <f>VLOOKUP($C$4,МНО!$B$16:$AA$104,2,0)</f>
        <v>2</v>
      </c>
      <c r="C13" t="str">
        <f>_xlfn.TEXTJOIN(,0,"Ситуация с обеспеченностью контейнерными площадками ",IF(B13=0,"хорошая",IF(B13=1,"средняя","плохая")))</f>
        <v>Ситуация с обеспеченностью контейнерными площадками плохая</v>
      </c>
    </row>
    <row r="14" spans="3:3">
      <c r="C14" t="str">
        <f>VLOOKUP($C$4,МНО!$B$16:$AA$104,19,0)</f>
        <v>Места накопления ТКО (МНО): 3807 по ФГИС УТКО / 3521 по ТС</v>
      </c>
    </row>
    <row r="15" spans="3:3">
      <c r="C15" t="str">
        <f>VLOOKUP($C$4,МНО!$B$16:$AA$104,22,0)</f>
        <v>Контейнерные площадки (КП): 3736 по ФГИС УТКО / 10779,0 на 1000 чел.</v>
      </c>
    </row>
    <row r="16" spans="2:3">
      <c r="B16">
        <f>VLOOKUP($C$4,МНО!$B$16:$AA$104,4,0)</f>
        <v>1</v>
      </c>
      <c r="C16" t="str">
        <f>VLOOKUP($C$4,МНО!$B$16:$AA$104,25,0)</f>
        <v>Обеспеченность КП ниже среднего по России на 99%</v>
      </c>
    </row>
    <row r="17" spans="2:3">
      <c r="B17">
        <f>VLOOKUP($C$4,МНО!$B$16:$AA$104,5,0)</f>
        <v>0</v>
      </c>
      <c r="C17" t="str">
        <f>VLOOKUP($C$4,МНО!$B$16:$AA$104,20,0)</f>
        <v>Наполнение ФГИС УТКО более 100%</v>
      </c>
    </row>
    <row r="18" spans="2:3">
      <c r="B18">
        <f>VLOOKUP($C$4,МНО!$B$16:$AA$104,6,0)</f>
        <v>2</v>
      </c>
      <c r="C18" t="str">
        <f>VLOOKUP($C$4,МНО!$B$16:$AA$104,26,0)</f>
        <v>Потребность в КП по данным субъекта 6972 шт. (65% от МНО)</v>
      </c>
    </row>
    <row r="19" s="92" customFormat="1" spans="3:3">
      <c r="C19" s="92" t="str">
        <f>VLOOKUP($C$4,МНО!$B$16:$AA$104,21,0)</f>
        <v>Аномальные данные территориальной схемы</v>
      </c>
    </row>
    <row r="20" spans="2:3">
      <c r="B20">
        <f>VLOOKUP($C$4,Контейнеры!$B$16:$AA$104,2,0)</f>
        <v>2</v>
      </c>
      <c r="C20" t="str">
        <f>_xlfn.TEXTJOIN(,0,"Ситуация с обеспеченностью контейнерами ",IF(B13=0,"хорошая",IF(B13=1,"средняя","плохая")))</f>
        <v>Ситуация с обеспеченностью контейнерами плохая</v>
      </c>
    </row>
    <row r="21" spans="3:3">
      <c r="C21" t="str">
        <f>VLOOKUP($C$4,Контейнеры!$B$16:$AA$104,19,0)</f>
        <v>Контейнеры: 7328 по ФГИС УТКО / 7110 по ТС</v>
      </c>
    </row>
    <row r="22" spans="2:3">
      <c r="B22">
        <f>VLOOKUP($C$4,Контейнеры!$B$16:$AA$104,4,0)</f>
        <v>2</v>
      </c>
      <c r="C22" t="str">
        <f>VLOOKUP($C$4,Контейнеры!$B$16:$AA$104,25,0)</f>
        <v>Обеспеченность контейнерами ниже среднего по России на 100%</v>
      </c>
    </row>
    <row r="23" spans="2:3">
      <c r="B23">
        <f>VLOOKUP($C$4,Контейнеры!$B$16:$AA$104,5,0)</f>
        <v>0</v>
      </c>
      <c r="C23" t="str">
        <f>VLOOKUP($C$4,Контейнеры!$B$16:$AA$104,20,0)</f>
        <v>Наполнение ФГИС УТКО более 100%</v>
      </c>
    </row>
    <row r="24" spans="2:3">
      <c r="B24">
        <f>VLOOKUP($C$4,Контейнеры!$B$16:$AA$104,6,0)</f>
        <v>2</v>
      </c>
      <c r="C24" t="str">
        <f>VLOOKUP($C$4,Контейнеры!$B$16:$AA$104,26,0)</f>
        <v>Потребность в КП не представлена</v>
      </c>
    </row>
    <row r="26" spans="2:3">
      <c r="B26">
        <f>VLOOKUP($C$4,Обработка!$B$16:$K$104,2,0)</f>
        <v>2</v>
      </c>
      <c r="C26" t="str">
        <f>_xlfn.TEXTJOIN(,0,"Ситуация с обработкой ТКО ",IF(B26=0,"хорошая",IF(B26=1,"средняя","плохая")))</f>
        <v>Ситуация с обработкой ТКО плохая</v>
      </c>
    </row>
    <row r="27" spans="2:3">
      <c r="B27">
        <f>VLOOKUP($C$4,Обработка!$B$16:$K$104,4,0)</f>
        <v>2</v>
      </c>
      <c r="C27" t="str">
        <f>VLOOKUP($C$4,Обработка!$B$16:$K$104,8,0)</f>
        <v>Доля обработки ТКО в 1пг 2024 г. 0%</v>
      </c>
    </row>
    <row r="28" spans="2:3">
      <c r="B28">
        <f>VLOOKUP($C$4,Обработка!$B$16:$K$104,5,0)</f>
        <v>1</v>
      </c>
      <c r="C28" t="str">
        <f>VLOOKUP($C$4,Обработка!$B$16:$K$104,9,0)</f>
        <v>План по обработке ТКО в 2028 г. 66%</v>
      </c>
    </row>
    <row r="29" s="92" customFormat="1" spans="3:3">
      <c r="C29" s="92" t="str">
        <f>IF(VLOOKUP($C$4,Обработка!$B$16:$K$104,10,0)&lt;&gt;"",VLOOKUP($C$4,Обработка!$B$16:$K$104,10,0),"")</f>
        <v/>
      </c>
    </row>
    <row r="30" spans="2:3">
      <c r="B30">
        <f>VLOOKUP($C$4,Утилизация!$B$16:$K$104,2,0)</f>
        <v>2</v>
      </c>
      <c r="C30" t="str">
        <f>_xlfn.TEXTJOIN(,0,"Ситуация с утилизацией и обезвреживанием ТКО ",IF(B30=0,"хорошая",IF(B30=1,"средняя","плохая")))</f>
        <v>Ситуация с утилизацией и обезвреживанием ТКО плохая</v>
      </c>
    </row>
    <row r="31" spans="2:3">
      <c r="B31">
        <f>VLOOKUP($C$4,Утилизация!$B$16:$K$104,4,0)</f>
        <v>2</v>
      </c>
      <c r="C31" t="str">
        <f>VLOOKUP($C$4,Утилизация!$B$16:$K$104,8,0)</f>
        <v>Доля утилизации и обезвреживания ТКО в 1пг 2024 г. 0%</v>
      </c>
    </row>
    <row r="32" spans="2:3">
      <c r="B32">
        <f>VLOOKUP($C$4,Утилизация!$B$16:$K$104,5,0)</f>
        <v>1</v>
      </c>
      <c r="C32" t="str">
        <f>VLOOKUP($C$4,Утилизация!$B$16:$K$104,9,0)</f>
        <v>План по утилизации и обезвреживания ТКО в 2028 г. 27%</v>
      </c>
    </row>
    <row r="33" s="92" customFormat="1" spans="3:3">
      <c r="C33" s="92" t="str">
        <f>IF(VLOOKUP($C$4,Утилизация!$B$16:$K$104,10,0)&lt;&gt;"",VLOOKUP($C$4,Утилизация!$B$16:$K$104,10,0),"")</f>
        <v/>
      </c>
    </row>
    <row r="35" spans="2:3">
      <c r="B35">
        <f>VLOOKUP($C$4,Захоронение!$B$16:$P$104,2,0)</f>
        <v>2</v>
      </c>
      <c r="C35" t="str">
        <f>_xlfn.TEXTJOIN(,0,"Ситуация с захоронением ТКО ",IF(B35=0,"хорошая",IF(B35=1,"средняя","плохая")))</f>
        <v>Ситуация с захоронением ТКО плохая</v>
      </c>
    </row>
    <row r="36" spans="2:3">
      <c r="B36">
        <f>VLOOKUP($C$4,Захоронение!$B$16:$P$104,4,0)</f>
        <v>2</v>
      </c>
      <c r="C36" t="str">
        <f>VLOOKUP($C$4,Захоронение!$B$16:$P$104,11,0)</f>
        <v>Имеются нелегальные объекты захоронения ТКО</v>
      </c>
    </row>
    <row r="37" spans="2:3">
      <c r="B37">
        <f>VLOOKUP($C$4,Захоронение!$B$16:$P$104,5,0)</f>
        <v>0</v>
      </c>
      <c r="C37" t="str">
        <f>VLOOKUP($C$4,Захоронение!$B$16:$P$104,12,0)</f>
        <v>Все потоки ТКО указаны в территориальной схеме</v>
      </c>
    </row>
    <row r="38" spans="2:3">
      <c r="B38">
        <f>VLOOKUP($C$4,Захоронение!$B$16:$P$104,6,0)</f>
        <v>0</v>
      </c>
      <c r="C38" t="str">
        <f>VLOOKUP($C$4,Захоронение!$B$16:$P$104,13,0)</f>
        <v>Объектов по 765 приказу нет</v>
      </c>
    </row>
    <row r="39" spans="2:3">
      <c r="B39">
        <f>VLOOKUP($C$4,Захоронение!$B$16:$P$104,7,0)</f>
        <v>1</v>
      </c>
      <c r="C39" t="str">
        <f>VLOOKUP($C$4,Захоронение!$B$16:$P$104,14,0)</f>
        <v>Захоронение осуществляется с превышением мощностей</v>
      </c>
    </row>
    <row r="40" spans="2:3">
      <c r="B40">
        <f>VLOOKUP($C$4,Захоронение!$B$16:$P$104,8,0)</f>
        <v>0</v>
      </c>
      <c r="C40" t="str">
        <f>VLOOKUP($C$4,Захоронение!$B$16:$P$104,15,0)</f>
        <v>Действующих мощностей хватит более, чем на 3 года</v>
      </c>
    </row>
    <row r="42" spans="2:3">
      <c r="B42">
        <f>VLOOKUP($C$4,'ДК ИП'!$B$16:$S$104,2,0)</f>
        <v>1</v>
      </c>
      <c r="C42" t="str">
        <f>VLOOKUP($C$4,'ДК ИП'!$B$16:$S$104,6,0)</f>
        <v>Среднее отставание по дорожной карте</v>
      </c>
    </row>
    <row r="43" spans="3:3">
      <c r="C43" t="str">
        <f>_xlfn.TEXTJOIN(,0,"Среднее отствание по дорожной карте ",VLOOKUP($C$4,'ДК ИП'!$B$16:$S$104,9,0)," мес.")</f>
        <v>Среднее отствание по дорожной карте  мес.</v>
      </c>
    </row>
  </sheetData>
  <conditionalFormatting sqref="B6">
    <cfRule type="colorScale" priority="3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11">
    <cfRule type="colorScale" priority="1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0">
    <cfRule type="colorScale" priority="9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8">
    <cfRule type="colorScale" priority="6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8:B9">
    <cfRule type="colorScale" priority="2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13:B14">
    <cfRule type="colorScale" priority="10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16:B18">
    <cfRule type="colorScale" priority="11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2:B24">
    <cfRule type="colorScale" priority="8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26:B27">
    <cfRule type="colorScale" priority="7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30:B32">
    <cfRule type="colorScale" priority="5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conditionalFormatting sqref="B35:B42">
    <cfRule type="colorScale" priority="4">
      <colorScale>
        <cfvo type="num" val="0"/>
        <cfvo type="num" val="1"/>
        <cfvo type="num" val="2"/>
        <color rgb="FF00B050"/>
        <color rgb="FFFFEB84"/>
        <color rgb="FFFF0000"/>
      </colorScale>
    </cfRule>
  </conditionalFormatting>
  <dataValidations count="1">
    <dataValidation type="list" allowBlank="1" showInputMessage="1" showErrorMessage="1" sqref="C4">
      <formula1>Свод!$C$11:$C$99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B2:AB109"/>
  <sheetViews>
    <sheetView workbookViewId="0">
      <pane xSplit="2" ySplit="15" topLeftCell="C49" activePane="bottomRight" state="frozen"/>
      <selection/>
      <selection pane="topRight"/>
      <selection pane="bottomLeft"/>
      <selection pane="bottomRight" activeCell="E34" sqref="E34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4" width="13.5" style="7" customWidth="1"/>
    <col min="5" max="5" width="14.3583333333333" style="8" customWidth="1"/>
    <col min="6" max="6" width="38.6416666666667" style="7" customWidth="1"/>
    <col min="7" max="7" width="13.5" style="7" customWidth="1"/>
    <col min="8" max="13" width="13.5" style="9" customWidth="1"/>
    <col min="14" max="19" width="13.5" style="11" customWidth="1"/>
    <col min="20" max="20" width="58.5" style="11" customWidth="1"/>
    <col min="21" max="21" width="32" style="6" customWidth="1"/>
    <col min="22" max="22" width="42.8583333333333" style="6" customWidth="1"/>
    <col min="23" max="23" width="61.6416666666667" style="6" customWidth="1"/>
    <col min="24" max="24" width="12.1416666666667" style="6" customWidth="1"/>
    <col min="25" max="25" width="12" style="6" customWidth="1"/>
    <col min="26" max="26" width="48.5" style="6" customWidth="1"/>
    <col min="27" max="27" width="56.3583333333333" style="6" customWidth="1"/>
    <col min="28" max="16384" width="10.8583333333333" style="6"/>
  </cols>
  <sheetData>
    <row r="2" ht="15.6" spans="2:2">
      <c r="B2" s="4" t="s">
        <v>169</v>
      </c>
    </row>
    <row r="4" s="4" customFormat="1" ht="15.6" spans="2:21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pans="2:21">
      <c r="B5" s="6" t="s">
        <v>172</v>
      </c>
      <c r="C5" s="15">
        <v>45566</v>
      </c>
      <c r="F5" s="8"/>
      <c r="H5" s="7"/>
      <c r="N5" s="9"/>
      <c r="U5" s="11"/>
    </row>
    <row r="7" spans="2:19">
      <c r="B7" s="6" t="s">
        <v>173</v>
      </c>
      <c r="R7" s="17"/>
      <c r="S7" s="17"/>
    </row>
    <row r="8" spans="2:18">
      <c r="B8" s="6" t="s">
        <v>174</v>
      </c>
      <c r="D8" s="11">
        <v>1.5</v>
      </c>
      <c r="K8" s="6"/>
      <c r="O8" s="29"/>
      <c r="Q8" s="6"/>
      <c r="R8" s="17"/>
    </row>
    <row r="9" spans="2:19">
      <c r="B9" s="6" t="s">
        <v>175</v>
      </c>
      <c r="D9" s="11">
        <v>0.5</v>
      </c>
      <c r="S9" s="17"/>
    </row>
    <row r="10" spans="2:18">
      <c r="B10" s="6" t="s">
        <v>176</v>
      </c>
      <c r="K10" s="16"/>
      <c r="R10" s="17"/>
    </row>
    <row r="11" spans="2:7">
      <c r="B11" s="6" t="s">
        <v>177</v>
      </c>
      <c r="C11" s="17"/>
      <c r="E11" s="18"/>
      <c r="F11" s="17"/>
      <c r="G11" s="17"/>
    </row>
    <row r="12" spans="3:17">
      <c r="C12" s="17"/>
      <c r="E12" s="18"/>
      <c r="F12" s="17"/>
      <c r="G12" s="17"/>
      <c r="K12" s="6"/>
      <c r="O12" s="6"/>
      <c r="Q12" s="6"/>
    </row>
    <row r="14" s="5" customFormat="1" ht="30" spans="2:28">
      <c r="B14" s="5" t="s">
        <v>2</v>
      </c>
      <c r="C14" s="19" t="s">
        <v>178</v>
      </c>
      <c r="D14" s="19" t="s">
        <v>179</v>
      </c>
      <c r="E14" s="20" t="s">
        <v>180</v>
      </c>
      <c r="F14" s="19" t="s">
        <v>181</v>
      </c>
      <c r="G14" s="19" t="str">
        <f>$E$106</f>
        <v>губернатор</v>
      </c>
      <c r="H14" s="19" t="str">
        <f>$E$107</f>
        <v>не губернатор</v>
      </c>
      <c r="I14" s="19" t="str">
        <f>$E$108</f>
        <v>выборы</v>
      </c>
      <c r="J14" s="19" t="str">
        <f>$E$109</f>
        <v>не создан</v>
      </c>
      <c r="K14" s="21"/>
      <c r="L14" s="21"/>
      <c r="M14" s="21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s="5" customFormat="1" spans="2:28">
      <c r="B15" s="5" t="s">
        <v>182</v>
      </c>
      <c r="C15" s="22"/>
      <c r="D15" s="22"/>
      <c r="E15" s="23" t="str">
        <f>_xlfn.TEXTJOIN(,0,COUNTIF(E16:E104,$E$106),"/",COUNTIF(E16:E104,$E$107),"/",COUNTIF(E16:E104,$E$108),"/",COUNTIF(E16:E104,$E$109))</f>
        <v>36/14/15/24</v>
      </c>
      <c r="F15" s="22"/>
      <c r="G15" s="22">
        <f>COUNTIF(G$16:G$104,"✔️")</f>
        <v>36</v>
      </c>
      <c r="H15" s="22">
        <f t="shared" ref="H15:J15" si="0">COUNTIF(H$16:H$104,"✔️")</f>
        <v>14</v>
      </c>
      <c r="I15" s="22">
        <f t="shared" si="0"/>
        <v>15</v>
      </c>
      <c r="J15" s="22">
        <f t="shared" si="0"/>
        <v>24</v>
      </c>
      <c r="K15" s="24"/>
      <c r="L15" s="24"/>
      <c r="M15" s="24"/>
      <c r="N15" s="32"/>
      <c r="O15" s="32"/>
      <c r="P15" s="32"/>
      <c r="Q15" s="32"/>
      <c r="R15" s="33"/>
      <c r="S15" s="33"/>
      <c r="T15" s="33"/>
      <c r="AB15" s="6"/>
    </row>
    <row r="16" ht="15.6" spans="2:22">
      <c r="B16" s="25" t="s">
        <v>146</v>
      </c>
      <c r="C16" s="22">
        <f>IF(OR(G16=2,D16&gt;$D$8),2,IF(OR(G16=1,D16&gt;$D$9),1,0))</f>
        <v>0</v>
      </c>
      <c r="D16" s="22">
        <f>IF(E16=$E$106,0,IF(OR(E16=$E$107,E16=$E$108),1,2))</f>
        <v>0</v>
      </c>
      <c r="E16" s="91" t="s">
        <v>183</v>
      </c>
      <c r="F16" s="22" t="str">
        <f>IF(E16=$E$106,"Штаб возглавляет губернатор",IF(E16=$E$107,"Штаб возглавляет не губернатор",IF(E16=$E$108,"Штаб не создан в связи с выборами","Штаб не создан")))</f>
        <v>Штаб возглавляет губернатор</v>
      </c>
      <c r="G16" s="22" t="str">
        <f>IF($E16=G$14,"✔️","")</f>
        <v>✔️</v>
      </c>
      <c r="H16" s="22" t="str">
        <f t="shared" ref="H16:J31" si="1">IF($E16=H$14,"✔️","")</f>
        <v/>
      </c>
      <c r="I16" s="22" t="str">
        <f t="shared" si="1"/>
        <v/>
      </c>
      <c r="J16" s="22" t="str">
        <f t="shared" si="1"/>
        <v/>
      </c>
      <c r="K16" s="24"/>
      <c r="L16" s="24"/>
      <c r="M16" s="24"/>
      <c r="N16" s="32"/>
      <c r="O16" s="32"/>
      <c r="P16" s="32"/>
      <c r="Q16" s="32"/>
      <c r="R16" s="33"/>
      <c r="S16" s="33"/>
      <c r="T16" s="6"/>
      <c r="V16" s="34"/>
    </row>
    <row r="17" ht="15.6" spans="2:22">
      <c r="B17" s="25" t="s">
        <v>150</v>
      </c>
      <c r="C17" s="22">
        <f t="shared" ref="C17:C83" si="2">IF(OR(G17=2,D17&gt;$D$8),2,IF(OR(G17=1,D17&gt;$D$9),1,0))</f>
        <v>0</v>
      </c>
      <c r="D17" s="22">
        <f t="shared" ref="D17:D80" si="3">IF(E17=$E$106,0,IF(OR(E17=$E$107,E17=$E$108),1,2))</f>
        <v>0</v>
      </c>
      <c r="E17" s="91" t="s">
        <v>183</v>
      </c>
      <c r="F17" s="22" t="str">
        <f t="shared" ref="F17:F80" si="4">IF(E17=$E$106,"Штаб возглавляет губернатор",IF(E17=$E$107,"Штаб возглавляет не губернатор",IF(E17=$E$108,"Штаб не создан в связи с выборами","Штаб не создан")))</f>
        <v>Штаб возглавляет губернатор</v>
      </c>
      <c r="G17" s="22" t="str">
        <f t="shared" ref="G17:J48" si="5">IF($E17=G$14,"✔️","")</f>
        <v>✔️</v>
      </c>
      <c r="H17" s="22" t="str">
        <f t="shared" si="1"/>
        <v/>
      </c>
      <c r="I17" s="22" t="str">
        <f t="shared" si="1"/>
        <v/>
      </c>
      <c r="J17" s="22" t="str">
        <f t="shared" si="1"/>
        <v/>
      </c>
      <c r="K17" s="24"/>
      <c r="L17" s="24"/>
      <c r="M17" s="24"/>
      <c r="N17" s="32"/>
      <c r="O17" s="32"/>
      <c r="P17" s="32"/>
      <c r="Q17" s="32"/>
      <c r="R17" s="33"/>
      <c r="S17" s="33"/>
      <c r="T17" s="6"/>
      <c r="V17" s="34"/>
    </row>
    <row r="18" ht="15.6" spans="2:22">
      <c r="B18" s="25" t="s">
        <v>133</v>
      </c>
      <c r="C18" s="22">
        <f t="shared" si="2"/>
        <v>0</v>
      </c>
      <c r="D18" s="22">
        <f t="shared" si="3"/>
        <v>0</v>
      </c>
      <c r="E18" s="91" t="s">
        <v>183</v>
      </c>
      <c r="F18" s="22" t="str">
        <f t="shared" si="4"/>
        <v>Штаб возглавляет губернатор</v>
      </c>
      <c r="G18" s="22" t="str">
        <f t="shared" si="5"/>
        <v>✔️</v>
      </c>
      <c r="H18" s="22" t="str">
        <f t="shared" si="1"/>
        <v/>
      </c>
      <c r="I18" s="22" t="str">
        <f t="shared" si="1"/>
        <v/>
      </c>
      <c r="J18" s="22" t="str">
        <f t="shared" si="1"/>
        <v/>
      </c>
      <c r="K18" s="24"/>
      <c r="L18" s="24"/>
      <c r="M18" s="24"/>
      <c r="N18" s="32"/>
      <c r="O18" s="32"/>
      <c r="P18" s="32"/>
      <c r="Q18" s="32"/>
      <c r="R18" s="33"/>
      <c r="S18" s="33"/>
      <c r="T18" s="6"/>
      <c r="V18" s="34"/>
    </row>
    <row r="19" ht="15.6" spans="2:22">
      <c r="B19" s="25" t="s">
        <v>121</v>
      </c>
      <c r="C19" s="22">
        <f t="shared" si="2"/>
        <v>1</v>
      </c>
      <c r="D19" s="22">
        <f t="shared" si="3"/>
        <v>1</v>
      </c>
      <c r="E19" s="91" t="s">
        <v>184</v>
      </c>
      <c r="F19" s="22" t="str">
        <f t="shared" si="4"/>
        <v>Штаб не создан в связи с выборами</v>
      </c>
      <c r="G19" s="22" t="str">
        <f t="shared" si="5"/>
        <v/>
      </c>
      <c r="H19" s="22" t="str">
        <f t="shared" si="1"/>
        <v/>
      </c>
      <c r="I19" s="22" t="str">
        <f t="shared" si="1"/>
        <v>✔️</v>
      </c>
      <c r="J19" s="22" t="str">
        <f t="shared" si="1"/>
        <v/>
      </c>
      <c r="K19" s="24"/>
      <c r="L19" s="24"/>
      <c r="M19" s="24"/>
      <c r="N19" s="32"/>
      <c r="O19" s="32"/>
      <c r="P19" s="32"/>
      <c r="Q19" s="32"/>
      <c r="R19" s="33"/>
      <c r="S19" s="33"/>
      <c r="T19" s="6"/>
      <c r="V19" s="34"/>
    </row>
    <row r="20" ht="15.6" spans="2:22">
      <c r="B20" s="25" t="s">
        <v>106</v>
      </c>
      <c r="C20" s="22">
        <f t="shared" si="2"/>
        <v>2</v>
      </c>
      <c r="D20" s="22">
        <f t="shared" si="3"/>
        <v>2</v>
      </c>
      <c r="E20" s="91" t="s">
        <v>185</v>
      </c>
      <c r="F20" s="22" t="str">
        <f t="shared" si="4"/>
        <v>Штаб не создан</v>
      </c>
      <c r="G20" s="22" t="str">
        <f t="shared" si="5"/>
        <v/>
      </c>
      <c r="H20" s="22" t="str">
        <f t="shared" si="1"/>
        <v/>
      </c>
      <c r="I20" s="22" t="str">
        <f t="shared" si="1"/>
        <v/>
      </c>
      <c r="J20" s="22" t="str">
        <f t="shared" si="1"/>
        <v>✔️</v>
      </c>
      <c r="K20" s="24"/>
      <c r="L20" s="24"/>
      <c r="M20" s="24"/>
      <c r="N20" s="32"/>
      <c r="O20" s="32"/>
      <c r="P20" s="32"/>
      <c r="Q20" s="32"/>
      <c r="R20" s="33"/>
      <c r="S20" s="33"/>
      <c r="T20" s="6"/>
      <c r="V20" s="34"/>
    </row>
    <row r="21" ht="15.6" spans="2:22">
      <c r="B21" s="25" t="s">
        <v>91</v>
      </c>
      <c r="C21" s="22">
        <f t="shared" si="2"/>
        <v>0</v>
      </c>
      <c r="D21" s="22">
        <f t="shared" si="3"/>
        <v>0</v>
      </c>
      <c r="E21" s="91" t="s">
        <v>183</v>
      </c>
      <c r="F21" s="22" t="str">
        <f t="shared" si="4"/>
        <v>Штаб возглавляет губернатор</v>
      </c>
      <c r="G21" s="22" t="str">
        <f t="shared" si="5"/>
        <v>✔️</v>
      </c>
      <c r="H21" s="22" t="str">
        <f t="shared" si="1"/>
        <v/>
      </c>
      <c r="I21" s="22" t="str">
        <f t="shared" si="1"/>
        <v/>
      </c>
      <c r="J21" s="22" t="str">
        <f t="shared" si="1"/>
        <v/>
      </c>
      <c r="K21" s="24"/>
      <c r="L21" s="24"/>
      <c r="M21" s="24"/>
      <c r="N21" s="32"/>
      <c r="O21" s="32"/>
      <c r="P21" s="32"/>
      <c r="Q21" s="32"/>
      <c r="R21" s="33"/>
      <c r="S21" s="33"/>
      <c r="T21" s="6"/>
      <c r="V21" s="34"/>
    </row>
    <row r="22" ht="15.6" spans="2:22">
      <c r="B22" s="25" t="s">
        <v>113</v>
      </c>
      <c r="C22" s="22">
        <f t="shared" si="2"/>
        <v>0</v>
      </c>
      <c r="D22" s="22">
        <f t="shared" si="3"/>
        <v>0</v>
      </c>
      <c r="E22" s="91" t="s">
        <v>183</v>
      </c>
      <c r="F22" s="22" t="str">
        <f t="shared" si="4"/>
        <v>Штаб возглавляет губернатор</v>
      </c>
      <c r="G22" s="22" t="str">
        <f t="shared" si="5"/>
        <v>✔️</v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4"/>
      <c r="L22" s="24"/>
      <c r="M22" s="24"/>
      <c r="N22" s="32"/>
      <c r="O22" s="32"/>
      <c r="P22" s="32"/>
      <c r="Q22" s="32"/>
      <c r="R22" s="33"/>
      <c r="S22" s="33"/>
      <c r="T22" s="6"/>
      <c r="V22" s="34"/>
    </row>
    <row r="23" ht="15.6" spans="2:22">
      <c r="B23" s="25" t="s">
        <v>86</v>
      </c>
      <c r="C23" s="22">
        <f t="shared" si="2"/>
        <v>1</v>
      </c>
      <c r="D23" s="22">
        <f t="shared" si="3"/>
        <v>1</v>
      </c>
      <c r="E23" s="91" t="s">
        <v>184</v>
      </c>
      <c r="F23" s="22" t="str">
        <f t="shared" si="4"/>
        <v>Штаб не создан в связи с выборами</v>
      </c>
      <c r="G23" s="22" t="str">
        <f t="shared" si="5"/>
        <v/>
      </c>
      <c r="H23" s="22" t="str">
        <f t="shared" si="1"/>
        <v/>
      </c>
      <c r="I23" s="22" t="str">
        <f t="shared" si="1"/>
        <v>✔️</v>
      </c>
      <c r="J23" s="22" t="str">
        <f t="shared" si="1"/>
        <v/>
      </c>
      <c r="K23" s="24"/>
      <c r="L23" s="24"/>
      <c r="M23" s="24"/>
      <c r="N23" s="32"/>
      <c r="O23" s="32"/>
      <c r="P23" s="32"/>
      <c r="Q23" s="32"/>
      <c r="R23" s="33"/>
      <c r="S23" s="33"/>
      <c r="T23" s="6"/>
      <c r="V23" s="34"/>
    </row>
    <row r="24" ht="15.6" spans="2:22">
      <c r="B24" s="25" t="s">
        <v>107</v>
      </c>
      <c r="C24" s="22">
        <f t="shared" si="2"/>
        <v>1</v>
      </c>
      <c r="D24" s="22">
        <f t="shared" si="3"/>
        <v>1</v>
      </c>
      <c r="E24" s="91" t="s">
        <v>184</v>
      </c>
      <c r="F24" s="22" t="str">
        <f t="shared" si="4"/>
        <v>Штаб не создан в связи с выборами</v>
      </c>
      <c r="G24" s="22" t="str">
        <f t="shared" si="5"/>
        <v/>
      </c>
      <c r="H24" s="22" t="str">
        <f t="shared" si="1"/>
        <v/>
      </c>
      <c r="I24" s="22" t="str">
        <f t="shared" si="1"/>
        <v>✔️</v>
      </c>
      <c r="J24" s="22" t="str">
        <f t="shared" si="1"/>
        <v/>
      </c>
      <c r="K24" s="24"/>
      <c r="L24" s="24"/>
      <c r="M24" s="24"/>
      <c r="N24" s="32"/>
      <c r="O24" s="32"/>
      <c r="P24" s="32"/>
      <c r="Q24" s="32"/>
      <c r="R24" s="33"/>
      <c r="S24" s="33"/>
      <c r="T24" s="6"/>
      <c r="V24" s="34"/>
    </row>
    <row r="25" ht="15.6" spans="2:22">
      <c r="B25" s="25" t="s">
        <v>137</v>
      </c>
      <c r="C25" s="22">
        <f t="shared" si="2"/>
        <v>0</v>
      </c>
      <c r="D25" s="22">
        <f t="shared" si="3"/>
        <v>0</v>
      </c>
      <c r="E25" s="91" t="s">
        <v>183</v>
      </c>
      <c r="F25" s="22" t="str">
        <f t="shared" si="4"/>
        <v>Штаб возглавляет губернатор</v>
      </c>
      <c r="G25" s="22" t="str">
        <f t="shared" si="5"/>
        <v>✔️</v>
      </c>
      <c r="H25" s="22" t="str">
        <f t="shared" si="1"/>
        <v/>
      </c>
      <c r="I25" s="22" t="str">
        <f t="shared" si="1"/>
        <v/>
      </c>
      <c r="J25" s="22" t="str">
        <f t="shared" si="1"/>
        <v/>
      </c>
      <c r="K25" s="24"/>
      <c r="L25" s="24"/>
      <c r="M25" s="24"/>
      <c r="N25" s="32"/>
      <c r="O25" s="32"/>
      <c r="P25" s="32"/>
      <c r="Q25" s="32"/>
      <c r="R25" s="33"/>
      <c r="S25" s="33"/>
      <c r="T25" s="6"/>
      <c r="V25" s="34"/>
    </row>
    <row r="26" ht="15.6" spans="2:22">
      <c r="B26" s="25" t="s">
        <v>68</v>
      </c>
      <c r="C26" s="22">
        <f t="shared" si="2"/>
        <v>2</v>
      </c>
      <c r="D26" s="22">
        <f t="shared" si="3"/>
        <v>2</v>
      </c>
      <c r="E26" s="91" t="s">
        <v>185</v>
      </c>
      <c r="F26" s="22" t="str">
        <f t="shared" si="4"/>
        <v>Штаб не создан</v>
      </c>
      <c r="G26" s="22" t="str">
        <f t="shared" si="5"/>
        <v/>
      </c>
      <c r="H26" s="22" t="str">
        <f t="shared" si="1"/>
        <v/>
      </c>
      <c r="I26" s="22" t="str">
        <f t="shared" si="1"/>
        <v/>
      </c>
      <c r="J26" s="22" t="str">
        <f t="shared" si="1"/>
        <v>✔️</v>
      </c>
      <c r="K26" s="24"/>
      <c r="L26" s="24"/>
      <c r="M26" s="24"/>
      <c r="N26" s="32"/>
      <c r="O26" s="32"/>
      <c r="P26" s="32"/>
      <c r="Q26" s="32"/>
      <c r="R26" s="33"/>
      <c r="S26" s="33"/>
      <c r="T26" s="6"/>
      <c r="V26" s="34"/>
    </row>
    <row r="27" ht="15.6" spans="2:22">
      <c r="B27" s="25" t="s">
        <v>71</v>
      </c>
      <c r="C27" s="22">
        <f t="shared" si="2"/>
        <v>1</v>
      </c>
      <c r="D27" s="22">
        <f t="shared" si="3"/>
        <v>1</v>
      </c>
      <c r="E27" s="91" t="s">
        <v>186</v>
      </c>
      <c r="F27" s="22" t="str">
        <f t="shared" si="4"/>
        <v>Штаб возглавляет не губернатор</v>
      </c>
      <c r="G27" s="22" t="str">
        <f t="shared" si="5"/>
        <v/>
      </c>
      <c r="H27" s="22" t="str">
        <f t="shared" si="1"/>
        <v>✔️</v>
      </c>
      <c r="I27" s="22" t="str">
        <f t="shared" si="1"/>
        <v/>
      </c>
      <c r="J27" s="22" t="str">
        <f t="shared" si="1"/>
        <v/>
      </c>
      <c r="K27" s="24"/>
      <c r="L27" s="24"/>
      <c r="M27" s="24"/>
      <c r="N27" s="32"/>
      <c r="O27" s="32"/>
      <c r="P27" s="32"/>
      <c r="Q27" s="32"/>
      <c r="R27" s="33"/>
      <c r="S27" s="33"/>
      <c r="T27" s="6"/>
      <c r="V27" s="34"/>
    </row>
    <row r="28" ht="15.6" spans="2:22">
      <c r="B28" s="25" t="s">
        <v>118</v>
      </c>
      <c r="C28" s="22">
        <f t="shared" si="2"/>
        <v>2</v>
      </c>
      <c r="D28" s="22">
        <f t="shared" si="3"/>
        <v>2</v>
      </c>
      <c r="E28" s="91" t="s">
        <v>185</v>
      </c>
      <c r="F28" s="22" t="str">
        <f t="shared" si="4"/>
        <v>Штаб не создан</v>
      </c>
      <c r="G28" s="22" t="str">
        <f t="shared" si="5"/>
        <v/>
      </c>
      <c r="H28" s="22" t="str">
        <f t="shared" si="1"/>
        <v/>
      </c>
      <c r="I28" s="22" t="str">
        <f t="shared" si="1"/>
        <v/>
      </c>
      <c r="J28" s="22" t="str">
        <f t="shared" si="1"/>
        <v>✔️</v>
      </c>
      <c r="K28" s="24"/>
      <c r="L28" s="24"/>
      <c r="M28" s="24"/>
      <c r="N28" s="32"/>
      <c r="O28" s="32"/>
      <c r="P28" s="32"/>
      <c r="Q28" s="32"/>
      <c r="R28" s="33"/>
      <c r="S28" s="33"/>
      <c r="T28" s="6"/>
      <c r="V28" s="34"/>
    </row>
    <row r="29" ht="15.6" spans="2:22">
      <c r="B29" s="25" t="s">
        <v>160</v>
      </c>
      <c r="C29" s="22">
        <f t="shared" ref="C29" si="6">IF(OR(G29=2,D29&gt;$D$8),2,IF(OR(G29=1,D29&gt;$D$9),1,0))</f>
        <v>2</v>
      </c>
      <c r="D29" s="22">
        <f t="shared" si="3"/>
        <v>2</v>
      </c>
      <c r="E29" s="91" t="s">
        <v>185</v>
      </c>
      <c r="F29" s="22" t="str">
        <f t="shared" si="4"/>
        <v>Штаб не создан</v>
      </c>
      <c r="G29" s="22" t="str">
        <f t="shared" si="5"/>
        <v/>
      </c>
      <c r="H29" s="22" t="str">
        <f t="shared" si="1"/>
        <v/>
      </c>
      <c r="I29" s="22" t="str">
        <f t="shared" si="1"/>
        <v/>
      </c>
      <c r="J29" s="22" t="str">
        <f t="shared" si="1"/>
        <v>✔️</v>
      </c>
      <c r="K29" s="24"/>
      <c r="L29" s="24"/>
      <c r="M29" s="24"/>
      <c r="N29" s="32"/>
      <c r="O29" s="32"/>
      <c r="P29" s="32"/>
      <c r="Q29" s="32"/>
      <c r="R29" s="33"/>
      <c r="S29" s="33"/>
      <c r="T29" s="6"/>
      <c r="V29" s="34"/>
    </row>
    <row r="30" ht="15.6" spans="2:22">
      <c r="B30" s="25" t="s">
        <v>131</v>
      </c>
      <c r="C30" s="22">
        <f t="shared" si="2"/>
        <v>0</v>
      </c>
      <c r="D30" s="22">
        <f t="shared" si="3"/>
        <v>0</v>
      </c>
      <c r="E30" s="91" t="s">
        <v>183</v>
      </c>
      <c r="F30" s="22" t="str">
        <f t="shared" si="4"/>
        <v>Штаб возглавляет губернатор</v>
      </c>
      <c r="G30" s="22" t="str">
        <f t="shared" si="5"/>
        <v>✔️</v>
      </c>
      <c r="H30" s="22" t="str">
        <f t="shared" si="1"/>
        <v/>
      </c>
      <c r="I30" s="22" t="str">
        <f t="shared" si="1"/>
        <v/>
      </c>
      <c r="J30" s="22" t="str">
        <f t="shared" si="1"/>
        <v/>
      </c>
      <c r="K30" s="24"/>
      <c r="L30" s="24"/>
      <c r="M30" s="24"/>
      <c r="N30" s="32"/>
      <c r="O30" s="32"/>
      <c r="P30" s="32"/>
      <c r="Q30" s="32"/>
      <c r="R30" s="33"/>
      <c r="S30" s="33"/>
      <c r="T30" s="6"/>
      <c r="V30" s="34"/>
    </row>
    <row r="31" ht="15.6" spans="2:22">
      <c r="B31" s="25" t="s">
        <v>155</v>
      </c>
      <c r="C31" s="22">
        <f t="shared" si="2"/>
        <v>0</v>
      </c>
      <c r="D31" s="22">
        <f t="shared" si="3"/>
        <v>0</v>
      </c>
      <c r="E31" s="91" t="s">
        <v>183</v>
      </c>
      <c r="F31" s="22" t="str">
        <f t="shared" si="4"/>
        <v>Штаб возглавляет губернатор</v>
      </c>
      <c r="G31" s="22" t="str">
        <f t="shared" si="5"/>
        <v>✔️</v>
      </c>
      <c r="H31" s="22" t="str">
        <f t="shared" si="1"/>
        <v/>
      </c>
      <c r="I31" s="22" t="str">
        <f t="shared" si="1"/>
        <v/>
      </c>
      <c r="J31" s="22" t="str">
        <f t="shared" si="1"/>
        <v/>
      </c>
      <c r="K31" s="24"/>
      <c r="L31" s="24"/>
      <c r="M31" s="24"/>
      <c r="N31" s="32"/>
      <c r="O31" s="32"/>
      <c r="P31" s="32"/>
      <c r="Q31" s="32"/>
      <c r="R31" s="33"/>
      <c r="S31" s="33"/>
      <c r="T31" s="6"/>
      <c r="V31" s="34"/>
    </row>
    <row r="32" ht="15.6" spans="2:22">
      <c r="B32" s="25" t="s">
        <v>161</v>
      </c>
      <c r="C32" s="22">
        <f t="shared" ref="C32" si="7">IF(OR(G32=2,D32&gt;$D$8),2,IF(OR(G32=1,D32&gt;$D$9),1,0))</f>
        <v>2</v>
      </c>
      <c r="D32" s="22">
        <f t="shared" si="3"/>
        <v>2</v>
      </c>
      <c r="E32" s="91" t="s">
        <v>185</v>
      </c>
      <c r="F32" s="22" t="str">
        <f t="shared" si="4"/>
        <v>Штаб не создан</v>
      </c>
      <c r="G32" s="22" t="str">
        <f t="shared" si="5"/>
        <v/>
      </c>
      <c r="H32" s="22" t="str">
        <f t="shared" si="5"/>
        <v/>
      </c>
      <c r="I32" s="22" t="str">
        <f t="shared" si="5"/>
        <v/>
      </c>
      <c r="J32" s="22" t="str">
        <f t="shared" si="5"/>
        <v>✔️</v>
      </c>
      <c r="K32" s="24"/>
      <c r="L32" s="24"/>
      <c r="M32" s="24"/>
      <c r="N32" s="32"/>
      <c r="O32" s="32"/>
      <c r="P32" s="32"/>
      <c r="Q32" s="32"/>
      <c r="R32" s="33"/>
      <c r="S32" s="33"/>
      <c r="T32" s="6"/>
      <c r="V32" s="34"/>
    </row>
    <row r="33" ht="15.6" spans="2:22">
      <c r="B33" s="25" t="s">
        <v>81</v>
      </c>
      <c r="C33" s="22">
        <f t="shared" si="2"/>
        <v>0</v>
      </c>
      <c r="D33" s="22">
        <f t="shared" si="3"/>
        <v>0</v>
      </c>
      <c r="E33" s="91" t="s">
        <v>183</v>
      </c>
      <c r="F33" s="22" t="str">
        <f t="shared" si="4"/>
        <v>Штаб возглавляет губернатор</v>
      </c>
      <c r="G33" s="22" t="str">
        <f t="shared" si="5"/>
        <v>✔️</v>
      </c>
      <c r="H33" s="22" t="str">
        <f t="shared" si="5"/>
        <v/>
      </c>
      <c r="I33" s="22" t="str">
        <f t="shared" si="5"/>
        <v/>
      </c>
      <c r="J33" s="22" t="str">
        <f t="shared" si="5"/>
        <v/>
      </c>
      <c r="K33" s="24"/>
      <c r="L33" s="24"/>
      <c r="M33" s="24"/>
      <c r="N33" s="32"/>
      <c r="O33" s="32"/>
      <c r="P33" s="32"/>
      <c r="Q33" s="32"/>
      <c r="R33" s="33"/>
      <c r="S33" s="33"/>
      <c r="T33" s="6"/>
      <c r="V33" s="34"/>
    </row>
    <row r="34" ht="15.6" spans="2:22">
      <c r="B34" s="25" t="s">
        <v>148</v>
      </c>
      <c r="C34" s="22">
        <f t="shared" si="2"/>
        <v>0</v>
      </c>
      <c r="D34" s="22">
        <f t="shared" si="3"/>
        <v>0</v>
      </c>
      <c r="E34" s="91" t="s">
        <v>183</v>
      </c>
      <c r="F34" s="22" t="str">
        <f t="shared" si="4"/>
        <v>Штаб возглавляет губернатор</v>
      </c>
      <c r="G34" s="22" t="str">
        <f t="shared" si="5"/>
        <v>✔️</v>
      </c>
      <c r="H34" s="22" t="str">
        <f t="shared" si="5"/>
        <v/>
      </c>
      <c r="I34" s="22" t="str">
        <f t="shared" si="5"/>
        <v/>
      </c>
      <c r="J34" s="22" t="str">
        <f t="shared" si="5"/>
        <v/>
      </c>
      <c r="K34" s="24"/>
      <c r="L34" s="24"/>
      <c r="M34" s="24"/>
      <c r="N34" s="32"/>
      <c r="O34" s="32"/>
      <c r="P34" s="32"/>
      <c r="Q34" s="32"/>
      <c r="R34" s="33"/>
      <c r="S34" s="33"/>
      <c r="T34" s="6"/>
      <c r="V34" s="34"/>
    </row>
    <row r="35" ht="15.6" spans="2:22">
      <c r="B35" s="25" t="s">
        <v>126</v>
      </c>
      <c r="C35" s="22">
        <f t="shared" si="2"/>
        <v>1</v>
      </c>
      <c r="D35" s="22">
        <f t="shared" si="3"/>
        <v>1</v>
      </c>
      <c r="E35" s="91" t="s">
        <v>184</v>
      </c>
      <c r="F35" s="22" t="str">
        <f t="shared" si="4"/>
        <v>Штаб не создан в связи с выборами</v>
      </c>
      <c r="G35" s="22" t="str">
        <f t="shared" si="5"/>
        <v/>
      </c>
      <c r="H35" s="22" t="str">
        <f t="shared" si="5"/>
        <v/>
      </c>
      <c r="I35" s="22" t="str">
        <f t="shared" si="5"/>
        <v>✔️</v>
      </c>
      <c r="J35" s="22" t="str">
        <f t="shared" si="5"/>
        <v/>
      </c>
      <c r="K35" s="24"/>
      <c r="L35" s="24"/>
      <c r="M35" s="24"/>
      <c r="N35" s="32"/>
      <c r="O35" s="32"/>
      <c r="P35" s="32"/>
      <c r="Q35" s="32"/>
      <c r="R35" s="33"/>
      <c r="S35" s="33"/>
      <c r="T35" s="6"/>
      <c r="V35" s="34"/>
    </row>
    <row r="36" ht="15.6" spans="2:22">
      <c r="B36" s="25" t="s">
        <v>119</v>
      </c>
      <c r="C36" s="22">
        <f t="shared" si="2"/>
        <v>1</v>
      </c>
      <c r="D36" s="22">
        <f t="shared" si="3"/>
        <v>1</v>
      </c>
      <c r="E36" s="91" t="s">
        <v>184</v>
      </c>
      <c r="F36" s="22" t="str">
        <f t="shared" si="4"/>
        <v>Штаб не создан в связи с выборами</v>
      </c>
      <c r="G36" s="22" t="str">
        <f t="shared" si="5"/>
        <v/>
      </c>
      <c r="H36" s="22" t="str">
        <f t="shared" si="5"/>
        <v/>
      </c>
      <c r="I36" s="22" t="str">
        <f t="shared" si="5"/>
        <v>✔️</v>
      </c>
      <c r="J36" s="22" t="str">
        <f t="shared" si="5"/>
        <v/>
      </c>
      <c r="K36" s="24"/>
      <c r="L36" s="24"/>
      <c r="M36" s="24"/>
      <c r="N36" s="32"/>
      <c r="O36" s="32"/>
      <c r="P36" s="32"/>
      <c r="Q36" s="32"/>
      <c r="R36" s="33"/>
      <c r="S36" s="33"/>
      <c r="T36" s="6"/>
      <c r="V36" s="34"/>
    </row>
    <row r="37" ht="15.6" spans="2:22">
      <c r="B37" s="25" t="s">
        <v>87</v>
      </c>
      <c r="C37" s="22">
        <f t="shared" si="2"/>
        <v>0</v>
      </c>
      <c r="D37" s="22">
        <f t="shared" si="3"/>
        <v>0</v>
      </c>
      <c r="E37" s="91" t="s">
        <v>183</v>
      </c>
      <c r="F37" s="22" t="str">
        <f t="shared" si="4"/>
        <v>Штаб возглавляет губернатор</v>
      </c>
      <c r="G37" s="22" t="str">
        <f t="shared" si="5"/>
        <v>✔️</v>
      </c>
      <c r="H37" s="22" t="str">
        <f t="shared" si="5"/>
        <v/>
      </c>
      <c r="I37" s="22" t="str">
        <f t="shared" si="5"/>
        <v/>
      </c>
      <c r="J37" s="22" t="str">
        <f t="shared" si="5"/>
        <v/>
      </c>
      <c r="K37" s="24"/>
      <c r="L37" s="24"/>
      <c r="M37" s="24"/>
      <c r="N37" s="32"/>
      <c r="O37" s="32"/>
      <c r="P37" s="32"/>
      <c r="Q37" s="32"/>
      <c r="R37" s="33"/>
      <c r="S37" s="33"/>
      <c r="T37" s="6"/>
      <c r="V37" s="34"/>
    </row>
    <row r="38" ht="15.6" spans="2:22">
      <c r="B38" s="25" t="s">
        <v>134</v>
      </c>
      <c r="C38" s="22">
        <f t="shared" si="2"/>
        <v>0</v>
      </c>
      <c r="D38" s="22">
        <f t="shared" si="3"/>
        <v>0</v>
      </c>
      <c r="E38" s="91" t="s">
        <v>183</v>
      </c>
      <c r="F38" s="22" t="str">
        <f t="shared" si="4"/>
        <v>Штаб возглавляет губернатор</v>
      </c>
      <c r="G38" s="22" t="str">
        <f t="shared" si="5"/>
        <v>✔️</v>
      </c>
      <c r="H38" s="22" t="str">
        <f t="shared" si="5"/>
        <v/>
      </c>
      <c r="I38" s="22" t="str">
        <f t="shared" si="5"/>
        <v/>
      </c>
      <c r="J38" s="22" t="str">
        <f t="shared" si="5"/>
        <v/>
      </c>
      <c r="K38" s="24"/>
      <c r="L38" s="24"/>
      <c r="M38" s="24"/>
      <c r="N38" s="32"/>
      <c r="O38" s="32"/>
      <c r="P38" s="32"/>
      <c r="Q38" s="32"/>
      <c r="R38" s="33"/>
      <c r="S38" s="33"/>
      <c r="T38" s="6"/>
      <c r="V38" s="34"/>
    </row>
    <row r="39" ht="15.6" spans="2:22">
      <c r="B39" s="25" t="s">
        <v>138</v>
      </c>
      <c r="C39" s="22">
        <f t="shared" si="2"/>
        <v>0</v>
      </c>
      <c r="D39" s="22">
        <f t="shared" si="3"/>
        <v>0</v>
      </c>
      <c r="E39" s="91" t="s">
        <v>183</v>
      </c>
      <c r="F39" s="22" t="str">
        <f t="shared" si="4"/>
        <v>Штаб возглавляет губернатор</v>
      </c>
      <c r="G39" s="22" t="str">
        <f t="shared" si="5"/>
        <v>✔️</v>
      </c>
      <c r="H39" s="22" t="str">
        <f t="shared" si="5"/>
        <v/>
      </c>
      <c r="I39" s="22" t="str">
        <f t="shared" si="5"/>
        <v/>
      </c>
      <c r="J39" s="22" t="str">
        <f t="shared" si="5"/>
        <v/>
      </c>
      <c r="K39" s="24"/>
      <c r="L39" s="24"/>
      <c r="M39" s="24"/>
      <c r="N39" s="32"/>
      <c r="O39" s="32"/>
      <c r="P39" s="32"/>
      <c r="Q39" s="32"/>
      <c r="R39" s="33"/>
      <c r="S39" s="33"/>
      <c r="T39" s="6"/>
      <c r="V39" s="34"/>
    </row>
    <row r="40" ht="15.6" spans="2:22">
      <c r="B40" s="25" t="s">
        <v>109</v>
      </c>
      <c r="C40" s="22">
        <f t="shared" si="2"/>
        <v>1</v>
      </c>
      <c r="D40" s="22">
        <f t="shared" si="3"/>
        <v>1</v>
      </c>
      <c r="E40" s="91" t="s">
        <v>184</v>
      </c>
      <c r="F40" s="22" t="str">
        <f t="shared" si="4"/>
        <v>Штаб не создан в связи с выборами</v>
      </c>
      <c r="G40" s="22" t="str">
        <f t="shared" si="5"/>
        <v/>
      </c>
      <c r="H40" s="22" t="str">
        <f t="shared" si="5"/>
        <v/>
      </c>
      <c r="I40" s="22" t="str">
        <f t="shared" si="5"/>
        <v>✔️</v>
      </c>
      <c r="J40" s="22" t="str">
        <f t="shared" si="5"/>
        <v/>
      </c>
      <c r="K40" s="24"/>
      <c r="L40" s="24"/>
      <c r="M40" s="24"/>
      <c r="N40" s="32"/>
      <c r="O40" s="32"/>
      <c r="P40" s="32"/>
      <c r="Q40" s="32"/>
      <c r="R40" s="33"/>
      <c r="S40" s="33"/>
      <c r="T40" s="6"/>
      <c r="V40" s="34"/>
    </row>
    <row r="41" ht="15.6" spans="2:22">
      <c r="B41" s="25" t="s">
        <v>76</v>
      </c>
      <c r="C41" s="22">
        <f t="shared" si="2"/>
        <v>2</v>
      </c>
      <c r="D41" s="22">
        <f t="shared" si="3"/>
        <v>2</v>
      </c>
      <c r="E41" s="91" t="s">
        <v>185</v>
      </c>
      <c r="F41" s="22" t="str">
        <f t="shared" si="4"/>
        <v>Штаб не создан</v>
      </c>
      <c r="G41" s="22" t="str">
        <f t="shared" si="5"/>
        <v/>
      </c>
      <c r="H41" s="22" t="str">
        <f t="shared" si="5"/>
        <v/>
      </c>
      <c r="I41" s="22" t="str">
        <f t="shared" si="5"/>
        <v/>
      </c>
      <c r="J41" s="22" t="str">
        <f t="shared" si="5"/>
        <v>✔️</v>
      </c>
      <c r="K41" s="24"/>
      <c r="L41" s="24"/>
      <c r="M41" s="24"/>
      <c r="N41" s="32"/>
      <c r="O41" s="32"/>
      <c r="P41" s="32"/>
      <c r="Q41" s="32"/>
      <c r="R41" s="33"/>
      <c r="S41" s="33"/>
      <c r="T41" s="6"/>
      <c r="V41" s="34"/>
    </row>
    <row r="42" ht="15.6" spans="2:22">
      <c r="B42" s="25" t="s">
        <v>89</v>
      </c>
      <c r="C42" s="22">
        <f t="shared" si="2"/>
        <v>0</v>
      </c>
      <c r="D42" s="22">
        <f t="shared" si="3"/>
        <v>0</v>
      </c>
      <c r="E42" s="91" t="s">
        <v>183</v>
      </c>
      <c r="F42" s="22" t="str">
        <f t="shared" si="4"/>
        <v>Штаб возглавляет губернатор</v>
      </c>
      <c r="G42" s="22" t="str">
        <f t="shared" si="5"/>
        <v>✔️</v>
      </c>
      <c r="H42" s="22" t="str">
        <f t="shared" si="5"/>
        <v/>
      </c>
      <c r="I42" s="22" t="str">
        <f t="shared" si="5"/>
        <v/>
      </c>
      <c r="J42" s="22" t="str">
        <f t="shared" si="5"/>
        <v/>
      </c>
      <c r="K42" s="24"/>
      <c r="L42" s="24"/>
      <c r="M42" s="24"/>
      <c r="N42" s="32"/>
      <c r="O42" s="32"/>
      <c r="P42" s="32"/>
      <c r="Q42" s="32"/>
      <c r="R42" s="33"/>
      <c r="S42" s="33"/>
      <c r="T42" s="6"/>
      <c r="V42" s="34"/>
    </row>
    <row r="43" ht="15.6" spans="2:22">
      <c r="B43" s="25" t="s">
        <v>141</v>
      </c>
      <c r="C43" s="22">
        <f t="shared" si="2"/>
        <v>0</v>
      </c>
      <c r="D43" s="22">
        <f t="shared" si="3"/>
        <v>0</v>
      </c>
      <c r="E43" s="91" t="s">
        <v>183</v>
      </c>
      <c r="F43" s="22" t="str">
        <f t="shared" si="4"/>
        <v>Штаб возглавляет губернатор</v>
      </c>
      <c r="G43" s="22" t="str">
        <f t="shared" si="5"/>
        <v>✔️</v>
      </c>
      <c r="H43" s="22" t="str">
        <f t="shared" si="5"/>
        <v/>
      </c>
      <c r="I43" s="22" t="str">
        <f t="shared" si="5"/>
        <v/>
      </c>
      <c r="J43" s="22" t="str">
        <f t="shared" si="5"/>
        <v/>
      </c>
      <c r="K43" s="24"/>
      <c r="L43" s="24"/>
      <c r="M43" s="24"/>
      <c r="N43" s="32"/>
      <c r="O43" s="32"/>
      <c r="P43" s="32"/>
      <c r="Q43" s="32"/>
      <c r="R43" s="33"/>
      <c r="S43" s="33"/>
      <c r="T43" s="6"/>
      <c r="V43" s="34"/>
    </row>
    <row r="44" ht="15.6" spans="2:22">
      <c r="B44" s="25" t="s">
        <v>142</v>
      </c>
      <c r="C44" s="22">
        <f t="shared" si="2"/>
        <v>1</v>
      </c>
      <c r="D44" s="22">
        <f t="shared" si="3"/>
        <v>1</v>
      </c>
      <c r="E44" s="91" t="s">
        <v>186</v>
      </c>
      <c r="F44" s="22" t="str">
        <f t="shared" si="4"/>
        <v>Штаб возглавляет не губернатор</v>
      </c>
      <c r="G44" s="22" t="str">
        <f t="shared" si="5"/>
        <v/>
      </c>
      <c r="H44" s="22" t="str">
        <f t="shared" si="5"/>
        <v>✔️</v>
      </c>
      <c r="I44" s="22" t="str">
        <f t="shared" si="5"/>
        <v/>
      </c>
      <c r="J44" s="22" t="str">
        <f t="shared" si="5"/>
        <v/>
      </c>
      <c r="K44" s="24"/>
      <c r="L44" s="24"/>
      <c r="M44" s="24"/>
      <c r="N44" s="32"/>
      <c r="O44" s="32"/>
      <c r="P44" s="32"/>
      <c r="Q44" s="32"/>
      <c r="R44" s="33"/>
      <c r="S44" s="33"/>
      <c r="T44" s="6"/>
      <c r="V44" s="34"/>
    </row>
    <row r="45" ht="15.6" spans="2:22">
      <c r="B45" s="25" t="s">
        <v>132</v>
      </c>
      <c r="C45" s="22">
        <f t="shared" si="2"/>
        <v>1</v>
      </c>
      <c r="D45" s="22">
        <f t="shared" si="3"/>
        <v>1</v>
      </c>
      <c r="E45" s="91" t="s">
        <v>184</v>
      </c>
      <c r="F45" s="22" t="str">
        <f t="shared" si="4"/>
        <v>Штаб не создан в связи с выборами</v>
      </c>
      <c r="G45" s="22" t="str">
        <f t="shared" si="5"/>
        <v/>
      </c>
      <c r="H45" s="22" t="str">
        <f t="shared" si="5"/>
        <v/>
      </c>
      <c r="I45" s="22" t="str">
        <f t="shared" si="5"/>
        <v>✔️</v>
      </c>
      <c r="J45" s="22" t="str">
        <f t="shared" si="5"/>
        <v/>
      </c>
      <c r="K45" s="24"/>
      <c r="L45" s="24"/>
      <c r="M45" s="24"/>
      <c r="N45" s="32"/>
      <c r="O45" s="32"/>
      <c r="P45" s="32"/>
      <c r="Q45" s="32"/>
      <c r="R45" s="33"/>
      <c r="S45" s="33"/>
      <c r="T45" s="6"/>
      <c r="V45" s="34"/>
    </row>
    <row r="46" ht="15.6" spans="2:22">
      <c r="B46" s="25" t="s">
        <v>77</v>
      </c>
      <c r="C46" s="22">
        <f t="shared" si="2"/>
        <v>1</v>
      </c>
      <c r="D46" s="22">
        <f t="shared" si="3"/>
        <v>1</v>
      </c>
      <c r="E46" s="91" t="s">
        <v>184</v>
      </c>
      <c r="F46" s="22" t="str">
        <f t="shared" si="4"/>
        <v>Штаб не создан в связи с выборами</v>
      </c>
      <c r="G46" s="22" t="str">
        <f t="shared" si="5"/>
        <v/>
      </c>
      <c r="H46" s="22" t="str">
        <f t="shared" si="5"/>
        <v/>
      </c>
      <c r="I46" s="22" t="str">
        <f t="shared" si="5"/>
        <v>✔️</v>
      </c>
      <c r="J46" s="22" t="str">
        <f t="shared" si="5"/>
        <v/>
      </c>
      <c r="K46" s="24"/>
      <c r="L46" s="24"/>
      <c r="M46" s="24"/>
      <c r="N46" s="32"/>
      <c r="O46" s="32"/>
      <c r="P46" s="32"/>
      <c r="Q46" s="32"/>
      <c r="R46" s="33"/>
      <c r="S46" s="33"/>
      <c r="T46" s="6"/>
      <c r="V46" s="34"/>
    </row>
    <row r="47" ht="15.6" spans="2:22">
      <c r="B47" s="25" t="s">
        <v>92</v>
      </c>
      <c r="C47" s="22">
        <f t="shared" si="2"/>
        <v>2</v>
      </c>
      <c r="D47" s="22">
        <f t="shared" si="3"/>
        <v>2</v>
      </c>
      <c r="E47" s="91" t="s">
        <v>185</v>
      </c>
      <c r="F47" s="22" t="str">
        <f t="shared" si="4"/>
        <v>Штаб не создан</v>
      </c>
      <c r="G47" s="22" t="str">
        <f t="shared" si="5"/>
        <v/>
      </c>
      <c r="H47" s="22" t="str">
        <f t="shared" si="5"/>
        <v/>
      </c>
      <c r="I47" s="22" t="str">
        <f t="shared" si="5"/>
        <v/>
      </c>
      <c r="J47" s="22" t="str">
        <f t="shared" si="5"/>
        <v>✔️</v>
      </c>
      <c r="K47" s="24"/>
      <c r="L47" s="24"/>
      <c r="M47" s="24"/>
      <c r="N47" s="32"/>
      <c r="O47" s="32"/>
      <c r="P47" s="32"/>
      <c r="Q47" s="32"/>
      <c r="R47" s="33"/>
      <c r="S47" s="33"/>
      <c r="T47" s="6"/>
      <c r="V47" s="34"/>
    </row>
    <row r="48" ht="15.6" spans="2:22">
      <c r="B48" s="25" t="s">
        <v>101</v>
      </c>
      <c r="C48" s="22">
        <f t="shared" si="2"/>
        <v>1</v>
      </c>
      <c r="D48" s="22">
        <f t="shared" si="3"/>
        <v>1</v>
      </c>
      <c r="E48" s="91" t="s">
        <v>186</v>
      </c>
      <c r="F48" s="22" t="str">
        <f t="shared" si="4"/>
        <v>Штаб возглавляет не губернатор</v>
      </c>
      <c r="G48" s="22" t="str">
        <f t="shared" si="5"/>
        <v/>
      </c>
      <c r="H48" s="22" t="str">
        <f t="shared" si="5"/>
        <v>✔️</v>
      </c>
      <c r="I48" s="22" t="str">
        <f t="shared" si="5"/>
        <v/>
      </c>
      <c r="J48" s="22" t="str">
        <f t="shared" si="5"/>
        <v/>
      </c>
      <c r="K48" s="24"/>
      <c r="L48" s="24"/>
      <c r="M48" s="24"/>
      <c r="N48" s="32"/>
      <c r="O48" s="32"/>
      <c r="P48" s="32"/>
      <c r="Q48" s="32"/>
      <c r="R48" s="33"/>
      <c r="S48" s="33"/>
      <c r="T48" s="6"/>
      <c r="V48" s="34"/>
    </row>
    <row r="49" ht="15.6" spans="2:22">
      <c r="B49" s="25" t="s">
        <v>162</v>
      </c>
      <c r="C49" s="22">
        <f t="shared" ref="C49" si="8">IF(OR(G49=2,D49&gt;$D$8),2,IF(OR(G49=1,D49&gt;$D$9),1,0))</f>
        <v>2</v>
      </c>
      <c r="D49" s="22">
        <f t="shared" si="3"/>
        <v>2</v>
      </c>
      <c r="E49" s="91" t="s">
        <v>185</v>
      </c>
      <c r="F49" s="22" t="str">
        <f t="shared" si="4"/>
        <v>Штаб не создан</v>
      </c>
      <c r="G49" s="22" t="str">
        <f t="shared" ref="G49:J80" si="9">IF($E49=G$14,"✔️","")</f>
        <v/>
      </c>
      <c r="H49" s="22" t="str">
        <f t="shared" si="9"/>
        <v/>
      </c>
      <c r="I49" s="22" t="str">
        <f t="shared" si="9"/>
        <v/>
      </c>
      <c r="J49" s="22" t="str">
        <f t="shared" si="9"/>
        <v>✔️</v>
      </c>
      <c r="K49" s="24"/>
      <c r="L49" s="24"/>
      <c r="M49" s="24"/>
      <c r="N49" s="32"/>
      <c r="O49" s="32"/>
      <c r="P49" s="32"/>
      <c r="Q49" s="32"/>
      <c r="R49" s="33"/>
      <c r="S49" s="33"/>
      <c r="T49" s="6"/>
      <c r="V49" s="34"/>
    </row>
    <row r="50" ht="15.6" spans="2:22">
      <c r="B50" s="25" t="s">
        <v>153</v>
      </c>
      <c r="C50" s="22">
        <f t="shared" si="2"/>
        <v>2</v>
      </c>
      <c r="D50" s="22">
        <f t="shared" si="3"/>
        <v>2</v>
      </c>
      <c r="E50" s="91" t="s">
        <v>185</v>
      </c>
      <c r="F50" s="22" t="str">
        <f t="shared" si="4"/>
        <v>Штаб не создан</v>
      </c>
      <c r="G50" s="22" t="str">
        <f t="shared" si="9"/>
        <v/>
      </c>
      <c r="H50" s="22" t="str">
        <f t="shared" si="9"/>
        <v/>
      </c>
      <c r="I50" s="22" t="str">
        <f t="shared" si="9"/>
        <v/>
      </c>
      <c r="J50" s="22" t="str">
        <f t="shared" si="9"/>
        <v>✔️</v>
      </c>
      <c r="K50" s="24"/>
      <c r="L50" s="24"/>
      <c r="M50" s="24"/>
      <c r="N50" s="32"/>
      <c r="O50" s="32"/>
      <c r="P50" s="32"/>
      <c r="Q50" s="32"/>
      <c r="R50" s="33"/>
      <c r="S50" s="33"/>
      <c r="T50" s="6"/>
      <c r="V50" s="34"/>
    </row>
    <row r="51" ht="15.6" spans="2:22">
      <c r="B51" s="25" t="s">
        <v>69</v>
      </c>
      <c r="C51" s="22">
        <f t="shared" si="2"/>
        <v>2</v>
      </c>
      <c r="D51" s="22">
        <f t="shared" si="3"/>
        <v>2</v>
      </c>
      <c r="E51" s="91" t="s">
        <v>185</v>
      </c>
      <c r="F51" s="22" t="str">
        <f t="shared" si="4"/>
        <v>Штаб не создан</v>
      </c>
      <c r="G51" s="22" t="str">
        <f t="shared" si="9"/>
        <v/>
      </c>
      <c r="H51" s="22" t="str">
        <f t="shared" si="9"/>
        <v/>
      </c>
      <c r="I51" s="22" t="str">
        <f t="shared" si="9"/>
        <v/>
      </c>
      <c r="J51" s="22" t="str">
        <f t="shared" si="9"/>
        <v>✔️</v>
      </c>
      <c r="K51" s="24"/>
      <c r="L51" s="24"/>
      <c r="M51" s="24"/>
      <c r="N51" s="32"/>
      <c r="O51" s="32"/>
      <c r="P51" s="32"/>
      <c r="Q51" s="32"/>
      <c r="R51" s="33"/>
      <c r="S51" s="33"/>
      <c r="T51" s="6"/>
      <c r="V51" s="34"/>
    </row>
    <row r="52" ht="15.6" spans="2:22">
      <c r="B52" s="25" t="s">
        <v>72</v>
      </c>
      <c r="C52" s="22">
        <f t="shared" si="2"/>
        <v>1</v>
      </c>
      <c r="D52" s="22">
        <f t="shared" si="3"/>
        <v>1</v>
      </c>
      <c r="E52" s="91" t="s">
        <v>184</v>
      </c>
      <c r="F52" s="22" t="str">
        <f t="shared" si="4"/>
        <v>Штаб не создан в связи с выборами</v>
      </c>
      <c r="G52" s="22" t="str">
        <f t="shared" si="9"/>
        <v/>
      </c>
      <c r="H52" s="22" t="str">
        <f t="shared" si="9"/>
        <v/>
      </c>
      <c r="I52" s="22" t="str">
        <f t="shared" si="9"/>
        <v>✔️</v>
      </c>
      <c r="J52" s="22" t="str">
        <f t="shared" si="9"/>
        <v/>
      </c>
      <c r="K52" s="24"/>
      <c r="L52" s="24"/>
      <c r="M52" s="24"/>
      <c r="N52" s="32"/>
      <c r="O52" s="32"/>
      <c r="P52" s="32"/>
      <c r="Q52" s="32"/>
      <c r="R52" s="33"/>
      <c r="S52" s="33"/>
      <c r="T52" s="6"/>
      <c r="V52" s="34"/>
    </row>
    <row r="53" ht="15.6" spans="2:22">
      <c r="B53" s="25" t="s">
        <v>127</v>
      </c>
      <c r="C53" s="22">
        <f t="shared" si="2"/>
        <v>2</v>
      </c>
      <c r="D53" s="22">
        <f t="shared" si="3"/>
        <v>2</v>
      </c>
      <c r="E53" s="91" t="s">
        <v>185</v>
      </c>
      <c r="F53" s="22" t="str">
        <f t="shared" si="4"/>
        <v>Штаб не создан</v>
      </c>
      <c r="G53" s="22" t="str">
        <f t="shared" si="9"/>
        <v/>
      </c>
      <c r="H53" s="22" t="str">
        <f t="shared" si="9"/>
        <v/>
      </c>
      <c r="I53" s="22" t="str">
        <f t="shared" si="9"/>
        <v/>
      </c>
      <c r="J53" s="22" t="str">
        <f t="shared" si="9"/>
        <v>✔️</v>
      </c>
      <c r="K53" s="24"/>
      <c r="L53" s="24"/>
      <c r="M53" s="24"/>
      <c r="N53" s="32"/>
      <c r="O53" s="32"/>
      <c r="P53" s="32"/>
      <c r="Q53" s="32"/>
      <c r="R53" s="33"/>
      <c r="S53" s="33"/>
      <c r="T53" s="6"/>
      <c r="V53" s="34"/>
    </row>
    <row r="54" ht="15.6" spans="2:22">
      <c r="B54" s="25" t="s">
        <v>93</v>
      </c>
      <c r="C54" s="22">
        <f t="shared" si="2"/>
        <v>0</v>
      </c>
      <c r="D54" s="22">
        <f t="shared" si="3"/>
        <v>0</v>
      </c>
      <c r="E54" s="91" t="s">
        <v>183</v>
      </c>
      <c r="F54" s="22" t="str">
        <f t="shared" si="4"/>
        <v>Штаб возглавляет губернатор</v>
      </c>
      <c r="G54" s="22" t="str">
        <f t="shared" si="9"/>
        <v>✔️</v>
      </c>
      <c r="H54" s="22" t="str">
        <f t="shared" si="9"/>
        <v/>
      </c>
      <c r="I54" s="22" t="str">
        <f t="shared" si="9"/>
        <v/>
      </c>
      <c r="J54" s="22" t="str">
        <f t="shared" si="9"/>
        <v/>
      </c>
      <c r="K54" s="24"/>
      <c r="L54" s="24"/>
      <c r="M54" s="24"/>
      <c r="N54" s="32"/>
      <c r="O54" s="32"/>
      <c r="P54" s="32"/>
      <c r="Q54" s="32"/>
      <c r="R54" s="33"/>
      <c r="S54" s="33"/>
      <c r="T54" s="6"/>
      <c r="V54" s="34"/>
    </row>
    <row r="55" ht="15.6" spans="2:22">
      <c r="B55" s="25" t="s">
        <v>90</v>
      </c>
      <c r="C55" s="22">
        <f t="shared" si="2"/>
        <v>0</v>
      </c>
      <c r="D55" s="22">
        <f t="shared" si="3"/>
        <v>0</v>
      </c>
      <c r="E55" s="91" t="s">
        <v>183</v>
      </c>
      <c r="F55" s="22" t="str">
        <f t="shared" si="4"/>
        <v>Штаб возглавляет губернатор</v>
      </c>
      <c r="G55" s="22" t="str">
        <f t="shared" si="9"/>
        <v>✔️</v>
      </c>
      <c r="H55" s="22" t="str">
        <f t="shared" si="9"/>
        <v/>
      </c>
      <c r="I55" s="22" t="str">
        <f t="shared" si="9"/>
        <v/>
      </c>
      <c r="J55" s="22" t="str">
        <f t="shared" si="9"/>
        <v/>
      </c>
      <c r="K55" s="24"/>
      <c r="L55" s="24"/>
      <c r="M55" s="24"/>
      <c r="N55" s="32"/>
      <c r="O55" s="32"/>
      <c r="P55" s="32"/>
      <c r="Q55" s="32"/>
      <c r="R55" s="33"/>
      <c r="S55" s="33"/>
      <c r="T55" s="6"/>
      <c r="V55" s="34"/>
    </row>
    <row r="56" ht="15.6" spans="2:22">
      <c r="B56" s="25" t="s">
        <v>123</v>
      </c>
      <c r="C56" s="22">
        <f t="shared" si="2"/>
        <v>2</v>
      </c>
      <c r="D56" s="22">
        <f t="shared" si="3"/>
        <v>2</v>
      </c>
      <c r="E56" s="91" t="s">
        <v>185</v>
      </c>
      <c r="F56" s="22" t="str">
        <f t="shared" si="4"/>
        <v>Штаб не создан</v>
      </c>
      <c r="G56" s="22" t="str">
        <f t="shared" si="9"/>
        <v/>
      </c>
      <c r="H56" s="22" t="str">
        <f t="shared" si="9"/>
        <v/>
      </c>
      <c r="I56" s="22" t="str">
        <f t="shared" si="9"/>
        <v/>
      </c>
      <c r="J56" s="22" t="str">
        <f t="shared" si="9"/>
        <v>✔️</v>
      </c>
      <c r="K56" s="24"/>
      <c r="L56" s="24"/>
      <c r="M56" s="24"/>
      <c r="N56" s="32"/>
      <c r="O56" s="32"/>
      <c r="P56" s="32"/>
      <c r="Q56" s="32"/>
      <c r="R56" s="33"/>
      <c r="S56" s="33"/>
      <c r="T56" s="6"/>
      <c r="V56" s="34"/>
    </row>
    <row r="57" ht="15.6" spans="2:22">
      <c r="B57" s="25" t="s">
        <v>139</v>
      </c>
      <c r="C57" s="22">
        <f t="shared" si="2"/>
        <v>0</v>
      </c>
      <c r="D57" s="22">
        <f t="shared" si="3"/>
        <v>0</v>
      </c>
      <c r="E57" s="91" t="s">
        <v>183</v>
      </c>
      <c r="F57" s="22" t="str">
        <f t="shared" si="4"/>
        <v>Штаб возглавляет губернатор</v>
      </c>
      <c r="G57" s="22" t="str">
        <f t="shared" si="9"/>
        <v>✔️</v>
      </c>
      <c r="H57" s="22" t="str">
        <f t="shared" si="9"/>
        <v/>
      </c>
      <c r="I57" s="22" t="str">
        <f t="shared" si="9"/>
        <v/>
      </c>
      <c r="J57" s="22" t="str">
        <f t="shared" si="9"/>
        <v/>
      </c>
      <c r="K57" s="24"/>
      <c r="L57" s="24"/>
      <c r="M57" s="24"/>
      <c r="N57" s="32"/>
      <c r="O57" s="32"/>
      <c r="P57" s="32"/>
      <c r="Q57" s="32"/>
      <c r="R57" s="33"/>
      <c r="S57" s="33"/>
      <c r="T57" s="6"/>
      <c r="V57" s="34"/>
    </row>
    <row r="58" ht="15.6" spans="2:22">
      <c r="B58" s="25" t="s">
        <v>94</v>
      </c>
      <c r="C58" s="22">
        <f t="shared" si="2"/>
        <v>1</v>
      </c>
      <c r="D58" s="22">
        <f t="shared" si="3"/>
        <v>1</v>
      </c>
      <c r="E58" s="91" t="s">
        <v>184</v>
      </c>
      <c r="F58" s="22" t="str">
        <f t="shared" si="4"/>
        <v>Штаб не создан в связи с выборами</v>
      </c>
      <c r="G58" s="22" t="str">
        <f t="shared" si="9"/>
        <v/>
      </c>
      <c r="H58" s="22" t="str">
        <f t="shared" si="9"/>
        <v/>
      </c>
      <c r="I58" s="22" t="str">
        <f t="shared" si="9"/>
        <v>✔️</v>
      </c>
      <c r="J58" s="22" t="str">
        <f t="shared" si="9"/>
        <v/>
      </c>
      <c r="K58" s="24"/>
      <c r="L58" s="24"/>
      <c r="M58" s="24"/>
      <c r="N58" s="32"/>
      <c r="O58" s="32"/>
      <c r="P58" s="32"/>
      <c r="Q58" s="32"/>
      <c r="R58" s="33"/>
      <c r="S58" s="33"/>
      <c r="T58" s="6"/>
      <c r="V58" s="34"/>
    </row>
    <row r="59" ht="15.6" spans="2:22">
      <c r="B59" s="25" t="s">
        <v>111</v>
      </c>
      <c r="C59" s="22">
        <f t="shared" si="2"/>
        <v>0</v>
      </c>
      <c r="D59" s="22">
        <f t="shared" si="3"/>
        <v>0</v>
      </c>
      <c r="E59" s="91" t="s">
        <v>183</v>
      </c>
      <c r="F59" s="22" t="str">
        <f t="shared" si="4"/>
        <v>Штаб возглавляет губернатор</v>
      </c>
      <c r="G59" s="22" t="str">
        <f t="shared" si="9"/>
        <v>✔️</v>
      </c>
      <c r="H59" s="22" t="str">
        <f t="shared" si="9"/>
        <v/>
      </c>
      <c r="I59" s="22" t="str">
        <f t="shared" si="9"/>
        <v/>
      </c>
      <c r="J59" s="22" t="str">
        <f t="shared" si="9"/>
        <v/>
      </c>
      <c r="K59" s="24"/>
      <c r="L59" s="24"/>
      <c r="M59" s="24"/>
      <c r="N59" s="32"/>
      <c r="O59" s="32"/>
      <c r="P59" s="32"/>
      <c r="Q59" s="32"/>
      <c r="R59" s="33"/>
      <c r="S59" s="33"/>
      <c r="T59" s="6"/>
      <c r="V59" s="34"/>
    </row>
    <row r="60" ht="15.6" spans="2:22">
      <c r="B60" s="25" t="s">
        <v>124</v>
      </c>
      <c r="C60" s="22">
        <f t="shared" si="2"/>
        <v>0</v>
      </c>
      <c r="D60" s="22">
        <f t="shared" si="3"/>
        <v>0</v>
      </c>
      <c r="E60" s="91" t="s">
        <v>183</v>
      </c>
      <c r="F60" s="22" t="str">
        <f t="shared" si="4"/>
        <v>Штаб возглавляет губернатор</v>
      </c>
      <c r="G60" s="22" t="str">
        <f t="shared" si="9"/>
        <v>✔️</v>
      </c>
      <c r="H60" s="22" t="str">
        <f t="shared" si="9"/>
        <v/>
      </c>
      <c r="I60" s="22" t="str">
        <f t="shared" si="9"/>
        <v/>
      </c>
      <c r="J60" s="22" t="str">
        <f t="shared" si="9"/>
        <v/>
      </c>
      <c r="K60" s="24"/>
      <c r="L60" s="24"/>
      <c r="M60" s="24"/>
      <c r="N60" s="32"/>
      <c r="O60" s="32"/>
      <c r="P60" s="32"/>
      <c r="Q60" s="32"/>
      <c r="R60" s="33"/>
      <c r="S60" s="33"/>
      <c r="T60" s="6"/>
      <c r="V60" s="34"/>
    </row>
    <row r="61" ht="15.6" spans="2:22">
      <c r="B61" s="25" t="s">
        <v>143</v>
      </c>
      <c r="C61" s="22">
        <f t="shared" si="2"/>
        <v>2</v>
      </c>
      <c r="D61" s="22">
        <f t="shared" si="3"/>
        <v>2</v>
      </c>
      <c r="E61" s="91" t="s">
        <v>185</v>
      </c>
      <c r="F61" s="22" t="str">
        <f t="shared" si="4"/>
        <v>Штаб не создан</v>
      </c>
      <c r="G61" s="22" t="str">
        <f t="shared" si="9"/>
        <v/>
      </c>
      <c r="H61" s="22" t="str">
        <f t="shared" si="9"/>
        <v/>
      </c>
      <c r="I61" s="22" t="str">
        <f t="shared" si="9"/>
        <v/>
      </c>
      <c r="J61" s="22" t="str">
        <f t="shared" si="9"/>
        <v>✔️</v>
      </c>
      <c r="K61" s="24"/>
      <c r="L61" s="24"/>
      <c r="M61" s="24"/>
      <c r="N61" s="32"/>
      <c r="O61" s="32"/>
      <c r="P61" s="32"/>
      <c r="Q61" s="32"/>
      <c r="R61" s="33"/>
      <c r="S61" s="33"/>
      <c r="T61" s="6"/>
      <c r="V61" s="34"/>
    </row>
    <row r="62" ht="15.6" spans="2:22">
      <c r="B62" s="25" t="s">
        <v>144</v>
      </c>
      <c r="C62" s="22">
        <f t="shared" si="2"/>
        <v>0</v>
      </c>
      <c r="D62" s="22">
        <f t="shared" si="3"/>
        <v>0</v>
      </c>
      <c r="E62" s="91" t="s">
        <v>183</v>
      </c>
      <c r="F62" s="22" t="str">
        <f t="shared" si="4"/>
        <v>Штаб возглавляет губернатор</v>
      </c>
      <c r="G62" s="22" t="str">
        <f t="shared" si="9"/>
        <v>✔️</v>
      </c>
      <c r="H62" s="22" t="str">
        <f t="shared" si="9"/>
        <v/>
      </c>
      <c r="I62" s="22" t="str">
        <f t="shared" si="9"/>
        <v/>
      </c>
      <c r="J62" s="22" t="str">
        <f t="shared" si="9"/>
        <v/>
      </c>
      <c r="K62" s="24"/>
      <c r="L62" s="24"/>
      <c r="M62" s="24"/>
      <c r="N62" s="32"/>
      <c r="O62" s="32"/>
      <c r="P62" s="32"/>
      <c r="Q62" s="32"/>
      <c r="R62" s="33"/>
      <c r="S62" s="33"/>
      <c r="T62" s="6"/>
      <c r="V62" s="34"/>
    </row>
    <row r="63" ht="15.6" spans="2:22">
      <c r="B63" s="25" t="s">
        <v>95</v>
      </c>
      <c r="C63" s="22">
        <f t="shared" si="2"/>
        <v>2</v>
      </c>
      <c r="D63" s="22">
        <f t="shared" si="3"/>
        <v>2</v>
      </c>
      <c r="E63" s="91" t="s">
        <v>185</v>
      </c>
      <c r="F63" s="22" t="str">
        <f t="shared" si="4"/>
        <v>Штаб не создан</v>
      </c>
      <c r="G63" s="22" t="str">
        <f t="shared" si="9"/>
        <v/>
      </c>
      <c r="H63" s="22" t="str">
        <f t="shared" si="9"/>
        <v/>
      </c>
      <c r="I63" s="22" t="str">
        <f t="shared" si="9"/>
        <v/>
      </c>
      <c r="J63" s="22" t="str">
        <f t="shared" si="9"/>
        <v>✔️</v>
      </c>
      <c r="K63" s="24"/>
      <c r="L63" s="24"/>
      <c r="M63" s="24"/>
      <c r="N63" s="32"/>
      <c r="O63" s="32"/>
      <c r="P63" s="32"/>
      <c r="Q63" s="32"/>
      <c r="R63" s="33"/>
      <c r="S63" s="33"/>
      <c r="T63" s="6"/>
      <c r="V63" s="34"/>
    </row>
    <row r="64" ht="15.6" spans="2:22">
      <c r="B64" s="25" t="s">
        <v>96</v>
      </c>
      <c r="C64" s="22">
        <f t="shared" si="2"/>
        <v>1</v>
      </c>
      <c r="D64" s="22">
        <f t="shared" si="3"/>
        <v>1</v>
      </c>
      <c r="E64" s="91" t="s">
        <v>186</v>
      </c>
      <c r="F64" s="22" t="str">
        <f t="shared" si="4"/>
        <v>Штаб возглавляет не губернатор</v>
      </c>
      <c r="G64" s="22" t="str">
        <f t="shared" si="9"/>
        <v/>
      </c>
      <c r="H64" s="22" t="str">
        <f t="shared" si="9"/>
        <v>✔️</v>
      </c>
      <c r="I64" s="22" t="str">
        <f t="shared" si="9"/>
        <v/>
      </c>
      <c r="J64" s="22" t="str">
        <f t="shared" si="9"/>
        <v/>
      </c>
      <c r="K64" s="24"/>
      <c r="L64" s="24"/>
      <c r="M64" s="24"/>
      <c r="N64" s="32"/>
      <c r="O64" s="32"/>
      <c r="P64" s="32"/>
      <c r="Q64" s="32"/>
      <c r="R64" s="33"/>
      <c r="S64" s="33"/>
      <c r="T64" s="6"/>
      <c r="V64" s="34"/>
    </row>
    <row r="65" ht="15.6" spans="2:22">
      <c r="B65" s="25" t="s">
        <v>147</v>
      </c>
      <c r="C65" s="22">
        <f t="shared" si="2"/>
        <v>1</v>
      </c>
      <c r="D65" s="22">
        <f t="shared" si="3"/>
        <v>1</v>
      </c>
      <c r="E65" s="91" t="s">
        <v>184</v>
      </c>
      <c r="F65" s="22" t="str">
        <f t="shared" si="4"/>
        <v>Штаб не создан в связи с выборами</v>
      </c>
      <c r="G65" s="22" t="str">
        <f t="shared" si="9"/>
        <v/>
      </c>
      <c r="H65" s="22" t="str">
        <f t="shared" si="9"/>
        <v/>
      </c>
      <c r="I65" s="22" t="str">
        <f t="shared" si="9"/>
        <v>✔️</v>
      </c>
      <c r="J65" s="22" t="str">
        <f t="shared" si="9"/>
        <v/>
      </c>
      <c r="K65" s="24"/>
      <c r="L65" s="24"/>
      <c r="M65" s="24"/>
      <c r="N65" s="32"/>
      <c r="O65" s="32"/>
      <c r="P65" s="32"/>
      <c r="Q65" s="32"/>
      <c r="R65" s="33"/>
      <c r="S65" s="33"/>
      <c r="T65" s="6"/>
      <c r="V65" s="34"/>
    </row>
    <row r="66" ht="15.6" spans="2:22">
      <c r="B66" s="25" t="s">
        <v>88</v>
      </c>
      <c r="C66" s="22">
        <f t="shared" si="2"/>
        <v>1</v>
      </c>
      <c r="D66" s="22">
        <f t="shared" si="3"/>
        <v>1</v>
      </c>
      <c r="E66" s="91" t="s">
        <v>184</v>
      </c>
      <c r="F66" s="22" t="str">
        <f t="shared" si="4"/>
        <v>Штаб не создан в связи с выборами</v>
      </c>
      <c r="G66" s="22" t="str">
        <f t="shared" si="9"/>
        <v/>
      </c>
      <c r="H66" s="22" t="str">
        <f t="shared" si="9"/>
        <v/>
      </c>
      <c r="I66" s="22" t="str">
        <f t="shared" si="9"/>
        <v>✔️</v>
      </c>
      <c r="J66" s="22" t="str">
        <f t="shared" si="9"/>
        <v/>
      </c>
      <c r="K66" s="24"/>
      <c r="L66" s="24"/>
      <c r="M66" s="24"/>
      <c r="N66" s="32"/>
      <c r="O66" s="32"/>
      <c r="P66" s="32"/>
      <c r="Q66" s="32"/>
      <c r="R66" s="33"/>
      <c r="S66" s="33"/>
      <c r="T66" s="6"/>
      <c r="V66" s="34"/>
    </row>
    <row r="67" ht="15.6" spans="2:22">
      <c r="B67" s="25" t="s">
        <v>157</v>
      </c>
      <c r="C67" s="22">
        <f t="shared" si="2"/>
        <v>2</v>
      </c>
      <c r="D67" s="22">
        <f t="shared" si="3"/>
        <v>2</v>
      </c>
      <c r="E67" s="91" t="s">
        <v>185</v>
      </c>
      <c r="F67" s="22" t="str">
        <f t="shared" si="4"/>
        <v>Штаб не создан</v>
      </c>
      <c r="G67" s="22" t="str">
        <f t="shared" si="9"/>
        <v/>
      </c>
      <c r="H67" s="22" t="str">
        <f t="shared" si="9"/>
        <v/>
      </c>
      <c r="I67" s="22" t="str">
        <f t="shared" si="9"/>
        <v/>
      </c>
      <c r="J67" s="22" t="str">
        <f t="shared" si="9"/>
        <v>✔️</v>
      </c>
      <c r="K67" s="24"/>
      <c r="L67" s="24"/>
      <c r="M67" s="24"/>
      <c r="N67" s="32"/>
      <c r="O67" s="32"/>
      <c r="P67" s="32"/>
      <c r="Q67" s="32"/>
      <c r="R67" s="33"/>
      <c r="S67" s="33"/>
      <c r="T67" s="6"/>
      <c r="V67" s="34"/>
    </row>
    <row r="68" ht="15.6" spans="2:22">
      <c r="B68" s="25" t="s">
        <v>136</v>
      </c>
      <c r="C68" s="22">
        <f t="shared" si="2"/>
        <v>2</v>
      </c>
      <c r="D68" s="22">
        <f t="shared" si="3"/>
        <v>2</v>
      </c>
      <c r="E68" s="91" t="s">
        <v>185</v>
      </c>
      <c r="F68" s="22" t="str">
        <f t="shared" si="4"/>
        <v>Штаб не создан</v>
      </c>
      <c r="G68" s="22" t="str">
        <f t="shared" si="9"/>
        <v/>
      </c>
      <c r="H68" s="22" t="str">
        <f t="shared" si="9"/>
        <v/>
      </c>
      <c r="I68" s="22" t="str">
        <f t="shared" si="9"/>
        <v/>
      </c>
      <c r="J68" s="22" t="str">
        <f t="shared" si="9"/>
        <v>✔️</v>
      </c>
      <c r="K68" s="24"/>
      <c r="L68" s="24"/>
      <c r="M68" s="24"/>
      <c r="N68" s="32"/>
      <c r="O68" s="32"/>
      <c r="P68" s="32"/>
      <c r="Q68" s="32"/>
      <c r="R68" s="33"/>
      <c r="S68" s="33"/>
      <c r="T68" s="6"/>
      <c r="V68" s="34"/>
    </row>
    <row r="69" ht="15.6" spans="2:22">
      <c r="B69" s="25" t="s">
        <v>158</v>
      </c>
      <c r="C69" s="22">
        <f t="shared" si="2"/>
        <v>0</v>
      </c>
      <c r="D69" s="22">
        <f t="shared" si="3"/>
        <v>0</v>
      </c>
      <c r="E69" s="91" t="s">
        <v>183</v>
      </c>
      <c r="F69" s="22" t="str">
        <f t="shared" si="4"/>
        <v>Штаб возглавляет губернатор</v>
      </c>
      <c r="G69" s="22" t="str">
        <f t="shared" si="9"/>
        <v>✔️</v>
      </c>
      <c r="H69" s="22" t="str">
        <f t="shared" si="9"/>
        <v/>
      </c>
      <c r="I69" s="22" t="str">
        <f t="shared" si="9"/>
        <v/>
      </c>
      <c r="J69" s="22" t="str">
        <f t="shared" si="9"/>
        <v/>
      </c>
      <c r="K69" s="24"/>
      <c r="L69" s="24"/>
      <c r="M69" s="24"/>
      <c r="N69" s="32"/>
      <c r="O69" s="32"/>
      <c r="P69" s="32"/>
      <c r="Q69" s="32"/>
      <c r="R69" s="33"/>
      <c r="S69" s="33"/>
      <c r="T69" s="6"/>
      <c r="V69" s="34"/>
    </row>
    <row r="70" ht="15.6" spans="2:22">
      <c r="B70" s="25" t="s">
        <v>120</v>
      </c>
      <c r="C70" s="22">
        <f t="shared" si="2"/>
        <v>1</v>
      </c>
      <c r="D70" s="22">
        <f t="shared" si="3"/>
        <v>1</v>
      </c>
      <c r="E70" s="91" t="s">
        <v>184</v>
      </c>
      <c r="F70" s="22" t="str">
        <f t="shared" si="4"/>
        <v>Штаб не создан в связи с выборами</v>
      </c>
      <c r="G70" s="22" t="str">
        <f t="shared" si="9"/>
        <v/>
      </c>
      <c r="H70" s="22" t="str">
        <f t="shared" si="9"/>
        <v/>
      </c>
      <c r="I70" s="22" t="str">
        <f t="shared" si="9"/>
        <v>✔️</v>
      </c>
      <c r="J70" s="22" t="str">
        <f t="shared" si="9"/>
        <v/>
      </c>
      <c r="K70" s="24"/>
      <c r="L70" s="24"/>
      <c r="M70" s="24"/>
      <c r="N70" s="32"/>
      <c r="O70" s="32"/>
      <c r="P70" s="32"/>
      <c r="Q70" s="32"/>
      <c r="R70" s="33"/>
      <c r="S70" s="33"/>
      <c r="T70" s="6"/>
      <c r="V70" s="34"/>
    </row>
    <row r="71" ht="15.6" spans="2:22">
      <c r="B71" s="25" t="s">
        <v>112</v>
      </c>
      <c r="C71" s="22">
        <f t="shared" si="2"/>
        <v>0</v>
      </c>
      <c r="D71" s="22">
        <f t="shared" si="3"/>
        <v>0</v>
      </c>
      <c r="E71" s="91" t="s">
        <v>183</v>
      </c>
      <c r="F71" s="22" t="str">
        <f t="shared" si="4"/>
        <v>Штаб возглавляет губернатор</v>
      </c>
      <c r="G71" s="22" t="str">
        <f t="shared" si="9"/>
        <v>✔️</v>
      </c>
      <c r="H71" s="22" t="str">
        <f t="shared" si="9"/>
        <v/>
      </c>
      <c r="I71" s="22" t="str">
        <f t="shared" si="9"/>
        <v/>
      </c>
      <c r="J71" s="22" t="str">
        <f t="shared" si="9"/>
        <v/>
      </c>
      <c r="K71" s="24"/>
      <c r="L71" s="24"/>
      <c r="M71" s="24"/>
      <c r="N71" s="32"/>
      <c r="O71" s="32"/>
      <c r="P71" s="32"/>
      <c r="Q71" s="32"/>
      <c r="R71" s="33"/>
      <c r="S71" s="33"/>
      <c r="T71" s="6"/>
      <c r="V71" s="34"/>
    </row>
    <row r="72" ht="15.6" spans="2:22">
      <c r="B72" s="25" t="s">
        <v>97</v>
      </c>
      <c r="C72" s="22">
        <f t="shared" si="2"/>
        <v>1</v>
      </c>
      <c r="D72" s="22">
        <f t="shared" si="3"/>
        <v>1</v>
      </c>
      <c r="E72" s="91" t="s">
        <v>186</v>
      </c>
      <c r="F72" s="22" t="str">
        <f t="shared" si="4"/>
        <v>Штаб возглавляет не губернатор</v>
      </c>
      <c r="G72" s="22" t="str">
        <f t="shared" si="9"/>
        <v/>
      </c>
      <c r="H72" s="22" t="str">
        <f t="shared" si="9"/>
        <v>✔️</v>
      </c>
      <c r="I72" s="22" t="str">
        <f t="shared" si="9"/>
        <v/>
      </c>
      <c r="J72" s="22" t="str">
        <f t="shared" si="9"/>
        <v/>
      </c>
      <c r="K72" s="24"/>
      <c r="L72" s="24"/>
      <c r="M72" s="24"/>
      <c r="N72" s="32"/>
      <c r="O72" s="32"/>
      <c r="P72" s="32"/>
      <c r="Q72" s="32"/>
      <c r="R72" s="33"/>
      <c r="S72" s="33"/>
      <c r="T72" s="6"/>
      <c r="V72" s="34"/>
    </row>
    <row r="73" ht="15.6" spans="2:22">
      <c r="B73" s="25" t="s">
        <v>98</v>
      </c>
      <c r="C73" s="22">
        <f t="shared" si="2"/>
        <v>0</v>
      </c>
      <c r="D73" s="22">
        <f t="shared" si="3"/>
        <v>0</v>
      </c>
      <c r="E73" s="91" t="s">
        <v>183</v>
      </c>
      <c r="F73" s="22" t="str">
        <f t="shared" si="4"/>
        <v>Штаб возглавляет губернатор</v>
      </c>
      <c r="G73" s="22" t="str">
        <f t="shared" si="9"/>
        <v>✔️</v>
      </c>
      <c r="H73" s="22" t="str">
        <f t="shared" si="9"/>
        <v/>
      </c>
      <c r="I73" s="22" t="str">
        <f t="shared" si="9"/>
        <v/>
      </c>
      <c r="J73" s="22" t="str">
        <f t="shared" si="9"/>
        <v/>
      </c>
      <c r="K73" s="24"/>
      <c r="L73" s="24"/>
      <c r="M73" s="24"/>
      <c r="N73" s="32"/>
      <c r="O73" s="32"/>
      <c r="P73" s="32"/>
      <c r="Q73" s="32"/>
      <c r="R73" s="33"/>
      <c r="S73" s="33"/>
      <c r="T73" s="6"/>
      <c r="V73" s="34"/>
    </row>
    <row r="74" ht="15.6" spans="2:22">
      <c r="B74" s="25" t="s">
        <v>110</v>
      </c>
      <c r="C74" s="22">
        <f t="shared" si="2"/>
        <v>0</v>
      </c>
      <c r="D74" s="22">
        <f t="shared" si="3"/>
        <v>0</v>
      </c>
      <c r="E74" s="91" t="s">
        <v>183</v>
      </c>
      <c r="F74" s="22" t="str">
        <f t="shared" si="4"/>
        <v>Штаб возглавляет губернатор</v>
      </c>
      <c r="G74" s="22" t="str">
        <f t="shared" si="9"/>
        <v>✔️</v>
      </c>
      <c r="H74" s="22" t="str">
        <f t="shared" si="9"/>
        <v/>
      </c>
      <c r="I74" s="22" t="str">
        <f t="shared" si="9"/>
        <v/>
      </c>
      <c r="J74" s="22" t="str">
        <f t="shared" si="9"/>
        <v/>
      </c>
      <c r="K74" s="24"/>
      <c r="L74" s="24"/>
      <c r="M74" s="24"/>
      <c r="N74" s="32"/>
      <c r="O74" s="32"/>
      <c r="P74" s="32"/>
      <c r="Q74" s="32"/>
      <c r="R74" s="33"/>
      <c r="S74" s="33"/>
      <c r="T74" s="6"/>
      <c r="V74" s="34"/>
    </row>
    <row r="75" ht="15.6" spans="2:22">
      <c r="B75" s="25" t="s">
        <v>115</v>
      </c>
      <c r="C75" s="22">
        <f t="shared" si="2"/>
        <v>1</v>
      </c>
      <c r="D75" s="22">
        <f t="shared" si="3"/>
        <v>1</v>
      </c>
      <c r="E75" s="91" t="s">
        <v>186</v>
      </c>
      <c r="F75" s="22" t="str">
        <f t="shared" si="4"/>
        <v>Штаб возглавляет не губернатор</v>
      </c>
      <c r="G75" s="22" t="str">
        <f t="shared" si="9"/>
        <v/>
      </c>
      <c r="H75" s="22" t="str">
        <f t="shared" si="9"/>
        <v>✔️</v>
      </c>
      <c r="I75" s="22" t="str">
        <f t="shared" si="9"/>
        <v/>
      </c>
      <c r="J75" s="22" t="str">
        <f t="shared" si="9"/>
        <v/>
      </c>
      <c r="K75" s="24"/>
      <c r="L75" s="24"/>
      <c r="M75" s="24"/>
      <c r="N75" s="32"/>
      <c r="O75" s="32"/>
      <c r="P75" s="32"/>
      <c r="Q75" s="32"/>
      <c r="R75" s="33"/>
      <c r="S75" s="33"/>
      <c r="T75" s="6"/>
      <c r="V75" s="34"/>
    </row>
    <row r="76" ht="15.6" spans="2:22">
      <c r="B76" s="25" t="s">
        <v>159</v>
      </c>
      <c r="C76" s="22">
        <f t="shared" si="2"/>
        <v>1</v>
      </c>
      <c r="D76" s="22">
        <f t="shared" si="3"/>
        <v>1</v>
      </c>
      <c r="E76" s="91" t="s">
        <v>186</v>
      </c>
      <c r="F76" s="22" t="str">
        <f t="shared" si="4"/>
        <v>Штаб возглавляет не губернатор</v>
      </c>
      <c r="G76" s="22" t="str">
        <f t="shared" si="9"/>
        <v/>
      </c>
      <c r="H76" s="22" t="str">
        <f t="shared" si="9"/>
        <v>✔️</v>
      </c>
      <c r="I76" s="22" t="str">
        <f t="shared" si="9"/>
        <v/>
      </c>
      <c r="J76" s="22" t="str">
        <f t="shared" si="9"/>
        <v/>
      </c>
      <c r="K76" s="24"/>
      <c r="L76" s="24"/>
      <c r="M76" s="24"/>
      <c r="N76" s="32"/>
      <c r="O76" s="32"/>
      <c r="P76" s="32"/>
      <c r="Q76" s="32"/>
      <c r="R76" s="33"/>
      <c r="S76" s="33"/>
      <c r="T76" s="6"/>
      <c r="V76" s="34"/>
    </row>
    <row r="77" ht="15.6" spans="2:22">
      <c r="B77" s="25" t="s">
        <v>151</v>
      </c>
      <c r="C77" s="22">
        <f t="shared" si="2"/>
        <v>2</v>
      </c>
      <c r="D77" s="22">
        <f t="shared" si="3"/>
        <v>2</v>
      </c>
      <c r="E77" s="91" t="s">
        <v>185</v>
      </c>
      <c r="F77" s="22" t="str">
        <f t="shared" si="4"/>
        <v>Штаб не создан</v>
      </c>
      <c r="G77" s="22" t="str">
        <f t="shared" si="9"/>
        <v/>
      </c>
      <c r="H77" s="22" t="str">
        <f t="shared" si="9"/>
        <v/>
      </c>
      <c r="I77" s="22" t="str">
        <f t="shared" si="9"/>
        <v/>
      </c>
      <c r="J77" s="22" t="str">
        <f t="shared" si="9"/>
        <v>✔️</v>
      </c>
      <c r="K77" s="24"/>
      <c r="L77" s="24"/>
      <c r="M77" s="24"/>
      <c r="N77" s="32"/>
      <c r="O77" s="32"/>
      <c r="P77" s="32"/>
      <c r="Q77" s="32"/>
      <c r="R77" s="33"/>
      <c r="S77" s="33"/>
      <c r="T77" s="6"/>
      <c r="V77" s="34"/>
    </row>
    <row r="78" ht="15.6" spans="2:22">
      <c r="B78" s="25" t="s">
        <v>75</v>
      </c>
      <c r="C78" s="22">
        <f t="shared" si="2"/>
        <v>1</v>
      </c>
      <c r="D78" s="22">
        <f t="shared" si="3"/>
        <v>1</v>
      </c>
      <c r="E78" s="91" t="s">
        <v>186</v>
      </c>
      <c r="F78" s="22" t="str">
        <f t="shared" si="4"/>
        <v>Штаб возглавляет не губернатор</v>
      </c>
      <c r="G78" s="22" t="str">
        <f t="shared" si="9"/>
        <v/>
      </c>
      <c r="H78" s="22" t="str">
        <f t="shared" si="9"/>
        <v>✔️</v>
      </c>
      <c r="I78" s="22" t="str">
        <f t="shared" si="9"/>
        <v/>
      </c>
      <c r="J78" s="22" t="str">
        <f t="shared" si="9"/>
        <v/>
      </c>
      <c r="K78" s="24"/>
      <c r="L78" s="24"/>
      <c r="M78" s="24"/>
      <c r="N78" s="32"/>
      <c r="O78" s="32"/>
      <c r="P78" s="32"/>
      <c r="Q78" s="32"/>
      <c r="R78" s="33"/>
      <c r="S78" s="33"/>
      <c r="T78" s="6"/>
      <c r="V78" s="34"/>
    </row>
    <row r="79" ht="15.6" spans="2:22">
      <c r="B79" s="25" t="s">
        <v>154</v>
      </c>
      <c r="C79" s="22">
        <f t="shared" si="2"/>
        <v>2</v>
      </c>
      <c r="D79" s="22">
        <f t="shared" si="3"/>
        <v>2</v>
      </c>
      <c r="E79" s="91" t="s">
        <v>185</v>
      </c>
      <c r="F79" s="22" t="str">
        <f t="shared" si="4"/>
        <v>Штаб не создан</v>
      </c>
      <c r="G79" s="22" t="str">
        <f t="shared" si="9"/>
        <v/>
      </c>
      <c r="H79" s="22" t="str">
        <f t="shared" si="9"/>
        <v/>
      </c>
      <c r="I79" s="22" t="str">
        <f t="shared" si="9"/>
        <v/>
      </c>
      <c r="J79" s="22" t="str">
        <f t="shared" si="9"/>
        <v>✔️</v>
      </c>
      <c r="K79" s="24"/>
      <c r="L79" s="24"/>
      <c r="M79" s="24"/>
      <c r="N79" s="32"/>
      <c r="O79" s="32"/>
      <c r="P79" s="32"/>
      <c r="Q79" s="32"/>
      <c r="R79" s="33"/>
      <c r="S79" s="33"/>
      <c r="T79" s="6"/>
      <c r="V79" s="34"/>
    </row>
    <row r="80" ht="15.6" spans="2:22">
      <c r="B80" s="25" t="s">
        <v>152</v>
      </c>
      <c r="C80" s="22">
        <f t="shared" si="2"/>
        <v>0</v>
      </c>
      <c r="D80" s="22">
        <f t="shared" si="3"/>
        <v>0</v>
      </c>
      <c r="E80" s="91" t="s">
        <v>183</v>
      </c>
      <c r="F80" s="22" t="str">
        <f t="shared" si="4"/>
        <v>Штаб возглавляет губернатор</v>
      </c>
      <c r="G80" s="22" t="str">
        <f t="shared" si="9"/>
        <v>✔️</v>
      </c>
      <c r="H80" s="22" t="str">
        <f t="shared" si="9"/>
        <v/>
      </c>
      <c r="I80" s="22" t="str">
        <f t="shared" si="9"/>
        <v/>
      </c>
      <c r="J80" s="22" t="str">
        <f t="shared" si="9"/>
        <v/>
      </c>
      <c r="K80" s="24"/>
      <c r="L80" s="24"/>
      <c r="M80" s="24"/>
      <c r="N80" s="32"/>
      <c r="O80" s="32"/>
      <c r="P80" s="32"/>
      <c r="Q80" s="32"/>
      <c r="R80" s="33"/>
      <c r="S80" s="33"/>
      <c r="T80" s="6"/>
      <c r="V80" s="34"/>
    </row>
    <row r="81" ht="15.6" spans="2:22">
      <c r="B81" s="25" t="s">
        <v>140</v>
      </c>
      <c r="C81" s="22">
        <f t="shared" si="2"/>
        <v>0</v>
      </c>
      <c r="D81" s="22">
        <f t="shared" ref="D81:D104" si="10">IF(E81=$E$106,0,IF(OR(E81=$E$107,E81=$E$108),1,2))</f>
        <v>0</v>
      </c>
      <c r="E81" s="91" t="s">
        <v>183</v>
      </c>
      <c r="F81" s="22" t="str">
        <f t="shared" ref="F81:F104" si="11">IF(E81=$E$106,"Штаб возглавляет губернатор",IF(E81=$E$107,"Штаб возглавляет не губернатор",IF(E81=$E$108,"Штаб не создан в связи с выборами","Штаб не создан")))</f>
        <v>Штаб возглавляет губернатор</v>
      </c>
      <c r="G81" s="22" t="str">
        <f t="shared" ref="G81:J104" si="12">IF($E81=G$14,"✔️","")</f>
        <v>✔️</v>
      </c>
      <c r="H81" s="22" t="str">
        <f t="shared" si="12"/>
        <v/>
      </c>
      <c r="I81" s="22" t="str">
        <f t="shared" si="12"/>
        <v/>
      </c>
      <c r="J81" s="22" t="str">
        <f t="shared" si="12"/>
        <v/>
      </c>
      <c r="K81" s="24"/>
      <c r="L81" s="24"/>
      <c r="M81" s="24"/>
      <c r="N81" s="32"/>
      <c r="O81" s="32"/>
      <c r="P81" s="32"/>
      <c r="Q81" s="32"/>
      <c r="R81" s="33"/>
      <c r="S81" s="33"/>
      <c r="T81" s="6"/>
      <c r="V81" s="34"/>
    </row>
    <row r="82" ht="15.6" spans="2:22">
      <c r="B82" s="25" t="s">
        <v>135</v>
      </c>
      <c r="C82" s="22">
        <f t="shared" si="2"/>
        <v>2</v>
      </c>
      <c r="D82" s="22">
        <f t="shared" si="10"/>
        <v>2</v>
      </c>
      <c r="E82" s="91" t="s">
        <v>185</v>
      </c>
      <c r="F82" s="22" t="str">
        <f t="shared" si="11"/>
        <v>Штаб не создан</v>
      </c>
      <c r="G82" s="22" t="str">
        <f t="shared" si="12"/>
        <v/>
      </c>
      <c r="H82" s="22" t="str">
        <f t="shared" si="12"/>
        <v/>
      </c>
      <c r="I82" s="22" t="str">
        <f t="shared" si="12"/>
        <v/>
      </c>
      <c r="J82" s="22" t="str">
        <f t="shared" si="12"/>
        <v>✔️</v>
      </c>
      <c r="K82" s="24"/>
      <c r="L82" s="24"/>
      <c r="M82" s="24"/>
      <c r="N82" s="32"/>
      <c r="O82" s="32"/>
      <c r="P82" s="32"/>
      <c r="Q82" s="32"/>
      <c r="R82" s="33"/>
      <c r="S82" s="33"/>
      <c r="T82" s="6"/>
      <c r="V82" s="34"/>
    </row>
    <row r="83" ht="15.6" spans="2:22">
      <c r="B83" s="25" t="s">
        <v>100</v>
      </c>
      <c r="C83" s="22">
        <f t="shared" si="2"/>
        <v>1</v>
      </c>
      <c r="D83" s="22">
        <f t="shared" si="10"/>
        <v>1</v>
      </c>
      <c r="E83" s="91" t="s">
        <v>186</v>
      </c>
      <c r="F83" s="22" t="str">
        <f t="shared" si="11"/>
        <v>Штаб возглавляет не губернатор</v>
      </c>
      <c r="G83" s="22" t="str">
        <f t="shared" si="12"/>
        <v/>
      </c>
      <c r="H83" s="22" t="str">
        <f t="shared" si="12"/>
        <v>✔️</v>
      </c>
      <c r="I83" s="22" t="str">
        <f t="shared" si="12"/>
        <v/>
      </c>
      <c r="J83" s="22" t="str">
        <f t="shared" si="12"/>
        <v/>
      </c>
      <c r="K83" s="24"/>
      <c r="L83" s="24"/>
      <c r="M83" s="24"/>
      <c r="N83" s="32"/>
      <c r="O83" s="32"/>
      <c r="P83" s="32"/>
      <c r="Q83" s="32"/>
      <c r="R83" s="33"/>
      <c r="S83" s="33"/>
      <c r="T83" s="6"/>
      <c r="V83" s="34"/>
    </row>
    <row r="84" ht="15.6" spans="2:22">
      <c r="B84" s="25" t="s">
        <v>102</v>
      </c>
      <c r="C84" s="22">
        <f t="shared" ref="C84:C104" si="13">IF(OR(G84=2,D84&gt;$D$8),2,IF(OR(G84=1,D84&gt;$D$9),1,0))</f>
        <v>2</v>
      </c>
      <c r="D84" s="22">
        <f t="shared" si="10"/>
        <v>2</v>
      </c>
      <c r="E84" s="91" t="s">
        <v>185</v>
      </c>
      <c r="F84" s="22" t="str">
        <f t="shared" si="11"/>
        <v>Штаб не создан</v>
      </c>
      <c r="G84" s="22" t="str">
        <f t="shared" si="12"/>
        <v/>
      </c>
      <c r="H84" s="22" t="str">
        <f t="shared" si="12"/>
        <v/>
      </c>
      <c r="I84" s="22" t="str">
        <f t="shared" si="12"/>
        <v/>
      </c>
      <c r="J84" s="22" t="str">
        <f t="shared" si="12"/>
        <v>✔️</v>
      </c>
      <c r="K84" s="24"/>
      <c r="L84" s="24"/>
      <c r="M84" s="24"/>
      <c r="N84" s="32"/>
      <c r="O84" s="32"/>
      <c r="P84" s="32"/>
      <c r="Q84" s="32"/>
      <c r="R84" s="33"/>
      <c r="S84" s="33"/>
      <c r="T84" s="6"/>
      <c r="V84" s="34"/>
    </row>
    <row r="85" ht="15.6" spans="2:22">
      <c r="B85" s="25" t="s">
        <v>130</v>
      </c>
      <c r="C85" s="22">
        <f t="shared" si="13"/>
        <v>0</v>
      </c>
      <c r="D85" s="22">
        <f t="shared" si="10"/>
        <v>0</v>
      </c>
      <c r="E85" s="91" t="s">
        <v>183</v>
      </c>
      <c r="F85" s="22" t="str">
        <f t="shared" si="11"/>
        <v>Штаб возглавляет губернатор</v>
      </c>
      <c r="G85" s="22" t="str">
        <f t="shared" si="12"/>
        <v>✔️</v>
      </c>
      <c r="H85" s="22" t="str">
        <f t="shared" si="12"/>
        <v/>
      </c>
      <c r="I85" s="22" t="str">
        <f t="shared" si="12"/>
        <v/>
      </c>
      <c r="J85" s="22" t="str">
        <f t="shared" si="12"/>
        <v/>
      </c>
      <c r="K85" s="24"/>
      <c r="L85" s="24"/>
      <c r="M85" s="24"/>
      <c r="N85" s="32"/>
      <c r="O85" s="32"/>
      <c r="P85" s="32"/>
      <c r="Q85" s="32"/>
      <c r="R85" s="33"/>
      <c r="S85" s="33"/>
      <c r="T85" s="6"/>
      <c r="V85" s="34"/>
    </row>
    <row r="86" ht="15.6" spans="2:22">
      <c r="B86" s="25" t="s">
        <v>122</v>
      </c>
      <c r="C86" s="22">
        <f t="shared" si="13"/>
        <v>1</v>
      </c>
      <c r="D86" s="22">
        <f t="shared" si="10"/>
        <v>1</v>
      </c>
      <c r="E86" s="91" t="s">
        <v>186</v>
      </c>
      <c r="F86" s="22" t="str">
        <f t="shared" si="11"/>
        <v>Штаб возглавляет не губернатор</v>
      </c>
      <c r="G86" s="22" t="str">
        <f t="shared" si="12"/>
        <v/>
      </c>
      <c r="H86" s="22" t="str">
        <f t="shared" si="12"/>
        <v>✔️</v>
      </c>
      <c r="I86" s="22" t="str">
        <f t="shared" si="12"/>
        <v/>
      </c>
      <c r="J86" s="22" t="str">
        <f t="shared" si="12"/>
        <v/>
      </c>
      <c r="K86" s="24"/>
      <c r="L86" s="24"/>
      <c r="M86" s="24"/>
      <c r="N86" s="32"/>
      <c r="O86" s="32"/>
      <c r="P86" s="32"/>
      <c r="Q86" s="32"/>
      <c r="R86" s="33"/>
      <c r="S86" s="33"/>
      <c r="T86" s="6"/>
      <c r="V86" s="34"/>
    </row>
    <row r="87" ht="15.6" spans="2:22">
      <c r="B87" s="25" t="s">
        <v>103</v>
      </c>
      <c r="C87" s="22">
        <f t="shared" si="13"/>
        <v>2</v>
      </c>
      <c r="D87" s="22">
        <f t="shared" si="10"/>
        <v>2</v>
      </c>
      <c r="E87" s="91" t="s">
        <v>185</v>
      </c>
      <c r="F87" s="22" t="str">
        <f t="shared" si="11"/>
        <v>Штаб не создан</v>
      </c>
      <c r="G87" s="22" t="str">
        <f t="shared" si="12"/>
        <v/>
      </c>
      <c r="H87" s="22" t="str">
        <f t="shared" si="12"/>
        <v/>
      </c>
      <c r="I87" s="22" t="str">
        <f t="shared" si="12"/>
        <v/>
      </c>
      <c r="J87" s="22" t="str">
        <f t="shared" si="12"/>
        <v>✔️</v>
      </c>
      <c r="K87" s="24"/>
      <c r="L87" s="24"/>
      <c r="M87" s="24"/>
      <c r="N87" s="32"/>
      <c r="O87" s="32"/>
      <c r="P87" s="32"/>
      <c r="Q87" s="32"/>
      <c r="R87" s="33"/>
      <c r="S87" s="33"/>
      <c r="T87" s="6"/>
      <c r="V87" s="34"/>
    </row>
    <row r="88" ht="15.6" spans="2:22">
      <c r="B88" s="25" t="s">
        <v>105</v>
      </c>
      <c r="C88" s="22">
        <f t="shared" si="13"/>
        <v>1</v>
      </c>
      <c r="D88" s="22">
        <f t="shared" si="10"/>
        <v>1</v>
      </c>
      <c r="E88" s="91" t="s">
        <v>184</v>
      </c>
      <c r="F88" s="22" t="str">
        <f t="shared" si="11"/>
        <v>Штаб не создан в связи с выборами</v>
      </c>
      <c r="G88" s="22" t="str">
        <f t="shared" si="12"/>
        <v/>
      </c>
      <c r="H88" s="22" t="str">
        <f t="shared" si="12"/>
        <v/>
      </c>
      <c r="I88" s="22" t="str">
        <f t="shared" si="12"/>
        <v>✔️</v>
      </c>
      <c r="J88" s="22" t="str">
        <f t="shared" si="12"/>
        <v/>
      </c>
      <c r="K88" s="24"/>
      <c r="L88" s="24"/>
      <c r="M88" s="24"/>
      <c r="N88" s="32"/>
      <c r="O88" s="32"/>
      <c r="P88" s="32"/>
      <c r="Q88" s="32"/>
      <c r="R88" s="33"/>
      <c r="S88" s="33"/>
      <c r="T88" s="6"/>
      <c r="V88" s="34"/>
    </row>
    <row r="89" ht="15.6" spans="2:22">
      <c r="B89" s="25" t="s">
        <v>125</v>
      </c>
      <c r="C89" s="22">
        <f t="shared" si="13"/>
        <v>0</v>
      </c>
      <c r="D89" s="22">
        <f t="shared" si="10"/>
        <v>0</v>
      </c>
      <c r="E89" s="91" t="s">
        <v>183</v>
      </c>
      <c r="F89" s="22" t="str">
        <f t="shared" si="11"/>
        <v>Штаб возглавляет губернатор</v>
      </c>
      <c r="G89" s="22" t="str">
        <f t="shared" si="12"/>
        <v>✔️</v>
      </c>
      <c r="H89" s="22" t="str">
        <f t="shared" si="12"/>
        <v/>
      </c>
      <c r="I89" s="22" t="str">
        <f t="shared" si="12"/>
        <v/>
      </c>
      <c r="J89" s="22" t="str">
        <f t="shared" si="12"/>
        <v/>
      </c>
      <c r="K89" s="24"/>
      <c r="L89" s="24"/>
      <c r="M89" s="24"/>
      <c r="N89" s="32"/>
      <c r="O89" s="32"/>
      <c r="P89" s="32"/>
      <c r="Q89" s="32"/>
      <c r="R89" s="33"/>
      <c r="S89" s="33"/>
      <c r="T89" s="6"/>
      <c r="V89" s="34"/>
    </row>
    <row r="90" ht="15.6" spans="2:22">
      <c r="B90" s="25" t="s">
        <v>156</v>
      </c>
      <c r="C90" s="22">
        <f t="shared" si="13"/>
        <v>1</v>
      </c>
      <c r="D90" s="22">
        <f t="shared" si="10"/>
        <v>1</v>
      </c>
      <c r="E90" s="91" t="s">
        <v>186</v>
      </c>
      <c r="F90" s="22" t="str">
        <f t="shared" si="11"/>
        <v>Штаб возглавляет не губернатор</v>
      </c>
      <c r="G90" s="22" t="str">
        <f t="shared" si="12"/>
        <v/>
      </c>
      <c r="H90" s="22" t="str">
        <f t="shared" si="12"/>
        <v>✔️</v>
      </c>
      <c r="I90" s="22" t="str">
        <f t="shared" si="12"/>
        <v/>
      </c>
      <c r="J90" s="22" t="str">
        <f t="shared" si="12"/>
        <v/>
      </c>
      <c r="K90" s="24"/>
      <c r="L90" s="24"/>
      <c r="M90" s="24"/>
      <c r="N90" s="32"/>
      <c r="O90" s="32"/>
      <c r="P90" s="32"/>
      <c r="Q90" s="32"/>
      <c r="R90" s="33"/>
      <c r="S90" s="33"/>
      <c r="T90" s="6"/>
      <c r="V90" s="34"/>
    </row>
    <row r="91" ht="15.6" spans="2:22">
      <c r="B91" s="25" t="s">
        <v>116</v>
      </c>
      <c r="C91" s="22">
        <f t="shared" si="13"/>
        <v>1</v>
      </c>
      <c r="D91" s="22">
        <f t="shared" si="10"/>
        <v>1</v>
      </c>
      <c r="E91" s="91" t="s">
        <v>186</v>
      </c>
      <c r="F91" s="22" t="str">
        <f t="shared" si="11"/>
        <v>Штаб возглавляет не губернатор</v>
      </c>
      <c r="G91" s="22" t="str">
        <f t="shared" si="12"/>
        <v/>
      </c>
      <c r="H91" s="22" t="str">
        <f t="shared" si="12"/>
        <v>✔️</v>
      </c>
      <c r="I91" s="22" t="str">
        <f t="shared" si="12"/>
        <v/>
      </c>
      <c r="J91" s="22" t="str">
        <f t="shared" si="12"/>
        <v/>
      </c>
      <c r="K91" s="24"/>
      <c r="L91" s="24"/>
      <c r="M91" s="24"/>
      <c r="N91" s="32"/>
      <c r="O91" s="32"/>
      <c r="P91" s="32"/>
      <c r="Q91" s="32"/>
      <c r="R91" s="33"/>
      <c r="S91" s="33"/>
      <c r="T91" s="6"/>
      <c r="V91" s="34"/>
    </row>
    <row r="92" ht="15.6" spans="2:22">
      <c r="B92" s="25" t="s">
        <v>73</v>
      </c>
      <c r="C92" s="22">
        <f t="shared" si="13"/>
        <v>1</v>
      </c>
      <c r="D92" s="22">
        <f t="shared" si="10"/>
        <v>1</v>
      </c>
      <c r="E92" s="91" t="s">
        <v>186</v>
      </c>
      <c r="F92" s="22" t="str">
        <f t="shared" si="11"/>
        <v>Штаб возглавляет не губернатор</v>
      </c>
      <c r="G92" s="22" t="str">
        <f t="shared" si="12"/>
        <v/>
      </c>
      <c r="H92" s="22" t="str">
        <f t="shared" si="12"/>
        <v>✔️</v>
      </c>
      <c r="I92" s="22" t="str">
        <f t="shared" si="12"/>
        <v/>
      </c>
      <c r="J92" s="22" t="str">
        <f t="shared" si="12"/>
        <v/>
      </c>
      <c r="K92" s="24"/>
      <c r="L92" s="24"/>
      <c r="M92" s="24"/>
      <c r="N92" s="32"/>
      <c r="O92" s="32"/>
      <c r="P92" s="32"/>
      <c r="Q92" s="32"/>
      <c r="R92" s="33"/>
      <c r="S92" s="33"/>
      <c r="T92" s="6"/>
      <c r="V92" s="34"/>
    </row>
    <row r="93" ht="15.6" spans="2:22">
      <c r="B93" s="25" t="s">
        <v>83</v>
      </c>
      <c r="C93" s="22">
        <f t="shared" si="13"/>
        <v>0</v>
      </c>
      <c r="D93" s="22">
        <f t="shared" si="10"/>
        <v>0</v>
      </c>
      <c r="E93" s="91" t="s">
        <v>183</v>
      </c>
      <c r="F93" s="22" t="str">
        <f t="shared" si="11"/>
        <v>Штаб возглавляет губернатор</v>
      </c>
      <c r="G93" s="22" t="str">
        <f t="shared" si="12"/>
        <v>✔️</v>
      </c>
      <c r="H93" s="22" t="str">
        <f t="shared" si="12"/>
        <v/>
      </c>
      <c r="I93" s="22" t="str">
        <f t="shared" si="12"/>
        <v/>
      </c>
      <c r="J93" s="22" t="str">
        <f t="shared" si="12"/>
        <v/>
      </c>
      <c r="K93" s="24"/>
      <c r="L93" s="24"/>
      <c r="M93" s="24"/>
      <c r="N93" s="32"/>
      <c r="O93" s="32"/>
      <c r="P93" s="32"/>
      <c r="Q93" s="32"/>
      <c r="R93" s="33"/>
      <c r="S93" s="33"/>
      <c r="T93" s="6"/>
      <c r="V93" s="34"/>
    </row>
    <row r="94" ht="15.6" spans="2:22">
      <c r="B94" s="25" t="s">
        <v>99</v>
      </c>
      <c r="C94" s="22">
        <f t="shared" si="13"/>
        <v>2</v>
      </c>
      <c r="D94" s="22">
        <f t="shared" si="10"/>
        <v>2</v>
      </c>
      <c r="E94" s="91" t="s">
        <v>185</v>
      </c>
      <c r="F94" s="22" t="str">
        <f t="shared" si="11"/>
        <v>Штаб не создан</v>
      </c>
      <c r="G94" s="22" t="str">
        <f t="shared" si="12"/>
        <v/>
      </c>
      <c r="H94" s="22" t="str">
        <f t="shared" si="12"/>
        <v/>
      </c>
      <c r="I94" s="22" t="str">
        <f t="shared" si="12"/>
        <v/>
      </c>
      <c r="J94" s="22" t="str">
        <f t="shared" si="12"/>
        <v>✔️</v>
      </c>
      <c r="K94" s="24"/>
      <c r="L94" s="24"/>
      <c r="M94" s="24"/>
      <c r="N94" s="32"/>
      <c r="O94" s="32"/>
      <c r="P94" s="32"/>
      <c r="Q94" s="32"/>
      <c r="R94" s="33"/>
      <c r="S94" s="33"/>
      <c r="T94" s="6"/>
      <c r="V94" s="34"/>
    </row>
    <row r="95" ht="15.6" spans="2:22">
      <c r="B95" s="25" t="s">
        <v>128</v>
      </c>
      <c r="C95" s="22">
        <f t="shared" si="13"/>
        <v>0</v>
      </c>
      <c r="D95" s="22">
        <f t="shared" si="10"/>
        <v>0</v>
      </c>
      <c r="E95" s="91" t="s">
        <v>183</v>
      </c>
      <c r="F95" s="22" t="str">
        <f t="shared" si="11"/>
        <v>Штаб возглавляет губернатор</v>
      </c>
      <c r="G95" s="22" t="str">
        <f t="shared" si="12"/>
        <v>✔️</v>
      </c>
      <c r="H95" s="22" t="str">
        <f t="shared" si="12"/>
        <v/>
      </c>
      <c r="I95" s="22" t="str">
        <f t="shared" si="12"/>
        <v/>
      </c>
      <c r="J95" s="22" t="str">
        <f t="shared" si="12"/>
        <v/>
      </c>
      <c r="K95" s="24"/>
      <c r="L95" s="24"/>
      <c r="M95" s="24"/>
      <c r="N95" s="32"/>
      <c r="O95" s="32"/>
      <c r="P95" s="32"/>
      <c r="Q95" s="32"/>
      <c r="R95" s="33"/>
      <c r="S95" s="33"/>
      <c r="T95" s="6"/>
      <c r="V95" s="34"/>
    </row>
    <row r="96" ht="15.6" spans="2:22">
      <c r="B96" s="25" t="s">
        <v>145</v>
      </c>
      <c r="C96" s="22">
        <f t="shared" si="13"/>
        <v>1</v>
      </c>
      <c r="D96" s="22">
        <f t="shared" si="10"/>
        <v>1</v>
      </c>
      <c r="E96" s="91" t="s">
        <v>184</v>
      </c>
      <c r="F96" s="22" t="str">
        <f t="shared" si="11"/>
        <v>Штаб не создан в связи с выборами</v>
      </c>
      <c r="G96" s="22" t="str">
        <f t="shared" si="12"/>
        <v/>
      </c>
      <c r="H96" s="22" t="str">
        <f t="shared" si="12"/>
        <v/>
      </c>
      <c r="I96" s="22" t="str">
        <f t="shared" si="12"/>
        <v>✔️</v>
      </c>
      <c r="J96" s="22" t="str">
        <f t="shared" si="12"/>
        <v/>
      </c>
      <c r="K96" s="24"/>
      <c r="L96" s="24"/>
      <c r="M96" s="24"/>
      <c r="N96" s="32"/>
      <c r="O96" s="32"/>
      <c r="P96" s="32"/>
      <c r="Q96" s="32"/>
      <c r="R96" s="33"/>
      <c r="S96" s="33"/>
      <c r="T96" s="6"/>
      <c r="V96" s="34"/>
    </row>
    <row r="97" ht="15.6" spans="2:22">
      <c r="B97" s="25" t="s">
        <v>84</v>
      </c>
      <c r="C97" s="22">
        <f t="shared" si="13"/>
        <v>0</v>
      </c>
      <c r="D97" s="22">
        <f t="shared" si="10"/>
        <v>0</v>
      </c>
      <c r="E97" s="91" t="s">
        <v>183</v>
      </c>
      <c r="F97" s="22" t="str">
        <f t="shared" si="11"/>
        <v>Штаб возглавляет губернатор</v>
      </c>
      <c r="G97" s="22" t="str">
        <f t="shared" si="12"/>
        <v>✔️</v>
      </c>
      <c r="H97" s="22" t="str">
        <f t="shared" si="12"/>
        <v/>
      </c>
      <c r="I97" s="22" t="str">
        <f t="shared" si="12"/>
        <v/>
      </c>
      <c r="J97" s="22" t="str">
        <f t="shared" si="12"/>
        <v/>
      </c>
      <c r="K97" s="24"/>
      <c r="L97" s="24"/>
      <c r="M97" s="24"/>
      <c r="N97" s="32"/>
      <c r="O97" s="32"/>
      <c r="P97" s="32"/>
      <c r="Q97" s="32"/>
      <c r="R97" s="33"/>
      <c r="S97" s="33"/>
      <c r="T97" s="6"/>
      <c r="V97" s="34"/>
    </row>
    <row r="98" ht="15.6" spans="2:22">
      <c r="B98" s="25" t="s">
        <v>163</v>
      </c>
      <c r="C98" s="22">
        <f t="shared" ref="C98" si="14">IF(OR(G98=2,D98&gt;$D$8),2,IF(OR(G98=1,D98&gt;$D$9),1,0))</f>
        <v>2</v>
      </c>
      <c r="D98" s="22">
        <f t="shared" si="10"/>
        <v>2</v>
      </c>
      <c r="E98" s="91" t="s">
        <v>185</v>
      </c>
      <c r="F98" s="22" t="str">
        <f t="shared" si="11"/>
        <v>Штаб не создан</v>
      </c>
      <c r="G98" s="22" t="str">
        <f t="shared" si="12"/>
        <v/>
      </c>
      <c r="H98" s="22" t="str">
        <f t="shared" si="12"/>
        <v/>
      </c>
      <c r="I98" s="22" t="str">
        <f t="shared" si="12"/>
        <v/>
      </c>
      <c r="J98" s="22" t="str">
        <f t="shared" si="12"/>
        <v>✔️</v>
      </c>
      <c r="K98" s="24"/>
      <c r="L98" s="24"/>
      <c r="M98" s="24"/>
      <c r="N98" s="32"/>
      <c r="O98" s="32"/>
      <c r="P98" s="32"/>
      <c r="Q98" s="32"/>
      <c r="R98" s="33"/>
      <c r="S98" s="33"/>
      <c r="T98" s="6"/>
      <c r="V98" s="34"/>
    </row>
    <row r="99" ht="15.6" spans="2:22">
      <c r="B99" s="25" t="s">
        <v>79</v>
      </c>
      <c r="C99" s="22">
        <f t="shared" si="13"/>
        <v>0</v>
      </c>
      <c r="D99" s="22">
        <f t="shared" si="10"/>
        <v>0</v>
      </c>
      <c r="E99" s="91" t="s">
        <v>183</v>
      </c>
      <c r="F99" s="22" t="str">
        <f t="shared" si="11"/>
        <v>Штаб возглавляет губернатор</v>
      </c>
      <c r="G99" s="22" t="str">
        <f t="shared" si="12"/>
        <v>✔️</v>
      </c>
      <c r="H99" s="22" t="str">
        <f t="shared" si="12"/>
        <v/>
      </c>
      <c r="I99" s="22" t="str">
        <f t="shared" si="12"/>
        <v/>
      </c>
      <c r="J99" s="22" t="str">
        <f t="shared" si="12"/>
        <v/>
      </c>
      <c r="K99" s="24"/>
      <c r="L99" s="24"/>
      <c r="M99" s="24"/>
      <c r="N99" s="32"/>
      <c r="O99" s="32"/>
      <c r="P99" s="32"/>
      <c r="Q99" s="32"/>
      <c r="R99" s="33"/>
      <c r="S99" s="33"/>
      <c r="T99" s="6"/>
      <c r="V99" s="34"/>
    </row>
    <row r="100" ht="15.6" spans="2:22">
      <c r="B100" s="25" t="s">
        <v>117</v>
      </c>
      <c r="C100" s="22">
        <f t="shared" si="13"/>
        <v>1</v>
      </c>
      <c r="D100" s="22">
        <f t="shared" si="10"/>
        <v>1</v>
      </c>
      <c r="E100" s="91" t="s">
        <v>186</v>
      </c>
      <c r="F100" s="22" t="str">
        <f t="shared" si="11"/>
        <v>Штаб возглавляет не губернатор</v>
      </c>
      <c r="G100" s="22" t="str">
        <f t="shared" si="12"/>
        <v/>
      </c>
      <c r="H100" s="22" t="str">
        <f t="shared" si="12"/>
        <v>✔️</v>
      </c>
      <c r="I100" s="22" t="str">
        <f t="shared" si="12"/>
        <v/>
      </c>
      <c r="J100" s="22" t="str">
        <f t="shared" si="12"/>
        <v/>
      </c>
      <c r="K100" s="24"/>
      <c r="L100" s="24"/>
      <c r="M100" s="24"/>
      <c r="N100" s="32"/>
      <c r="O100" s="32"/>
      <c r="P100" s="32"/>
      <c r="Q100" s="32"/>
      <c r="R100" s="33"/>
      <c r="S100" s="33"/>
      <c r="T100" s="6"/>
      <c r="V100" s="34"/>
    </row>
    <row r="101" ht="15.6" spans="2:22">
      <c r="B101" s="25" t="s">
        <v>82</v>
      </c>
      <c r="C101" s="22">
        <f t="shared" si="13"/>
        <v>0</v>
      </c>
      <c r="D101" s="22">
        <f t="shared" si="10"/>
        <v>0</v>
      </c>
      <c r="E101" s="91" t="s">
        <v>183</v>
      </c>
      <c r="F101" s="22" t="str">
        <f t="shared" si="11"/>
        <v>Штаб возглавляет губернатор</v>
      </c>
      <c r="G101" s="22" t="str">
        <f t="shared" si="12"/>
        <v>✔️</v>
      </c>
      <c r="H101" s="22" t="str">
        <f t="shared" si="12"/>
        <v/>
      </c>
      <c r="I101" s="22" t="str">
        <f t="shared" si="12"/>
        <v/>
      </c>
      <c r="J101" s="22" t="str">
        <f t="shared" si="12"/>
        <v/>
      </c>
      <c r="K101" s="24"/>
      <c r="L101" s="24"/>
      <c r="M101" s="24"/>
      <c r="N101" s="32"/>
      <c r="O101" s="32"/>
      <c r="P101" s="32"/>
      <c r="Q101" s="32"/>
      <c r="R101" s="33"/>
      <c r="S101" s="33"/>
      <c r="T101" s="6"/>
      <c r="V101" s="34"/>
    </row>
    <row r="102" ht="15.6" spans="2:22">
      <c r="B102" s="25" t="s">
        <v>149</v>
      </c>
      <c r="C102" s="22">
        <f t="shared" si="13"/>
        <v>0</v>
      </c>
      <c r="D102" s="22">
        <f t="shared" si="10"/>
        <v>0</v>
      </c>
      <c r="E102" s="91" t="s">
        <v>183</v>
      </c>
      <c r="F102" s="22" t="str">
        <f t="shared" si="11"/>
        <v>Штаб возглавляет губернатор</v>
      </c>
      <c r="G102" s="22" t="str">
        <f t="shared" si="12"/>
        <v>✔️</v>
      </c>
      <c r="H102" s="22" t="str">
        <f t="shared" si="12"/>
        <v/>
      </c>
      <c r="I102" s="22" t="str">
        <f t="shared" si="12"/>
        <v/>
      </c>
      <c r="J102" s="22" t="str">
        <f t="shared" si="12"/>
        <v/>
      </c>
      <c r="K102" s="24"/>
      <c r="L102" s="24"/>
      <c r="M102" s="24"/>
      <c r="N102" s="32"/>
      <c r="O102" s="32"/>
      <c r="P102" s="32"/>
      <c r="Q102" s="32"/>
      <c r="R102" s="33"/>
      <c r="S102" s="33"/>
      <c r="T102" s="6"/>
      <c r="V102" s="34"/>
    </row>
    <row r="103" ht="15.6" spans="2:22">
      <c r="B103" s="25" t="s">
        <v>114</v>
      </c>
      <c r="C103" s="22">
        <f t="shared" si="13"/>
        <v>0</v>
      </c>
      <c r="D103" s="22">
        <f t="shared" si="10"/>
        <v>0</v>
      </c>
      <c r="E103" s="91" t="s">
        <v>183</v>
      </c>
      <c r="F103" s="22" t="str">
        <f t="shared" si="11"/>
        <v>Штаб возглавляет губернатор</v>
      </c>
      <c r="G103" s="22" t="str">
        <f t="shared" si="12"/>
        <v>✔️</v>
      </c>
      <c r="H103" s="22" t="str">
        <f t="shared" si="12"/>
        <v/>
      </c>
      <c r="I103" s="22" t="str">
        <f t="shared" si="12"/>
        <v/>
      </c>
      <c r="J103" s="22" t="str">
        <f t="shared" si="12"/>
        <v/>
      </c>
      <c r="K103" s="24"/>
      <c r="L103" s="24"/>
      <c r="M103" s="24"/>
      <c r="N103" s="32"/>
      <c r="O103" s="32"/>
      <c r="P103" s="32"/>
      <c r="Q103" s="32"/>
      <c r="R103" s="33"/>
      <c r="S103" s="33"/>
      <c r="T103" s="6"/>
      <c r="V103" s="34"/>
    </row>
    <row r="104" ht="15.6" spans="2:22">
      <c r="B104" s="25" t="s">
        <v>80</v>
      </c>
      <c r="C104" s="22">
        <f t="shared" si="13"/>
        <v>2</v>
      </c>
      <c r="D104" s="22">
        <f t="shared" si="10"/>
        <v>2</v>
      </c>
      <c r="E104" s="91" t="s">
        <v>185</v>
      </c>
      <c r="F104" s="22" t="str">
        <f t="shared" si="11"/>
        <v>Штаб не создан</v>
      </c>
      <c r="G104" s="22" t="str">
        <f t="shared" si="12"/>
        <v/>
      </c>
      <c r="H104" s="22" t="str">
        <f t="shared" si="12"/>
        <v/>
      </c>
      <c r="I104" s="22" t="str">
        <f t="shared" si="12"/>
        <v/>
      </c>
      <c r="J104" s="22" t="str">
        <f t="shared" si="12"/>
        <v>✔️</v>
      </c>
      <c r="K104" s="24"/>
      <c r="L104" s="24"/>
      <c r="M104" s="24"/>
      <c r="N104" s="32"/>
      <c r="O104" s="32"/>
      <c r="P104" s="32"/>
      <c r="Q104" s="32"/>
      <c r="R104" s="33"/>
      <c r="S104" s="33"/>
      <c r="T104" s="6"/>
      <c r="V104" s="34"/>
    </row>
    <row r="106" spans="5:5">
      <c r="E106" s="8" t="s">
        <v>183</v>
      </c>
    </row>
    <row r="107" spans="2:22">
      <c r="B107" s="25"/>
      <c r="E107" s="8" t="s">
        <v>186</v>
      </c>
      <c r="V107" s="25"/>
    </row>
    <row r="108" spans="2:22">
      <c r="B108" s="25"/>
      <c r="E108" s="8" t="s">
        <v>184</v>
      </c>
      <c r="V108" s="25"/>
    </row>
    <row r="109" spans="5:22">
      <c r="E109" s="8" t="s">
        <v>185</v>
      </c>
      <c r="H109" s="16"/>
      <c r="V109" s="25"/>
    </row>
  </sheetData>
  <autoFilter xmlns:etc="http://www.wps.cn/officeDocument/2017/etCustomData" ref="B15:J104" etc:filterBottomFollowUsedRange="0">
    <extLst/>
  </autoFilter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5"/>
  <dimension ref="A1:J89"/>
  <sheetViews>
    <sheetView topLeftCell="A16" workbookViewId="0">
      <selection activeCell="C34" sqref="C34"/>
    </sheetView>
  </sheetViews>
  <sheetFormatPr defaultColWidth="8.85833333333333" defaultRowHeight="15.6"/>
  <cols>
    <col min="1" max="1" width="9" style="82"/>
    <col min="2" max="2" width="28.3583333333333" style="83" customWidth="1"/>
    <col min="3" max="3" width="12.5" style="83" customWidth="1"/>
    <col min="4" max="4" width="13.5" customWidth="1"/>
    <col min="7" max="7" width="42.8583333333333" customWidth="1"/>
  </cols>
  <sheetData>
    <row r="1" spans="1:3">
      <c r="A1" s="84" t="s">
        <v>187</v>
      </c>
      <c r="B1" s="85"/>
      <c r="C1" s="85"/>
    </row>
    <row r="2" ht="30" spans="1:4">
      <c r="A2" s="86" t="s">
        <v>188</v>
      </c>
      <c r="B2" s="87" t="s">
        <v>189</v>
      </c>
      <c r="C2" s="87" t="s">
        <v>190</v>
      </c>
      <c r="D2" s="21" t="s">
        <v>191</v>
      </c>
    </row>
    <row r="3" spans="1:7">
      <c r="A3" s="88">
        <v>1</v>
      </c>
      <c r="B3" s="89" t="s">
        <v>146</v>
      </c>
      <c r="C3" s="89">
        <v>44</v>
      </c>
      <c r="D3">
        <f>VLOOKUP(B3,Контейнеры!B16:$H$104,7,0)</f>
        <v>2115308</v>
      </c>
      <c r="E3">
        <f>C3/D3*1000</f>
        <v>0.0208007533654673</v>
      </c>
      <c r="G3" s="25"/>
    </row>
    <row r="4" spans="1:7">
      <c r="A4" s="88">
        <v>2</v>
      </c>
      <c r="B4" s="89" t="s">
        <v>150</v>
      </c>
      <c r="C4" s="89">
        <v>3523</v>
      </c>
      <c r="D4">
        <f>VLOOKUP(B4,Контейнеры!B17:$H$104,7,0)</f>
        <v>750083</v>
      </c>
      <c r="E4">
        <f t="shared" ref="E4:E66" si="0">C4/D4*1000</f>
        <v>4.69681355263351</v>
      </c>
      <c r="G4" s="25"/>
    </row>
    <row r="5" spans="1:7">
      <c r="A5" s="88">
        <v>3</v>
      </c>
      <c r="B5" s="89" t="s">
        <v>133</v>
      </c>
      <c r="C5" s="89">
        <v>17</v>
      </c>
      <c r="D5">
        <f>VLOOKUP(B5,Контейнеры!B18:$H$104,7,0)</f>
        <v>955848</v>
      </c>
      <c r="E5">
        <f t="shared" si="0"/>
        <v>0.0177852545593023</v>
      </c>
      <c r="G5" s="25"/>
    </row>
    <row r="6" spans="1:7">
      <c r="A6" s="88">
        <v>4</v>
      </c>
      <c r="B6" s="89" t="s">
        <v>121</v>
      </c>
      <c r="C6" s="89">
        <v>141</v>
      </c>
      <c r="D6">
        <f>VLOOKUP(B6,Контейнеры!B19:$H$104,7,0)</f>
        <v>946429</v>
      </c>
      <c r="E6">
        <f t="shared" si="0"/>
        <v>0.148981064612348</v>
      </c>
      <c r="G6" s="25"/>
    </row>
    <row r="7" spans="1:7">
      <c r="A7" s="88">
        <v>5</v>
      </c>
      <c r="B7" s="89" t="s">
        <v>106</v>
      </c>
      <c r="C7" s="89">
        <v>447</v>
      </c>
      <c r="D7">
        <f>VLOOKUP(B7,Контейнеры!B20:$H$104,7,0)</f>
        <v>1500659</v>
      </c>
      <c r="E7">
        <f t="shared" si="0"/>
        <v>0.297869136159514</v>
      </c>
      <c r="G7" s="25"/>
    </row>
    <row r="8" spans="1:7">
      <c r="A8" s="88">
        <v>6</v>
      </c>
      <c r="B8" s="89" t="s">
        <v>91</v>
      </c>
      <c r="C8" s="89">
        <v>110</v>
      </c>
      <c r="D8">
        <f>VLOOKUP(B8,Контейнеры!B21:$H$104,7,0)</f>
        <v>1142404</v>
      </c>
      <c r="E8">
        <f t="shared" si="0"/>
        <v>0.0962881782626812</v>
      </c>
      <c r="G8" s="25"/>
    </row>
    <row r="9" spans="1:7">
      <c r="A9" s="88">
        <v>7</v>
      </c>
      <c r="B9" s="89" t="s">
        <v>113</v>
      </c>
      <c r="C9" s="89">
        <v>407</v>
      </c>
      <c r="D9">
        <f>VLOOKUP(B9,Контейнеры!B22:$H$104,7,0)</f>
        <v>1309942</v>
      </c>
      <c r="E9">
        <f t="shared" si="0"/>
        <v>0.310700779118465</v>
      </c>
      <c r="G9" s="25"/>
    </row>
    <row r="10" spans="1:7">
      <c r="A10" s="88">
        <v>8</v>
      </c>
      <c r="B10" s="89" t="s">
        <v>86</v>
      </c>
      <c r="C10" s="89">
        <v>177</v>
      </c>
      <c r="D10">
        <f>VLOOKUP(B10,Контейнеры!B23:$H$104,7,0)</f>
        <v>2453898</v>
      </c>
      <c r="E10">
        <f t="shared" si="0"/>
        <v>0.0721301374384754</v>
      </c>
      <c r="G10" s="25"/>
    </row>
    <row r="11" spans="1:7">
      <c r="A11" s="88">
        <v>9</v>
      </c>
      <c r="B11" s="89" t="s">
        <v>107</v>
      </c>
      <c r="C11" s="89">
        <v>58</v>
      </c>
      <c r="D11">
        <f>VLOOKUP(B11,Контейнеры!B24:$H$104,7,0)</f>
        <v>1121343</v>
      </c>
      <c r="E11">
        <f t="shared" si="0"/>
        <v>0.0517236920371376</v>
      </c>
      <c r="G11" s="25"/>
    </row>
    <row r="12" spans="1:7">
      <c r="A12" s="88">
        <v>10</v>
      </c>
      <c r="B12" s="89" t="s">
        <v>137</v>
      </c>
      <c r="C12" s="89">
        <v>178</v>
      </c>
      <c r="D12">
        <f>VLOOKUP(B12,Контейнеры!B25:$H$104,7,0)</f>
        <v>2273417</v>
      </c>
      <c r="E12">
        <f t="shared" si="0"/>
        <v>0.0782962386574922</v>
      </c>
      <c r="G12" s="25"/>
    </row>
    <row r="13" spans="1:7">
      <c r="A13" s="88">
        <v>11</v>
      </c>
      <c r="B13" s="89" t="s">
        <v>68</v>
      </c>
      <c r="C13" s="89">
        <v>415</v>
      </c>
      <c r="D13">
        <f>VLOOKUP(B13,Контейнеры!B26:$H$104,7,0)</f>
        <v>13149803</v>
      </c>
      <c r="E13">
        <f t="shared" si="0"/>
        <v>0.0315594081523503</v>
      </c>
      <c r="G13" s="25"/>
    </row>
    <row r="14" spans="1:7">
      <c r="A14" s="88">
        <v>12</v>
      </c>
      <c r="B14" s="89" t="s">
        <v>71</v>
      </c>
      <c r="C14" s="89">
        <v>579</v>
      </c>
      <c r="D14">
        <f>VLOOKUP(B14,Контейнеры!B27:$H$104,7,0)</f>
        <v>5597763</v>
      </c>
      <c r="E14">
        <f t="shared" si="0"/>
        <v>0.103434175401852</v>
      </c>
      <c r="G14" s="25"/>
    </row>
    <row r="15" spans="1:7">
      <c r="A15" s="88">
        <v>13</v>
      </c>
      <c r="B15" s="89" t="s">
        <v>118</v>
      </c>
      <c r="C15" s="89">
        <v>20</v>
      </c>
      <c r="D15">
        <f>VLOOKUP(B15,Контейнеры!B28:$H$104,7,0)</f>
        <v>561374</v>
      </c>
      <c r="E15">
        <f t="shared" si="0"/>
        <v>0.035626872637493</v>
      </c>
      <c r="G15" s="25"/>
    </row>
    <row r="16" spans="1:7">
      <c r="A16" s="88">
        <v>14</v>
      </c>
      <c r="B16" s="89" t="s">
        <v>131</v>
      </c>
      <c r="C16" s="89">
        <v>3</v>
      </c>
      <c r="D16">
        <f>VLOOKUP(B16,Контейнеры!B29:$H$104,7,0)</f>
        <v>145802</v>
      </c>
      <c r="E16">
        <f t="shared" si="0"/>
        <v>0.020575849439651</v>
      </c>
      <c r="G16" s="25"/>
    </row>
    <row r="17" spans="1:7">
      <c r="A17" s="88">
        <v>15</v>
      </c>
      <c r="B17" s="89" t="s">
        <v>155</v>
      </c>
      <c r="C17" s="89">
        <v>19</v>
      </c>
      <c r="D17">
        <f>VLOOKUP(B17,Контейнеры!B30:$H$104,7,0)</f>
        <v>984395</v>
      </c>
      <c r="E17">
        <f t="shared" si="0"/>
        <v>0.0193011951503208</v>
      </c>
      <c r="G17" s="25"/>
    </row>
    <row r="18" spans="1:7">
      <c r="A18" s="88">
        <v>16</v>
      </c>
      <c r="B18" s="89" t="s">
        <v>81</v>
      </c>
      <c r="C18" s="89">
        <v>127</v>
      </c>
      <c r="D18">
        <f>VLOOKUP(B18,Контейнеры!B31:$H$104,7,0)</f>
        <v>905900</v>
      </c>
      <c r="E18">
        <f t="shared" si="0"/>
        <v>0.140192074180373</v>
      </c>
      <c r="G18" s="25"/>
    </row>
    <row r="19" spans="1:7">
      <c r="A19" s="88">
        <v>17</v>
      </c>
      <c r="B19" s="89" t="s">
        <v>148</v>
      </c>
      <c r="C19" s="89">
        <v>49</v>
      </c>
      <c r="D19">
        <f>VLOOKUP(B19,Контейнеры!B32:$H$104,7,0)</f>
        <v>2330537</v>
      </c>
      <c r="E19">
        <f t="shared" si="0"/>
        <v>0.0210251971970409</v>
      </c>
      <c r="G19" s="25"/>
    </row>
    <row r="20" spans="1:7">
      <c r="A20" s="88">
        <v>18</v>
      </c>
      <c r="B20" s="89" t="s">
        <v>192</v>
      </c>
      <c r="C20" s="89">
        <v>19</v>
      </c>
      <c r="D20">
        <f>VLOOKUP(B20,Контейнеры!B33:$H$104,7,0)</f>
        <v>905464</v>
      </c>
      <c r="E20">
        <f t="shared" si="0"/>
        <v>0.0209837166358905</v>
      </c>
      <c r="G20" s="25"/>
    </row>
    <row r="21" spans="1:7">
      <c r="A21" s="88">
        <v>19</v>
      </c>
      <c r="B21" s="89" t="s">
        <v>119</v>
      </c>
      <c r="C21" s="89">
        <v>69</v>
      </c>
      <c r="D21">
        <f>VLOOKUP(B21,Контейнеры!B34:$H$104,7,0)</f>
        <v>1033914</v>
      </c>
      <c r="E21">
        <f t="shared" si="0"/>
        <v>0.0667366918331699</v>
      </c>
      <c r="G21" s="25"/>
    </row>
    <row r="22" spans="1:7">
      <c r="A22" s="88">
        <v>20</v>
      </c>
      <c r="B22" s="89" t="s">
        <v>87</v>
      </c>
      <c r="C22" s="89">
        <v>169</v>
      </c>
      <c r="D22">
        <f>VLOOKUP(B22,Контейнеры!B35:$H$104,7,0)</f>
        <v>1068410</v>
      </c>
      <c r="E22">
        <f t="shared" si="0"/>
        <v>0.158178976235715</v>
      </c>
      <c r="G22" s="25"/>
    </row>
    <row r="23" spans="1:7">
      <c r="A23" s="88">
        <v>21</v>
      </c>
      <c r="B23" s="89" t="s">
        <v>134</v>
      </c>
      <c r="C23" s="89">
        <v>22</v>
      </c>
      <c r="D23">
        <f>VLOOKUP(B23,Контейнеры!B36:$H$104,7,0)</f>
        <v>288947</v>
      </c>
      <c r="E23">
        <f t="shared" si="0"/>
        <v>0.0761385305955763</v>
      </c>
      <c r="G23" s="25"/>
    </row>
    <row r="24" spans="1:7">
      <c r="A24" s="88">
        <v>22</v>
      </c>
      <c r="B24" s="89" t="s">
        <v>138</v>
      </c>
      <c r="C24" s="89">
        <v>26</v>
      </c>
      <c r="D24">
        <f>VLOOKUP(B24,Контейнеры!B37:$H$104,7,0)</f>
        <v>468322</v>
      </c>
      <c r="E24">
        <f t="shared" si="0"/>
        <v>0.055517357715418</v>
      </c>
      <c r="G24" s="25"/>
    </row>
    <row r="25" spans="1:7">
      <c r="A25" s="88">
        <v>23</v>
      </c>
      <c r="B25" s="89" t="s">
        <v>109</v>
      </c>
      <c r="C25" s="89">
        <v>94</v>
      </c>
      <c r="D25">
        <f>VLOOKUP(B25,Контейнеры!B38:$H$104,7,0)</f>
        <v>2547684</v>
      </c>
      <c r="E25">
        <f t="shared" si="0"/>
        <v>0.0368962555795774</v>
      </c>
      <c r="G25" s="25"/>
    </row>
    <row r="26" spans="1:7">
      <c r="A26" s="88">
        <v>24</v>
      </c>
      <c r="B26" s="89" t="s">
        <v>76</v>
      </c>
      <c r="C26" s="89">
        <v>37</v>
      </c>
      <c r="D26">
        <f>VLOOKUP(B26,Контейнеры!B39:$H$104,7,0)</f>
        <v>1129935</v>
      </c>
      <c r="E26">
        <f t="shared" si="0"/>
        <v>0.0327452464079792</v>
      </c>
      <c r="G26" s="25"/>
    </row>
    <row r="27" spans="1:7">
      <c r="A27" s="88">
        <v>25</v>
      </c>
      <c r="B27" s="89" t="s">
        <v>89</v>
      </c>
      <c r="C27" s="89">
        <v>33</v>
      </c>
      <c r="D27">
        <f>VLOOKUP(B27,Контейнеры!B40:$H$104,7,0)</f>
        <v>566266</v>
      </c>
      <c r="E27">
        <f t="shared" si="0"/>
        <v>0.058276499030491</v>
      </c>
      <c r="G27" s="25"/>
    </row>
    <row r="28" spans="1:7">
      <c r="A28" s="88">
        <v>26</v>
      </c>
      <c r="B28" s="89" t="s">
        <v>141</v>
      </c>
      <c r="C28" s="89">
        <v>634</v>
      </c>
      <c r="D28">
        <f>VLOOKUP(B28,Контейнеры!B41:$H$104,7,0)</f>
        <v>5833002</v>
      </c>
      <c r="E28">
        <f t="shared" si="0"/>
        <v>0.108691887984952</v>
      </c>
      <c r="G28" s="25"/>
    </row>
    <row r="29" spans="1:7">
      <c r="A29" s="88">
        <v>27</v>
      </c>
      <c r="B29" s="89" t="s">
        <v>142</v>
      </c>
      <c r="C29" s="89">
        <v>90</v>
      </c>
      <c r="D29">
        <f>VLOOKUP(B29,Контейнеры!B42:$H$104,7,0)</f>
        <v>2846120</v>
      </c>
      <c r="E29">
        <f t="shared" si="0"/>
        <v>0.0316219976669993</v>
      </c>
      <c r="G29" s="25"/>
    </row>
    <row r="30" spans="1:7">
      <c r="A30" s="88">
        <v>28</v>
      </c>
      <c r="B30" s="89" t="s">
        <v>132</v>
      </c>
      <c r="C30" s="89">
        <v>34</v>
      </c>
      <c r="D30">
        <f>VLOOKUP(B30,Контейнеры!B43:$H$104,7,0)</f>
        <v>753002</v>
      </c>
      <c r="E30">
        <f t="shared" si="0"/>
        <v>0.045152602516328</v>
      </c>
      <c r="G30" s="25"/>
    </row>
    <row r="31" spans="1:7">
      <c r="A31" s="88">
        <v>29</v>
      </c>
      <c r="B31" s="89" t="s">
        <v>77</v>
      </c>
      <c r="C31" s="89">
        <v>53</v>
      </c>
      <c r="D31">
        <f>VLOOKUP(B31,Контейнеры!B44:$H$104,7,0)</f>
        <v>1060892</v>
      </c>
      <c r="E31">
        <f t="shared" si="0"/>
        <v>0.0499579599054381</v>
      </c>
      <c r="G31" s="25"/>
    </row>
    <row r="32" spans="1:7">
      <c r="A32" s="88">
        <v>30</v>
      </c>
      <c r="B32" s="89" t="s">
        <v>92</v>
      </c>
      <c r="C32" s="89">
        <v>409</v>
      </c>
      <c r="D32">
        <f>VLOOKUP(B32,Контейнеры!B45:$H$104,7,0)</f>
        <v>2035762</v>
      </c>
      <c r="E32">
        <f t="shared" si="0"/>
        <v>0.200907571710249</v>
      </c>
      <c r="G32" s="25"/>
    </row>
    <row r="33" spans="1:7">
      <c r="A33" s="88">
        <v>31</v>
      </c>
      <c r="B33" s="89" t="s">
        <v>101</v>
      </c>
      <c r="C33" s="89">
        <v>94</v>
      </c>
      <c r="D33">
        <f>VLOOKUP(B33,Контейнеры!B46:$H$104,7,0)</f>
        <v>1116265</v>
      </c>
      <c r="E33">
        <f t="shared" si="0"/>
        <v>0.0842093947225793</v>
      </c>
      <c r="G33" s="25"/>
    </row>
    <row r="34" spans="1:7">
      <c r="A34" s="88">
        <v>32</v>
      </c>
      <c r="B34" s="89" t="s">
        <v>153</v>
      </c>
      <c r="C34" s="89">
        <v>3</v>
      </c>
      <c r="D34">
        <f>VLOOKUP(B34,Контейнеры!B47:$H$104,7,0)</f>
        <v>133387</v>
      </c>
      <c r="E34">
        <f t="shared" si="0"/>
        <v>0.022490947393674</v>
      </c>
      <c r="G34" s="25"/>
    </row>
    <row r="35" spans="1:7">
      <c r="A35" s="88">
        <v>33</v>
      </c>
      <c r="B35" s="89" t="s">
        <v>69</v>
      </c>
      <c r="C35" s="89">
        <v>943</v>
      </c>
      <c r="D35">
        <f>VLOOKUP(B35,Контейнеры!B48:$H$104,7,0)</f>
        <v>8651260</v>
      </c>
      <c r="E35">
        <f t="shared" si="0"/>
        <v>0.109001463370654</v>
      </c>
      <c r="G35" s="25"/>
    </row>
    <row r="36" spans="1:7">
      <c r="A36" s="88">
        <v>34</v>
      </c>
      <c r="B36" s="89" t="s">
        <v>72</v>
      </c>
      <c r="C36" s="89">
        <v>43</v>
      </c>
      <c r="D36">
        <f>VLOOKUP(B36,Контейнеры!B49:$H$104,7,0)</f>
        <v>656438</v>
      </c>
      <c r="E36">
        <f t="shared" si="0"/>
        <v>0.0655050438883794</v>
      </c>
      <c r="G36" s="25"/>
    </row>
    <row r="37" spans="1:10">
      <c r="A37" s="88">
        <v>35</v>
      </c>
      <c r="B37" s="89" t="s">
        <v>93</v>
      </c>
      <c r="C37" s="89">
        <v>306</v>
      </c>
      <c r="D37">
        <f>VLOOKUP(B37,Контейнеры!B50:$H$104,7,0)</f>
        <v>3060335</v>
      </c>
      <c r="E37">
        <f t="shared" si="0"/>
        <v>0.0999890534859746</v>
      </c>
      <c r="G37" s="25"/>
      <c r="J37" s="25"/>
    </row>
    <row r="38" spans="1:7">
      <c r="A38" s="88">
        <v>36</v>
      </c>
      <c r="B38" s="89" t="s">
        <v>90</v>
      </c>
      <c r="C38" s="89">
        <v>26</v>
      </c>
      <c r="D38">
        <f>VLOOKUP(B38,Контейнеры!B51:$H$104,7,0)</f>
        <v>571447</v>
      </c>
      <c r="E38">
        <f t="shared" si="0"/>
        <v>0.0454985326723213</v>
      </c>
      <c r="G38" s="25"/>
    </row>
    <row r="39" spans="1:7">
      <c r="A39" s="88">
        <v>37</v>
      </c>
      <c r="B39" s="89" t="s">
        <v>123</v>
      </c>
      <c r="C39" s="89">
        <v>115</v>
      </c>
      <c r="D39">
        <f>VLOOKUP(B39,Контейнеры!B52:$H$104,7,0)</f>
        <v>2789532</v>
      </c>
      <c r="E39">
        <f t="shared" si="0"/>
        <v>0.0412255532469246</v>
      </c>
      <c r="G39" s="25"/>
    </row>
    <row r="40" spans="1:7">
      <c r="A40" s="88">
        <v>38</v>
      </c>
      <c r="B40" s="89" t="s">
        <v>139</v>
      </c>
      <c r="C40" s="89">
        <v>91</v>
      </c>
      <c r="D40">
        <f>VLOOKUP(B40,Контейнеры!B53:$H$104,7,0)</f>
        <v>1818093</v>
      </c>
      <c r="E40">
        <f t="shared" si="0"/>
        <v>0.0500524450619413</v>
      </c>
      <c r="G40" s="25"/>
    </row>
    <row r="41" spans="1:7">
      <c r="A41" s="88">
        <v>39</v>
      </c>
      <c r="B41" s="89" t="s">
        <v>94</v>
      </c>
      <c r="C41" s="89">
        <v>302</v>
      </c>
      <c r="D41">
        <f>VLOOKUP(B41,Контейнеры!B54:$H$104,7,0)</f>
        <v>1828656</v>
      </c>
      <c r="E41">
        <f t="shared" si="0"/>
        <v>0.165148611876701</v>
      </c>
      <c r="G41" s="25"/>
    </row>
    <row r="42" spans="1:7">
      <c r="A42" s="88">
        <v>40</v>
      </c>
      <c r="B42" s="89" t="s">
        <v>111</v>
      </c>
      <c r="C42" s="89">
        <v>201</v>
      </c>
      <c r="D42">
        <f>VLOOKUP(B42,Контейнеры!B55:$H$104,7,0)</f>
        <v>692486</v>
      </c>
      <c r="E42">
        <f t="shared" si="0"/>
        <v>0.290258575624634</v>
      </c>
      <c r="G42" s="25"/>
    </row>
    <row r="43" spans="1:7">
      <c r="A43" s="88">
        <v>41</v>
      </c>
      <c r="B43" s="89" t="s">
        <v>124</v>
      </c>
      <c r="C43" s="89">
        <v>75</v>
      </c>
      <c r="D43">
        <f>VLOOKUP(B43,Контейнеры!B56:$H$104,7,0)</f>
        <v>1236113</v>
      </c>
      <c r="E43">
        <f t="shared" si="0"/>
        <v>0.0606740645879462</v>
      </c>
      <c r="G43" s="25"/>
    </row>
    <row r="44" spans="1:7">
      <c r="A44" s="88">
        <v>42</v>
      </c>
      <c r="B44" s="89" t="s">
        <v>143</v>
      </c>
      <c r="C44" s="89">
        <v>111</v>
      </c>
      <c r="D44">
        <f>VLOOKUP(B44,Контейнеры!B57:$H$104,7,0)</f>
        <v>2495266</v>
      </c>
      <c r="E44">
        <f t="shared" si="0"/>
        <v>0.0444842353480551</v>
      </c>
      <c r="G44" s="25"/>
    </row>
    <row r="45" spans="1:7">
      <c r="A45" s="88">
        <v>43</v>
      </c>
      <c r="B45" s="89" t="s">
        <v>144</v>
      </c>
      <c r="C45" s="89">
        <v>181</v>
      </c>
      <c r="D45">
        <f>VLOOKUP(B45,Контейнеры!B58:$H$104,7,0)</f>
        <v>1806393</v>
      </c>
      <c r="E45">
        <f t="shared" si="0"/>
        <v>0.100199679693179</v>
      </c>
      <c r="G45" s="25"/>
    </row>
    <row r="46" spans="1:7">
      <c r="A46" s="88">
        <v>44</v>
      </c>
      <c r="B46" s="89" t="s">
        <v>95</v>
      </c>
      <c r="C46" s="89">
        <v>99</v>
      </c>
      <c r="D46">
        <f>VLOOKUP(B46,Контейнеры!B59:$H$104,7,0)</f>
        <v>581147</v>
      </c>
      <c r="E46">
        <f t="shared" si="0"/>
        <v>0.170352767888331</v>
      </c>
      <c r="G46" s="25"/>
    </row>
    <row r="47" spans="1:7">
      <c r="A47" s="88">
        <v>45</v>
      </c>
      <c r="B47" s="89" t="s">
        <v>96</v>
      </c>
      <c r="C47" s="89">
        <v>15</v>
      </c>
      <c r="D47">
        <f>VLOOKUP(B47,Контейнеры!B60:$H$104,7,0)</f>
        <v>500591</v>
      </c>
      <c r="E47">
        <f t="shared" si="0"/>
        <v>0.0299645818642365</v>
      </c>
      <c r="G47" s="25"/>
    </row>
    <row r="48" spans="1:7">
      <c r="A48" s="88">
        <v>46</v>
      </c>
      <c r="B48" s="89" t="s">
        <v>147</v>
      </c>
      <c r="C48" s="89">
        <v>46</v>
      </c>
      <c r="D48">
        <f>VLOOKUP(B48,Контейнеры!B61:$H$104,7,0)</f>
        <v>210765</v>
      </c>
      <c r="E48">
        <f t="shared" si="0"/>
        <v>0.218252556164449</v>
      </c>
      <c r="G48" s="25"/>
    </row>
    <row r="49" spans="1:7">
      <c r="A49" s="88">
        <v>47</v>
      </c>
      <c r="B49" s="89" t="s">
        <v>88</v>
      </c>
      <c r="C49" s="89">
        <v>190</v>
      </c>
      <c r="D49">
        <f>VLOOKUP(B49,Контейнеры!B62:$H$104,7,0)</f>
        <v>4064361</v>
      </c>
      <c r="E49">
        <f t="shared" si="0"/>
        <v>0.0467478159543407</v>
      </c>
      <c r="G49" s="25"/>
    </row>
    <row r="50" spans="1:7">
      <c r="A50" s="88">
        <v>48</v>
      </c>
      <c r="B50" s="89" t="s">
        <v>157</v>
      </c>
      <c r="C50" s="89">
        <v>12</v>
      </c>
      <c r="D50">
        <f>VLOOKUP(B50,Контейнеры!B63:$H$104,7,0)</f>
        <v>971922</v>
      </c>
      <c r="E50">
        <f t="shared" si="0"/>
        <v>0.0123466697944897</v>
      </c>
      <c r="G50" s="25"/>
    </row>
    <row r="51" spans="1:7">
      <c r="A51" s="88">
        <v>49</v>
      </c>
      <c r="B51" s="89" t="s">
        <v>136</v>
      </c>
      <c r="C51" s="89">
        <v>89</v>
      </c>
      <c r="D51">
        <f>VLOOKUP(B51,Контейнеры!B64:$H$104,7,0)</f>
        <v>3232224</v>
      </c>
      <c r="E51">
        <f t="shared" si="0"/>
        <v>0.0275352203312642</v>
      </c>
      <c r="G51" s="25"/>
    </row>
    <row r="52" spans="1:7">
      <c r="A52" s="88">
        <v>50</v>
      </c>
      <c r="B52" s="89" t="s">
        <v>158</v>
      </c>
      <c r="C52" s="89">
        <v>2</v>
      </c>
      <c r="D52">
        <f>VLOOKUP(B52,Контейнеры!B65:$H$104,7,0)</f>
        <v>527220</v>
      </c>
      <c r="E52">
        <f t="shared" si="0"/>
        <v>0.00379348279655552</v>
      </c>
      <c r="G52" s="25"/>
    </row>
    <row r="53" spans="1:7">
      <c r="A53" s="88">
        <v>51</v>
      </c>
      <c r="B53" s="89" t="s">
        <v>120</v>
      </c>
      <c r="C53" s="89">
        <v>26</v>
      </c>
      <c r="D53">
        <f>VLOOKUP(B53,Контейнеры!B66:$H$104,7,0)</f>
        <v>266770</v>
      </c>
      <c r="E53">
        <f t="shared" si="0"/>
        <v>0.0974622333845635</v>
      </c>
      <c r="G53" s="25"/>
    </row>
    <row r="54" spans="1:7">
      <c r="A54" s="88">
        <v>52</v>
      </c>
      <c r="B54" s="89" t="s">
        <v>112</v>
      </c>
      <c r="C54" s="89">
        <v>79</v>
      </c>
      <c r="D54">
        <f>VLOOKUP(B54,Контейнеры!B67:$H$104,7,0)</f>
        <v>523856</v>
      </c>
      <c r="E54">
        <f t="shared" si="0"/>
        <v>0.150804801319447</v>
      </c>
      <c r="G54" s="25"/>
    </row>
    <row r="55" spans="1:7">
      <c r="A55" s="88">
        <v>53</v>
      </c>
      <c r="B55" s="89" t="s">
        <v>97</v>
      </c>
      <c r="C55" s="89">
        <v>44</v>
      </c>
      <c r="D55">
        <f>VLOOKUP(B55,Контейнеры!B68:$H$104,7,0)</f>
        <v>720610</v>
      </c>
      <c r="E55">
        <f t="shared" si="0"/>
        <v>0.0610593802472905</v>
      </c>
      <c r="G55" s="25"/>
    </row>
    <row r="56" spans="1:7">
      <c r="A56" s="88">
        <v>54</v>
      </c>
      <c r="B56" s="89" t="s">
        <v>98</v>
      </c>
      <c r="C56" s="89">
        <v>47</v>
      </c>
      <c r="D56">
        <f>VLOOKUP(B56,Контейнеры!B69:$H$104,7,0)</f>
        <v>1909499</v>
      </c>
      <c r="E56">
        <f t="shared" si="0"/>
        <v>0.0246137861292412</v>
      </c>
      <c r="G56" s="25"/>
    </row>
    <row r="57" spans="1:7">
      <c r="A57" s="88">
        <v>55</v>
      </c>
      <c r="B57" s="89" t="s">
        <v>110</v>
      </c>
      <c r="C57" s="89">
        <v>63</v>
      </c>
      <c r="D57">
        <f>VLOOKUP(B57,Контейнеры!B70:$H$104,7,0)</f>
        <v>669854</v>
      </c>
      <c r="E57">
        <f t="shared" si="0"/>
        <v>0.0940503452991249</v>
      </c>
      <c r="G57" s="25"/>
    </row>
    <row r="58" spans="1:7">
      <c r="A58" s="88">
        <v>56</v>
      </c>
      <c r="B58" s="89" t="s">
        <v>115</v>
      </c>
      <c r="C58" s="89">
        <v>16</v>
      </c>
      <c r="D58">
        <f>VLOOKUP(B58,Контейнеры!B71:$H$104,7,0)</f>
        <v>765891</v>
      </c>
      <c r="E58">
        <f t="shared" si="0"/>
        <v>0.0208907011572143</v>
      </c>
      <c r="G58" s="25"/>
    </row>
    <row r="59" spans="1:7">
      <c r="A59" s="88">
        <v>57</v>
      </c>
      <c r="B59" s="89" t="s">
        <v>159</v>
      </c>
      <c r="C59" s="89">
        <v>16</v>
      </c>
      <c r="D59">
        <f>VLOOKUP(B59,Контейнеры!B72:$H$104,7,0)</f>
        <v>1001664</v>
      </c>
      <c r="E59">
        <f t="shared" si="0"/>
        <v>0.0159734202287394</v>
      </c>
      <c r="G59" s="25"/>
    </row>
    <row r="60" spans="1:7">
      <c r="A60" s="88">
        <v>58</v>
      </c>
      <c r="B60" s="89" t="s">
        <v>151</v>
      </c>
      <c r="C60" s="89">
        <v>10</v>
      </c>
      <c r="D60">
        <f>VLOOKUP(B60,Контейнеры!B73:$H$104,7,0)</f>
        <v>678879</v>
      </c>
      <c r="E60">
        <f t="shared" si="0"/>
        <v>0.0147301654639487</v>
      </c>
      <c r="G60" s="25"/>
    </row>
    <row r="61" spans="1:7">
      <c r="A61" s="88">
        <v>59</v>
      </c>
      <c r="B61" s="89" t="s">
        <v>75</v>
      </c>
      <c r="C61" s="89">
        <v>463</v>
      </c>
      <c r="D61">
        <f>VLOOKUP(B61,Контейнеры!B74:$H$104,7,0)</f>
        <v>4003016</v>
      </c>
      <c r="E61">
        <f t="shared" si="0"/>
        <v>0.115662790256147</v>
      </c>
      <c r="G61" s="25"/>
    </row>
    <row r="62" spans="1:7">
      <c r="A62" s="88">
        <v>60</v>
      </c>
      <c r="B62" s="89" t="s">
        <v>154</v>
      </c>
      <c r="C62" s="89">
        <v>8</v>
      </c>
      <c r="D62">
        <f>VLOOKUP(B62,Контейнеры!B75:$H$104,7,0)</f>
        <v>337544</v>
      </c>
      <c r="E62">
        <f t="shared" si="0"/>
        <v>0.0237006138458986</v>
      </c>
      <c r="G62" s="25"/>
    </row>
    <row r="63" spans="1:7">
      <c r="A63" s="88">
        <v>61</v>
      </c>
      <c r="B63" s="89" t="s">
        <v>152</v>
      </c>
      <c r="C63" s="89">
        <v>187</v>
      </c>
      <c r="D63">
        <f>VLOOKUP(B63,Контейнеры!B76:$H$104,7,0)</f>
        <v>528175</v>
      </c>
      <c r="E63">
        <f t="shared" si="0"/>
        <v>0.354049320774365</v>
      </c>
      <c r="G63" s="25"/>
    </row>
    <row r="64" spans="1:7">
      <c r="A64" s="88">
        <v>62</v>
      </c>
      <c r="B64" s="89" t="s">
        <v>140</v>
      </c>
      <c r="C64" s="89">
        <v>387</v>
      </c>
      <c r="D64">
        <f>VLOOKUP(B64,Контейнеры!B77:$H$104,7,0)</f>
        <v>4152518</v>
      </c>
      <c r="E64">
        <f t="shared" si="0"/>
        <v>0.0931964653735396</v>
      </c>
      <c r="G64" s="25"/>
    </row>
    <row r="65" spans="1:7">
      <c r="A65" s="88">
        <v>63</v>
      </c>
      <c r="B65" s="89" t="s">
        <v>135</v>
      </c>
      <c r="C65" s="89">
        <v>107</v>
      </c>
      <c r="D65">
        <f>VLOOKUP(B65,Контейнеры!B78:$H$104,7,0)</f>
        <v>1082231</v>
      </c>
      <c r="E65">
        <f t="shared" si="0"/>
        <v>0.0988698346286514</v>
      </c>
      <c r="G65" s="25"/>
    </row>
    <row r="66" spans="1:7">
      <c r="A66" s="88">
        <v>64</v>
      </c>
      <c r="B66" s="89" t="s">
        <v>100</v>
      </c>
      <c r="C66" s="89">
        <v>560</v>
      </c>
      <c r="D66">
        <f>VLOOKUP(B66,Контейнеры!B79:$H$104,7,0)</f>
        <v>3127842</v>
      </c>
      <c r="E66">
        <f t="shared" si="0"/>
        <v>0.179037176430267</v>
      </c>
      <c r="G66" s="25"/>
    </row>
    <row r="67" spans="1:3">
      <c r="A67" s="88">
        <v>65</v>
      </c>
      <c r="B67" s="89" t="s">
        <v>71</v>
      </c>
      <c r="C67" s="89">
        <v>1</v>
      </c>
    </row>
    <row r="68" spans="1:7">
      <c r="A68" s="88">
        <v>66</v>
      </c>
      <c r="B68" s="89" t="s">
        <v>102</v>
      </c>
      <c r="C68" s="89">
        <v>169</v>
      </c>
      <c r="D68">
        <f>VLOOKUP(B68,Контейнеры!B81:$H$104,7,0)</f>
        <v>2385163</v>
      </c>
      <c r="E68">
        <f t="shared" ref="E68:E88" si="1">C68/D68*1000</f>
        <v>0.0708546963037746</v>
      </c>
      <c r="G68" s="25"/>
    </row>
    <row r="69" spans="1:7">
      <c r="A69" s="88">
        <v>67</v>
      </c>
      <c r="B69" s="89" t="s">
        <v>130</v>
      </c>
      <c r="C69" s="89">
        <v>8</v>
      </c>
      <c r="D69">
        <f>VLOOKUP(B69,Контейнеры!B82:$H$104,7,0)</f>
        <v>457590</v>
      </c>
      <c r="E69">
        <f t="shared" si="1"/>
        <v>0.0174828995388885</v>
      </c>
      <c r="G69" s="25"/>
    </row>
    <row r="70" spans="1:3">
      <c r="A70" s="88">
        <v>68</v>
      </c>
      <c r="B70" s="89" t="s">
        <v>193</v>
      </c>
      <c r="C70" s="89">
        <v>10</v>
      </c>
    </row>
    <row r="71" spans="1:7">
      <c r="A71" s="88">
        <v>69</v>
      </c>
      <c r="B71" s="89" t="s">
        <v>122</v>
      </c>
      <c r="C71" s="89">
        <v>541</v>
      </c>
      <c r="D71">
        <f>VLOOKUP(B71,Контейнеры!B84:$H$104,7,0)</f>
        <v>4222695</v>
      </c>
      <c r="E71">
        <f t="shared" si="1"/>
        <v>0.128117233188757</v>
      </c>
      <c r="G71" s="25"/>
    </row>
    <row r="72" spans="1:7">
      <c r="A72" s="88">
        <v>70</v>
      </c>
      <c r="B72" s="89" t="s">
        <v>103</v>
      </c>
      <c r="C72" s="89">
        <v>51</v>
      </c>
      <c r="D72">
        <f>VLOOKUP(B72,Контейнеры!B85:$H$104,7,0)</f>
        <v>863987</v>
      </c>
      <c r="E72">
        <f t="shared" si="1"/>
        <v>0.0590286659405755</v>
      </c>
      <c r="G72" s="25"/>
    </row>
    <row r="73" spans="1:7">
      <c r="A73" s="88">
        <v>71</v>
      </c>
      <c r="B73" s="89" t="s">
        <v>105</v>
      </c>
      <c r="C73" s="89">
        <v>51</v>
      </c>
      <c r="D73">
        <f>VLOOKUP(B73,Контейнеры!B86:$H$104,7,0)</f>
        <v>2886108</v>
      </c>
      <c r="E73">
        <f t="shared" si="1"/>
        <v>0.0176708563920685</v>
      </c>
      <c r="G73" s="25"/>
    </row>
    <row r="74" spans="1:7">
      <c r="A74" s="88">
        <v>72</v>
      </c>
      <c r="B74" s="89" t="s">
        <v>125</v>
      </c>
      <c r="C74" s="89">
        <v>109</v>
      </c>
      <c r="D74">
        <f>VLOOKUP(B74,Контейнеры!B87:$H$104,7,0)</f>
        <v>956292</v>
      </c>
      <c r="E74">
        <f t="shared" si="1"/>
        <v>0.113981921839773</v>
      </c>
      <c r="G74" s="25"/>
    </row>
    <row r="75" spans="1:7">
      <c r="A75" s="88">
        <v>73</v>
      </c>
      <c r="B75" s="89" t="s">
        <v>156</v>
      </c>
      <c r="C75" s="89">
        <v>196</v>
      </c>
      <c r="D75">
        <f>VLOOKUP(B75,Контейнеры!B88:$H$104,7,0)</f>
        <v>1199747</v>
      </c>
      <c r="E75">
        <f t="shared" si="1"/>
        <v>0.163367776706256</v>
      </c>
      <c r="G75" s="25"/>
    </row>
    <row r="76" spans="1:7">
      <c r="A76" s="88">
        <v>74</v>
      </c>
      <c r="B76" s="89" t="s">
        <v>116</v>
      </c>
      <c r="C76" s="89">
        <v>45</v>
      </c>
      <c r="D76">
        <f>VLOOKUP(B76,Контейнеры!B89:$H$104,7,0)</f>
        <v>1043385</v>
      </c>
      <c r="E76">
        <f t="shared" si="1"/>
        <v>0.0431288546413836</v>
      </c>
      <c r="G76" s="25"/>
    </row>
    <row r="77" spans="1:7">
      <c r="A77" s="88">
        <v>75</v>
      </c>
      <c r="B77" s="89" t="s">
        <v>73</v>
      </c>
      <c r="C77" s="89">
        <v>89</v>
      </c>
      <c r="D77">
        <f>VLOOKUP(B77,Контейнеры!B90:$H$104,7,0)</f>
        <v>1471140</v>
      </c>
      <c r="E77">
        <f t="shared" si="1"/>
        <v>0.06049730141251</v>
      </c>
      <c r="G77" s="25"/>
    </row>
    <row r="78" spans="1:7">
      <c r="A78" s="88">
        <v>76</v>
      </c>
      <c r="B78" s="89" t="s">
        <v>83</v>
      </c>
      <c r="C78" s="89">
        <v>50</v>
      </c>
      <c r="D78">
        <f>VLOOKUP(B78,Контейнеры!B91:$H$104,7,0)</f>
        <v>1615454</v>
      </c>
      <c r="E78">
        <f t="shared" si="1"/>
        <v>0.0309510515310247</v>
      </c>
      <c r="G78" s="25"/>
    </row>
    <row r="79" spans="1:7">
      <c r="A79" s="88">
        <v>77</v>
      </c>
      <c r="B79" s="89" t="s">
        <v>99</v>
      </c>
      <c r="C79" s="89">
        <v>107</v>
      </c>
      <c r="D79">
        <f>VLOOKUP(B79,Контейнеры!B92:$H$104,7,0)</f>
        <v>1434557</v>
      </c>
      <c r="E79">
        <f t="shared" si="1"/>
        <v>0.0745874858928575</v>
      </c>
      <c r="G79" s="25"/>
    </row>
    <row r="80" spans="1:7">
      <c r="A80" s="88">
        <v>78</v>
      </c>
      <c r="B80" s="89" t="s">
        <v>128</v>
      </c>
      <c r="C80" s="89">
        <v>63</v>
      </c>
      <c r="D80">
        <f>VLOOKUP(B80,Контейнеры!B93:$H$104,7,0)</f>
        <v>1172782</v>
      </c>
      <c r="E80">
        <f t="shared" si="1"/>
        <v>0.0537184233728007</v>
      </c>
      <c r="G80" s="25"/>
    </row>
    <row r="81" spans="1:7">
      <c r="A81" s="88">
        <v>79</v>
      </c>
      <c r="B81" s="89" t="s">
        <v>194</v>
      </c>
      <c r="C81" s="89">
        <v>11</v>
      </c>
      <c r="D81">
        <f>VLOOKUP(B81,Контейнеры!B94:$H$104,7,0)</f>
        <v>1278132</v>
      </c>
      <c r="E81">
        <f t="shared" si="1"/>
        <v>0.00860630983341314</v>
      </c>
      <c r="G81" s="25"/>
    </row>
    <row r="82" spans="1:7">
      <c r="A82" s="88">
        <v>80</v>
      </c>
      <c r="B82" s="89" t="s">
        <v>84</v>
      </c>
      <c r="C82" s="89">
        <v>54</v>
      </c>
      <c r="D82">
        <f>VLOOKUP(B82,Контейнеры!B95:$H$104,7,0)</f>
        <v>1759386</v>
      </c>
      <c r="E82">
        <f t="shared" si="1"/>
        <v>0.0306925256879389</v>
      </c>
      <c r="G82" s="25"/>
    </row>
    <row r="83" spans="1:7">
      <c r="A83" s="88">
        <v>81</v>
      </c>
      <c r="B83" s="89" t="s">
        <v>79</v>
      </c>
      <c r="C83" s="89">
        <v>345</v>
      </c>
      <c r="D83">
        <f>VLOOKUP(B83,Контейнеры!B96:$H$104,7,0)</f>
        <v>3395798</v>
      </c>
      <c r="E83">
        <f t="shared" si="1"/>
        <v>0.101596149123122</v>
      </c>
      <c r="G83" s="25"/>
    </row>
    <row r="84" spans="1:7">
      <c r="A84" s="88">
        <v>82</v>
      </c>
      <c r="B84" s="89" t="s">
        <v>195</v>
      </c>
      <c r="C84" s="89">
        <v>1</v>
      </c>
      <c r="D84">
        <f>VLOOKUP(B84,Контейнеры!B97:$H$104,7,0)</f>
        <v>1552866</v>
      </c>
      <c r="E84">
        <f t="shared" si="1"/>
        <v>0.000643970567969162</v>
      </c>
      <c r="G84" s="25"/>
    </row>
    <row r="85" spans="1:7">
      <c r="A85" s="88">
        <v>83</v>
      </c>
      <c r="B85" s="89" t="s">
        <v>82</v>
      </c>
      <c r="C85" s="89">
        <v>142</v>
      </c>
      <c r="D85">
        <f>VLOOKUP(B85,Контейнеры!B98:$H$104,7,0)</f>
        <v>1167061</v>
      </c>
      <c r="E85">
        <f t="shared" si="1"/>
        <v>0.121673160186143</v>
      </c>
      <c r="G85" s="25"/>
    </row>
    <row r="86" spans="1:7">
      <c r="A86" s="88">
        <v>84</v>
      </c>
      <c r="B86" s="89" t="s">
        <v>114</v>
      </c>
      <c r="C86" s="89">
        <v>19</v>
      </c>
      <c r="D86">
        <f>VLOOKUP(B86,Контейнеры!B99:$H$104,7,0)</f>
        <v>515960</v>
      </c>
      <c r="E86">
        <f t="shared" si="1"/>
        <v>0.0368245600434142</v>
      </c>
      <c r="G86" s="25"/>
    </row>
    <row r="87" spans="1:7">
      <c r="A87" s="88">
        <v>85</v>
      </c>
      <c r="B87" s="89" t="s">
        <v>80</v>
      </c>
      <c r="C87" s="89">
        <v>160</v>
      </c>
      <c r="D87">
        <f>VLOOKUP(B87,Контейнеры!B100:$H$104,7,0)</f>
        <v>1187558</v>
      </c>
      <c r="E87">
        <f t="shared" si="1"/>
        <v>0.134730261595644</v>
      </c>
      <c r="G87" s="25"/>
    </row>
    <row r="88" spans="1:7">
      <c r="A88" s="88"/>
      <c r="B88" s="89" t="s">
        <v>196</v>
      </c>
      <c r="C88" s="89">
        <v>15182</v>
      </c>
      <c r="D88">
        <f>SUM(D3:D87)</f>
        <v>146060536</v>
      </c>
      <c r="E88">
        <f t="shared" si="1"/>
        <v>0.103943203385205</v>
      </c>
      <c r="G88" s="25"/>
    </row>
    <row r="89" ht="41.4" spans="1:3">
      <c r="A89" s="88"/>
      <c r="B89" s="90" t="s">
        <v>197</v>
      </c>
      <c r="C89" s="89">
        <v>16068</v>
      </c>
    </row>
  </sheetData>
  <mergeCells count="1">
    <mergeCell ref="A1:C1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4"/>
  <dimension ref="B2:U107"/>
  <sheetViews>
    <sheetView workbookViewId="0">
      <pane xSplit="2" ySplit="15" topLeftCell="C55" activePane="bottomRight" state="frozen"/>
      <selection/>
      <selection pane="topRight"/>
      <selection pane="bottomLeft"/>
      <selection pane="bottomRight" activeCell="K27" sqref="K27"/>
    </sheetView>
  </sheetViews>
  <sheetFormatPr defaultColWidth="10.8583333333333" defaultRowHeight="15.6"/>
  <cols>
    <col min="1" max="1" width="10.8583333333333" style="46"/>
    <col min="2" max="2" width="30.6416666666667" style="46" customWidth="1"/>
    <col min="3" max="12" width="13.5" style="51" customWidth="1"/>
    <col min="13" max="13" width="46.3583333333333" style="46" customWidth="1"/>
    <col min="14" max="14" width="32" style="46" customWidth="1"/>
    <col min="15" max="16384" width="10.8583333333333" style="46"/>
  </cols>
  <sheetData>
    <row r="2" spans="2:2">
      <c r="B2" s="50" t="s">
        <v>198</v>
      </c>
    </row>
    <row r="4" s="4" customFormat="1" spans="2:21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="6" customFormat="1" ht="15" spans="2:21">
      <c r="B5" s="6" t="str">
        <f>'РО - зоны'!C5</f>
        <v>Кудрявцева</v>
      </c>
      <c r="C5" s="15">
        <f>'РО - зоны'!D5</f>
        <v>47757</v>
      </c>
      <c r="D5" s="7"/>
      <c r="E5" s="8"/>
      <c r="F5" s="8"/>
      <c r="G5" s="7"/>
      <c r="H5" s="7"/>
      <c r="I5" s="9"/>
      <c r="J5" s="9"/>
      <c r="K5" s="9"/>
      <c r="L5" s="9"/>
      <c r="M5" s="9"/>
      <c r="N5" s="9"/>
      <c r="O5" s="11"/>
      <c r="P5" s="11"/>
      <c r="Q5" s="11"/>
      <c r="R5" s="11"/>
      <c r="S5" s="11"/>
      <c r="T5" s="11"/>
      <c r="U5" s="11"/>
    </row>
    <row r="7" spans="2:2">
      <c r="B7" s="46" t="s">
        <v>173</v>
      </c>
    </row>
    <row r="8" spans="2:4">
      <c r="B8" s="46" t="s">
        <v>174</v>
      </c>
      <c r="D8" s="75">
        <v>1.5</v>
      </c>
    </row>
    <row r="9" spans="2:4">
      <c r="B9" s="46" t="s">
        <v>175</v>
      </c>
      <c r="D9" s="75">
        <v>0.5</v>
      </c>
    </row>
    <row r="10" spans="2:2">
      <c r="B10" s="46" t="s">
        <v>176</v>
      </c>
    </row>
    <row r="11" spans="2:12">
      <c r="B11" s="46" t="s">
        <v>177</v>
      </c>
      <c r="C11" s="76"/>
      <c r="E11" s="76"/>
      <c r="F11" s="76"/>
      <c r="G11" s="76"/>
      <c r="H11" s="76"/>
      <c r="I11" s="76"/>
      <c r="J11" s="76"/>
      <c r="K11" s="76"/>
      <c r="L11" s="76"/>
    </row>
    <row r="12" spans="3:12">
      <c r="C12" s="76"/>
      <c r="E12" s="76"/>
      <c r="F12" s="76"/>
      <c r="G12" s="76"/>
      <c r="H12" s="76"/>
      <c r="I12" s="76"/>
      <c r="J12" s="76"/>
      <c r="K12" s="76"/>
      <c r="L12" s="76"/>
    </row>
    <row r="14" s="74" customFormat="1" ht="46.8" spans="2:14">
      <c r="B14" s="74" t="s">
        <v>2</v>
      </c>
      <c r="C14" s="77" t="s">
        <v>178</v>
      </c>
      <c r="D14" s="77" t="s">
        <v>179</v>
      </c>
      <c r="E14" s="77" t="s">
        <v>199</v>
      </c>
      <c r="F14" s="77" t="s">
        <v>200</v>
      </c>
      <c r="G14" s="77" t="s">
        <v>201</v>
      </c>
      <c r="H14" s="77" t="s">
        <v>202</v>
      </c>
      <c r="I14" s="77" t="s">
        <v>203</v>
      </c>
      <c r="J14" s="77" t="s">
        <v>204</v>
      </c>
      <c r="K14" s="77" t="s">
        <v>205</v>
      </c>
      <c r="L14" s="77" t="s">
        <v>206</v>
      </c>
      <c r="M14" s="74" t="s">
        <v>207</v>
      </c>
      <c r="N14" s="74" t="s">
        <v>208</v>
      </c>
    </row>
    <row r="15" s="74" customFormat="1" spans="2:12">
      <c r="B15" s="74" t="s">
        <v>182</v>
      </c>
      <c r="C15" s="78"/>
      <c r="D15" s="78"/>
      <c r="E15" s="78">
        <f>SUM(E16:E104)</f>
        <v>159</v>
      </c>
      <c r="F15" s="78">
        <f>SUM(F16:F104)</f>
        <v>97</v>
      </c>
      <c r="G15" s="78">
        <f>SUM(G16:G104)</f>
        <v>4</v>
      </c>
      <c r="H15" s="78">
        <f>SUM(H16:H104)</f>
        <v>260</v>
      </c>
      <c r="I15" s="80" t="str">
        <f>_xlfn.TEXTJOIN(,0,G15,"/",F15,"/",E15)</f>
        <v>4/97/159</v>
      </c>
      <c r="J15" s="78">
        <f>SUM(J16:J104)</f>
        <v>9</v>
      </c>
      <c r="K15" s="80" t="str">
        <f>_xlfn.TEXTJOIN(,0,COUNTIF(K16:K104,"Подписана")," из ",COUNTIF(K16:K104,"Не подписана"))</f>
        <v>7 из 37</v>
      </c>
      <c r="L15" s="80"/>
    </row>
    <row r="16" spans="2:14">
      <c r="B16" s="79" t="s">
        <v>146</v>
      </c>
      <c r="C16" s="78">
        <f>IF(D16&gt;$D$8,2,IF(D16&gt;$D$9,1,0))</f>
        <v>1</v>
      </c>
      <c r="D16" s="78">
        <f>IF(G16&gt;0,2,IF(F16&gt;0,1,0))</f>
        <v>1</v>
      </c>
      <c r="E16" s="78">
        <f>H16-F16-G16</f>
        <v>3</v>
      </c>
      <c r="F16" s="78">
        <f>SUMIFS('РО - зоны'!$H$8:$H$266,'РО - зоны'!$D$8:$D$266,B16)</f>
        <v>4</v>
      </c>
      <c r="G16" s="78">
        <f>SUMIFS('РО - зоны'!$I$8:$I$266,'РО - зоны'!$D$8:$D$266,B16)/2</f>
        <v>0</v>
      </c>
      <c r="H16" s="78">
        <f>SUMIFS('РО - зоны'!$J$8:$J$266,'РО - зоны'!$D$8:$D$266,B16)</f>
        <v>7</v>
      </c>
      <c r="I16" s="80" t="str">
        <f>_xlfn.TEXTJOIN(,0,G16," / ",F16," / ",E16," из ",E16+F16+G16)</f>
        <v>0 / 4 / 3 из 7</v>
      </c>
      <c r="J16" s="81">
        <v>0</v>
      </c>
      <c r="K16" s="80" t="str">
        <f>IF(F16+G16&gt;0,IF(J16=0,"не подписана","подписана"),"не требуется")</f>
        <v>не подписана</v>
      </c>
      <c r="L16" s="81">
        <f>IF(J16&lt;F16+G16,2,0)</f>
        <v>2</v>
      </c>
      <c r="M16" s="46" t="str">
        <f>_xlfn.TEXTJOIN(,0,"Из ",E16+F16+G16," РО ",E16," в зеленой зоне, ",F16," - в желтой, ",G16," - в красной")</f>
        <v>Из 7 РО 3 в зеленой зоне, 4 - в желтой, 0 - в красной</v>
      </c>
      <c r="N16" s="46" t="str">
        <f>_xlfn.TEXTJOIN(,0,"Дорожная карта ",K16)</f>
        <v>Дорожная карта не подписана</v>
      </c>
    </row>
    <row r="17" spans="2:14">
      <c r="B17" s="79" t="s">
        <v>150</v>
      </c>
      <c r="C17" s="78">
        <f t="shared" ref="C17:C80" si="0">IF(D17&gt;$D$8,2,IF(D17&gt;$D$9,1,0))</f>
        <v>1</v>
      </c>
      <c r="D17" s="78">
        <f t="shared" ref="D17:D80" si="1">IF(G17&gt;0,2,IF(F17&gt;0,1,0))</f>
        <v>1</v>
      </c>
      <c r="E17" s="78">
        <f t="shared" ref="E17:E80" si="2">H17-F17-G17</f>
        <v>2</v>
      </c>
      <c r="F17" s="78">
        <f>SUMIFS('РО - зоны'!$H$8:$H$266,'РО - зоны'!$D$8:$D$266,B17)</f>
        <v>3</v>
      </c>
      <c r="G17" s="78">
        <f>SUMIFS('РО - зоны'!$I$8:$I$266,'РО - зоны'!$D$8:$D$266,B17)/2</f>
        <v>0</v>
      </c>
      <c r="H17" s="78">
        <f>SUMIFS('РО - зоны'!$J$8:$J$266,'РО - зоны'!$D$8:$D$266,B17)</f>
        <v>5</v>
      </c>
      <c r="I17" s="80" t="str">
        <f t="shared" ref="I17:I80" si="3">_xlfn.TEXTJOIN(,0,G17," / ",F17," / ",E17," из ",E17+F17+G17)</f>
        <v>0 / 3 / 2 из 5</v>
      </c>
      <c r="J17" s="81">
        <v>0</v>
      </c>
      <c r="K17" s="80" t="str">
        <f t="shared" ref="K17:K80" si="4">IF(F17+G17&gt;0,IF(J17=0,"не подписана","подписана"),"не требуется")</f>
        <v>не подписана</v>
      </c>
      <c r="L17" s="81">
        <f t="shared" ref="L17:L80" si="5">IF(J17&lt;F17+G17,2,0)</f>
        <v>2</v>
      </c>
      <c r="M17" s="46" t="str">
        <f t="shared" ref="M17:M80" si="6">_xlfn.TEXTJOIN(,0,"Из ",E17+F17+G17," РО ",E17," в зеленой зоне, ",F17," - в желтой, ",G17," - в красной")</f>
        <v>Из 5 РО 2 в зеленой зоне, 3 - в желтой, 0 - в красной</v>
      </c>
      <c r="N17" s="46" t="str">
        <f t="shared" ref="N17:N80" si="7">_xlfn.TEXTJOIN(,0,"Дорожная карта ",K17)</f>
        <v>Дорожная карта не подписана</v>
      </c>
    </row>
    <row r="18" spans="2:14">
      <c r="B18" s="79" t="s">
        <v>133</v>
      </c>
      <c r="C18" s="78">
        <f t="shared" si="0"/>
        <v>1</v>
      </c>
      <c r="D18" s="78">
        <f t="shared" si="1"/>
        <v>1</v>
      </c>
      <c r="E18" s="78">
        <f t="shared" si="2"/>
        <v>0</v>
      </c>
      <c r="F18" s="78">
        <f>SUMIFS('РО - зоны'!$H$8:$H$266,'РО - зоны'!$D$8:$D$266,B18)</f>
        <v>1</v>
      </c>
      <c r="G18" s="78">
        <f>SUMIFS('РО - зоны'!$I$8:$I$266,'РО - зоны'!$D$8:$D$266,B18)/2</f>
        <v>0</v>
      </c>
      <c r="H18" s="78">
        <f>SUMIFS('РО - зоны'!$J$8:$J$266,'РО - зоны'!$D$8:$D$266,B18)</f>
        <v>1</v>
      </c>
      <c r="I18" s="80" t="str">
        <f t="shared" si="3"/>
        <v>0 / 1 / 0 из 1</v>
      </c>
      <c r="J18" s="81">
        <v>0</v>
      </c>
      <c r="K18" s="80" t="str">
        <f t="shared" si="4"/>
        <v>не подписана</v>
      </c>
      <c r="L18" s="81">
        <f t="shared" si="5"/>
        <v>2</v>
      </c>
      <c r="M18" s="46" t="str">
        <f t="shared" si="6"/>
        <v>Из 1 РО 0 в зеленой зоне, 1 - в желтой, 0 - в красной</v>
      </c>
      <c r="N18" s="46" t="str">
        <f t="shared" si="7"/>
        <v>Дорожная карта не подписана</v>
      </c>
    </row>
    <row r="19" spans="2:14">
      <c r="B19" s="79" t="s">
        <v>121</v>
      </c>
      <c r="C19" s="78">
        <f t="shared" si="0"/>
        <v>0</v>
      </c>
      <c r="D19" s="78">
        <f t="shared" si="1"/>
        <v>0</v>
      </c>
      <c r="E19" s="78">
        <f t="shared" si="2"/>
        <v>2</v>
      </c>
      <c r="F19" s="78">
        <f>SUMIFS('РО - зоны'!$H$8:$H$266,'РО - зоны'!$D$8:$D$266,B19)</f>
        <v>0</v>
      </c>
      <c r="G19" s="78">
        <f>SUMIFS('РО - зоны'!$I$8:$I$266,'РО - зоны'!$D$8:$D$266,B19)/2</f>
        <v>0</v>
      </c>
      <c r="H19" s="78">
        <f>SUMIFS('РО - зоны'!$J$8:$J$266,'РО - зоны'!$D$8:$D$266,B19)</f>
        <v>2</v>
      </c>
      <c r="I19" s="80" t="str">
        <f t="shared" si="3"/>
        <v>0 / 0 / 2 из 2</v>
      </c>
      <c r="J19" s="81">
        <v>0</v>
      </c>
      <c r="K19" s="80" t="str">
        <f t="shared" si="4"/>
        <v>не требуется</v>
      </c>
      <c r="L19" s="81">
        <f t="shared" si="5"/>
        <v>0</v>
      </c>
      <c r="M19" s="46" t="str">
        <f t="shared" si="6"/>
        <v>Из 2 РО 2 в зеленой зоне, 0 - в желтой, 0 - в красной</v>
      </c>
      <c r="N19" s="46" t="str">
        <f t="shared" si="7"/>
        <v>Дорожная карта не требуется</v>
      </c>
    </row>
    <row r="20" spans="2:14">
      <c r="B20" s="79" t="s">
        <v>106</v>
      </c>
      <c r="C20" s="78">
        <f t="shared" si="0"/>
        <v>0</v>
      </c>
      <c r="D20" s="78">
        <f t="shared" si="1"/>
        <v>0</v>
      </c>
      <c r="E20" s="78">
        <f t="shared" si="2"/>
        <v>1</v>
      </c>
      <c r="F20" s="78">
        <f>SUMIFS('РО - зоны'!$H$8:$H$266,'РО - зоны'!$D$8:$D$266,B20)</f>
        <v>0</v>
      </c>
      <c r="G20" s="78">
        <f>SUMIFS('РО - зоны'!$I$8:$I$266,'РО - зоны'!$D$8:$D$266,B20)/2</f>
        <v>0</v>
      </c>
      <c r="H20" s="78">
        <f>SUMIFS('РО - зоны'!$J$8:$J$266,'РО - зоны'!$D$8:$D$266,B20)</f>
        <v>1</v>
      </c>
      <c r="I20" s="80" t="str">
        <f t="shared" si="3"/>
        <v>0 / 0 / 1 из 1</v>
      </c>
      <c r="J20" s="81">
        <v>0</v>
      </c>
      <c r="K20" s="80" t="str">
        <f t="shared" si="4"/>
        <v>не требуется</v>
      </c>
      <c r="L20" s="81">
        <f t="shared" si="5"/>
        <v>0</v>
      </c>
      <c r="M20" s="46" t="str">
        <f t="shared" si="6"/>
        <v>Из 1 РО 1 в зеленой зоне, 0 - в желтой, 0 - в красной</v>
      </c>
      <c r="N20" s="46" t="str">
        <f t="shared" si="7"/>
        <v>Дорожная карта не требуется</v>
      </c>
    </row>
    <row r="21" spans="2:14">
      <c r="B21" s="79" t="s">
        <v>91</v>
      </c>
      <c r="C21" s="78">
        <f t="shared" si="0"/>
        <v>0</v>
      </c>
      <c r="D21" s="78">
        <f t="shared" si="1"/>
        <v>0</v>
      </c>
      <c r="E21" s="78">
        <f t="shared" si="2"/>
        <v>2</v>
      </c>
      <c r="F21" s="78">
        <f>SUMIFS('РО - зоны'!$H$8:$H$266,'РО - зоны'!$D$8:$D$266,B21)</f>
        <v>0</v>
      </c>
      <c r="G21" s="78">
        <f>SUMIFS('РО - зоны'!$I$8:$I$266,'РО - зоны'!$D$8:$D$266,B21)/2</f>
        <v>0</v>
      </c>
      <c r="H21" s="78">
        <f>SUMIFS('РО - зоны'!$J$8:$J$266,'РО - зоны'!$D$8:$D$266,B21)</f>
        <v>2</v>
      </c>
      <c r="I21" s="80" t="str">
        <f t="shared" si="3"/>
        <v>0 / 0 / 2 из 2</v>
      </c>
      <c r="J21" s="81">
        <v>0</v>
      </c>
      <c r="K21" s="80" t="str">
        <f t="shared" si="4"/>
        <v>не требуется</v>
      </c>
      <c r="L21" s="81">
        <f t="shared" si="5"/>
        <v>0</v>
      </c>
      <c r="M21" s="46" t="str">
        <f t="shared" si="6"/>
        <v>Из 2 РО 2 в зеленой зоне, 0 - в желтой, 0 - в красной</v>
      </c>
      <c r="N21" s="46" t="str">
        <f t="shared" si="7"/>
        <v>Дорожная карта не требуется</v>
      </c>
    </row>
    <row r="22" spans="2:14">
      <c r="B22" s="79" t="s">
        <v>113</v>
      </c>
      <c r="C22" s="78">
        <f t="shared" si="0"/>
        <v>1</v>
      </c>
      <c r="D22" s="78">
        <f t="shared" si="1"/>
        <v>1</v>
      </c>
      <c r="E22" s="78">
        <f t="shared" si="2"/>
        <v>2</v>
      </c>
      <c r="F22" s="78">
        <f>SUMIFS('РО - зоны'!$H$8:$H$266,'РО - зоны'!$D$8:$D$266,B22)</f>
        <v>1</v>
      </c>
      <c r="G22" s="78">
        <f>SUMIFS('РО - зоны'!$I$8:$I$266,'РО - зоны'!$D$8:$D$266,B22)/2</f>
        <v>0</v>
      </c>
      <c r="H22" s="78">
        <f>SUMIFS('РО - зоны'!$J$8:$J$266,'РО - зоны'!$D$8:$D$266,B22)</f>
        <v>3</v>
      </c>
      <c r="I22" s="80" t="str">
        <f t="shared" si="3"/>
        <v>0 / 1 / 2 из 3</v>
      </c>
      <c r="J22" s="81">
        <v>0</v>
      </c>
      <c r="K22" s="80" t="str">
        <f t="shared" si="4"/>
        <v>не подписана</v>
      </c>
      <c r="L22" s="81">
        <f t="shared" si="5"/>
        <v>2</v>
      </c>
      <c r="M22" s="46" t="str">
        <f t="shared" si="6"/>
        <v>Из 3 РО 2 в зеленой зоне, 1 - в желтой, 0 - в красной</v>
      </c>
      <c r="N22" s="46" t="str">
        <f t="shared" si="7"/>
        <v>Дорожная карта не подписана</v>
      </c>
    </row>
    <row r="23" spans="2:14">
      <c r="B23" s="79" t="s">
        <v>86</v>
      </c>
      <c r="C23" s="78">
        <f t="shared" si="0"/>
        <v>0</v>
      </c>
      <c r="D23" s="78">
        <f t="shared" si="1"/>
        <v>0</v>
      </c>
      <c r="E23" s="78">
        <f t="shared" si="2"/>
        <v>1</v>
      </c>
      <c r="F23" s="78">
        <f>SUMIFS('РО - зоны'!$H$8:$H$266,'РО - зоны'!$D$8:$D$266,B23)</f>
        <v>0</v>
      </c>
      <c r="G23" s="78">
        <f>SUMIFS('РО - зоны'!$I$8:$I$266,'РО - зоны'!$D$8:$D$266,B23)/2</f>
        <v>0</v>
      </c>
      <c r="H23" s="78">
        <f>SUMIFS('РО - зоны'!$J$8:$J$266,'РО - зоны'!$D$8:$D$266,B23)</f>
        <v>1</v>
      </c>
      <c r="I23" s="80" t="str">
        <f t="shared" si="3"/>
        <v>0 / 0 / 1 из 1</v>
      </c>
      <c r="J23" s="81">
        <v>0</v>
      </c>
      <c r="K23" s="80" t="str">
        <f t="shared" si="4"/>
        <v>не требуется</v>
      </c>
      <c r="L23" s="81">
        <f t="shared" si="5"/>
        <v>0</v>
      </c>
      <c r="M23" s="46" t="str">
        <f t="shared" si="6"/>
        <v>Из 1 РО 1 в зеленой зоне, 0 - в желтой, 0 - в красной</v>
      </c>
      <c r="N23" s="46" t="str">
        <f t="shared" si="7"/>
        <v>Дорожная карта не требуется</v>
      </c>
    </row>
    <row r="24" spans="2:14">
      <c r="B24" s="79" t="s">
        <v>107</v>
      </c>
      <c r="C24" s="78">
        <f t="shared" si="0"/>
        <v>1</v>
      </c>
      <c r="D24" s="78">
        <f t="shared" si="1"/>
        <v>1</v>
      </c>
      <c r="E24" s="78">
        <f t="shared" si="2"/>
        <v>0</v>
      </c>
      <c r="F24" s="78">
        <f>SUMIFS('РО - зоны'!$H$8:$H$266,'РО - зоны'!$D$8:$D$266,B24)</f>
        <v>2</v>
      </c>
      <c r="G24" s="78">
        <f>SUMIFS('РО - зоны'!$I$8:$I$266,'РО - зоны'!$D$8:$D$266,B24)/2</f>
        <v>0</v>
      </c>
      <c r="H24" s="78">
        <f>SUMIFS('РО - зоны'!$J$8:$J$266,'РО - зоны'!$D$8:$D$266,B24)</f>
        <v>2</v>
      </c>
      <c r="I24" s="80" t="str">
        <f t="shared" si="3"/>
        <v>0 / 2 / 0 из 2</v>
      </c>
      <c r="J24" s="81">
        <v>0</v>
      </c>
      <c r="K24" s="80" t="str">
        <f t="shared" si="4"/>
        <v>не подписана</v>
      </c>
      <c r="L24" s="81">
        <f t="shared" si="5"/>
        <v>2</v>
      </c>
      <c r="M24" s="46" t="str">
        <f t="shared" si="6"/>
        <v>Из 2 РО 0 в зеленой зоне, 2 - в желтой, 0 - в красной</v>
      </c>
      <c r="N24" s="46" t="str">
        <f t="shared" si="7"/>
        <v>Дорожная карта не подписана</v>
      </c>
    </row>
    <row r="25" spans="2:14">
      <c r="B25" s="79" t="s">
        <v>137</v>
      </c>
      <c r="C25" s="78">
        <f t="shared" si="0"/>
        <v>1</v>
      </c>
      <c r="D25" s="78">
        <f t="shared" si="1"/>
        <v>1</v>
      </c>
      <c r="E25" s="78">
        <f t="shared" si="2"/>
        <v>7</v>
      </c>
      <c r="F25" s="78">
        <f>SUMIFS('РО - зоны'!$H$8:$H$266,'РО - зоны'!$D$8:$D$266,B25)</f>
        <v>1</v>
      </c>
      <c r="G25" s="78">
        <f>SUMIFS('РО - зоны'!$I$8:$I$266,'РО - зоны'!$D$8:$D$266,B25)/2</f>
        <v>0</v>
      </c>
      <c r="H25" s="78">
        <f>SUMIFS('РО - зоны'!$J$8:$J$266,'РО - зоны'!$D$8:$D$266,B25)</f>
        <v>8</v>
      </c>
      <c r="I25" s="80" t="str">
        <f t="shared" si="3"/>
        <v>0 / 1 / 7 из 8</v>
      </c>
      <c r="J25" s="81">
        <v>0</v>
      </c>
      <c r="K25" s="80" t="str">
        <f t="shared" si="4"/>
        <v>не подписана</v>
      </c>
      <c r="L25" s="81">
        <f t="shared" si="5"/>
        <v>2</v>
      </c>
      <c r="M25" s="46" t="str">
        <f t="shared" si="6"/>
        <v>Из 8 РО 7 в зеленой зоне, 1 - в желтой, 0 - в красной</v>
      </c>
      <c r="N25" s="46" t="str">
        <f t="shared" si="7"/>
        <v>Дорожная карта не подписана</v>
      </c>
    </row>
    <row r="26" spans="2:14">
      <c r="B26" s="79" t="s">
        <v>68</v>
      </c>
      <c r="C26" s="78">
        <f t="shared" si="0"/>
        <v>0</v>
      </c>
      <c r="D26" s="78">
        <f t="shared" si="1"/>
        <v>0</v>
      </c>
      <c r="E26" s="78">
        <f t="shared" si="2"/>
        <v>1</v>
      </c>
      <c r="F26" s="78">
        <f>SUMIFS('РО - зоны'!$H$8:$H$266,'РО - зоны'!$D$8:$D$266,B26)</f>
        <v>0</v>
      </c>
      <c r="G26" s="78">
        <f>SUMIFS('РО - зоны'!$I$8:$I$266,'РО - зоны'!$D$8:$D$266,B26)/2</f>
        <v>0</v>
      </c>
      <c r="H26" s="78">
        <f>SUMIFS('РО - зоны'!$J$8:$J$266,'РО - зоны'!$D$8:$D$266,B26)</f>
        <v>1</v>
      </c>
      <c r="I26" s="80" t="str">
        <f t="shared" si="3"/>
        <v>0 / 0 / 1 из 1</v>
      </c>
      <c r="J26" s="81">
        <v>0</v>
      </c>
      <c r="K26" s="80" t="str">
        <f t="shared" si="4"/>
        <v>не требуется</v>
      </c>
      <c r="L26" s="81">
        <f t="shared" si="5"/>
        <v>0</v>
      </c>
      <c r="M26" s="46" t="str">
        <f t="shared" si="6"/>
        <v>Из 1 РО 1 в зеленой зоне, 0 - в желтой, 0 - в красной</v>
      </c>
      <c r="N26" s="46" t="str">
        <f t="shared" si="7"/>
        <v>Дорожная карта не требуется</v>
      </c>
    </row>
    <row r="27" spans="2:14">
      <c r="B27" s="79" t="s">
        <v>71</v>
      </c>
      <c r="C27" s="78">
        <f t="shared" si="0"/>
        <v>0</v>
      </c>
      <c r="D27" s="78">
        <f t="shared" si="1"/>
        <v>0</v>
      </c>
      <c r="E27" s="78">
        <f t="shared" si="2"/>
        <v>1</v>
      </c>
      <c r="F27" s="78">
        <f>SUMIFS('РО - зоны'!$H$8:$H$266,'РО - зоны'!$D$8:$D$266,B27)</f>
        <v>0</v>
      </c>
      <c r="G27" s="78">
        <f>SUMIFS('РО - зоны'!$I$8:$I$266,'РО - зоны'!$D$8:$D$266,B27)/2</f>
        <v>0</v>
      </c>
      <c r="H27" s="78">
        <f>SUMIFS('РО - зоны'!$J$8:$J$266,'РО - зоны'!$D$8:$D$266,B27)</f>
        <v>1</v>
      </c>
      <c r="I27" s="80" t="str">
        <f t="shared" si="3"/>
        <v>0 / 0 / 1 из 1</v>
      </c>
      <c r="J27" s="81">
        <v>0</v>
      </c>
      <c r="K27" s="80" t="str">
        <f t="shared" si="4"/>
        <v>не требуется</v>
      </c>
      <c r="L27" s="81">
        <f t="shared" si="5"/>
        <v>0</v>
      </c>
      <c r="M27" s="46" t="str">
        <f t="shared" si="6"/>
        <v>Из 1 РО 1 в зеленой зоне, 0 - в желтой, 0 - в красной</v>
      </c>
      <c r="N27" s="46" t="str">
        <f t="shared" si="7"/>
        <v>Дорожная карта не требуется</v>
      </c>
    </row>
    <row r="28" spans="2:14">
      <c r="B28" s="79" t="s">
        <v>118</v>
      </c>
      <c r="C28" s="78">
        <f t="shared" si="0"/>
        <v>0</v>
      </c>
      <c r="D28" s="78">
        <f t="shared" si="1"/>
        <v>0</v>
      </c>
      <c r="E28" s="78">
        <f t="shared" si="2"/>
        <v>1</v>
      </c>
      <c r="F28" s="78">
        <f>SUMIFS('РО - зоны'!$H$8:$H$266,'РО - зоны'!$D$8:$D$266,B28)</f>
        <v>0</v>
      </c>
      <c r="G28" s="78">
        <f>SUMIFS('РО - зоны'!$I$8:$I$266,'РО - зоны'!$D$8:$D$266,B28)/2</f>
        <v>0</v>
      </c>
      <c r="H28" s="78">
        <f>SUMIFS('РО - зоны'!$J$8:$J$266,'РО - зоны'!$D$8:$D$266,B28)</f>
        <v>1</v>
      </c>
      <c r="I28" s="80" t="str">
        <f t="shared" si="3"/>
        <v>0 / 0 / 1 из 1</v>
      </c>
      <c r="J28" s="81">
        <v>0</v>
      </c>
      <c r="K28" s="80" t="str">
        <f t="shared" si="4"/>
        <v>не требуется</v>
      </c>
      <c r="L28" s="81">
        <f t="shared" si="5"/>
        <v>0</v>
      </c>
      <c r="M28" s="46" t="str">
        <f t="shared" si="6"/>
        <v>Из 1 РО 1 в зеленой зоне, 0 - в желтой, 0 - в красной</v>
      </c>
      <c r="N28" s="46" t="str">
        <f t="shared" si="7"/>
        <v>Дорожная карта не требуется</v>
      </c>
    </row>
    <row r="29" spans="2:14">
      <c r="B29" s="79" t="s">
        <v>160</v>
      </c>
      <c r="C29" s="78">
        <f t="shared" si="0"/>
        <v>1</v>
      </c>
      <c r="D29" s="78">
        <f t="shared" si="1"/>
        <v>1</v>
      </c>
      <c r="E29" s="78">
        <f t="shared" si="2"/>
        <v>0</v>
      </c>
      <c r="F29" s="78">
        <f>SUMIFS('РО - зоны'!$H$8:$H$266,'РО - зоны'!$D$8:$D$266,B29)</f>
        <v>1</v>
      </c>
      <c r="G29" s="78">
        <f>SUMIFS('РО - зоны'!$I$8:$I$266,'РО - зоны'!$D$8:$D$266,B29)/2</f>
        <v>0</v>
      </c>
      <c r="H29" s="78">
        <f>SUMIFS('РО - зоны'!$J$8:$J$266,'РО - зоны'!$D$8:$D$266,B29)</f>
        <v>1</v>
      </c>
      <c r="I29" s="80" t="str">
        <f t="shared" si="3"/>
        <v>0 / 1 / 0 из 1</v>
      </c>
      <c r="J29" s="81">
        <v>0</v>
      </c>
      <c r="K29" s="80" t="str">
        <f t="shared" si="4"/>
        <v>не подписана</v>
      </c>
      <c r="L29" s="81">
        <f t="shared" si="5"/>
        <v>2</v>
      </c>
      <c r="M29" s="46" t="str">
        <f t="shared" si="6"/>
        <v>Из 1 РО 0 в зеленой зоне, 1 - в желтой, 0 - в красной</v>
      </c>
      <c r="N29" s="46" t="str">
        <f t="shared" si="7"/>
        <v>Дорожная карта не подписана</v>
      </c>
    </row>
    <row r="30" spans="2:14">
      <c r="B30" s="79" t="s">
        <v>131</v>
      </c>
      <c r="C30" s="78">
        <f t="shared" si="0"/>
        <v>1</v>
      </c>
      <c r="D30" s="78">
        <f t="shared" si="1"/>
        <v>1</v>
      </c>
      <c r="E30" s="78">
        <f t="shared" si="2"/>
        <v>0</v>
      </c>
      <c r="F30" s="78">
        <f>SUMIFS('РО - зоны'!$H$8:$H$266,'РО - зоны'!$D$8:$D$266,B30)</f>
        <v>1</v>
      </c>
      <c r="G30" s="78">
        <f>SUMIFS('РО - зоны'!$I$8:$I$266,'РО - зоны'!$D$8:$D$266,B30)/2</f>
        <v>0</v>
      </c>
      <c r="H30" s="78">
        <f>SUMIFS('РО - зоны'!$J$8:$J$266,'РО - зоны'!$D$8:$D$266,B30)</f>
        <v>1</v>
      </c>
      <c r="I30" s="80" t="str">
        <f t="shared" si="3"/>
        <v>0 / 1 / 0 из 1</v>
      </c>
      <c r="J30" s="81">
        <v>0</v>
      </c>
      <c r="K30" s="80" t="str">
        <f t="shared" si="4"/>
        <v>не подписана</v>
      </c>
      <c r="L30" s="81">
        <f t="shared" si="5"/>
        <v>2</v>
      </c>
      <c r="M30" s="46" t="str">
        <f t="shared" si="6"/>
        <v>Из 1 РО 0 в зеленой зоне, 1 - в желтой, 0 - в красной</v>
      </c>
      <c r="N30" s="46" t="str">
        <f t="shared" si="7"/>
        <v>Дорожная карта не подписана</v>
      </c>
    </row>
    <row r="31" spans="2:14">
      <c r="B31" s="79" t="s">
        <v>155</v>
      </c>
      <c r="C31" s="78">
        <f t="shared" si="0"/>
        <v>1</v>
      </c>
      <c r="D31" s="78">
        <f t="shared" si="1"/>
        <v>1</v>
      </c>
      <c r="E31" s="78">
        <f t="shared" si="2"/>
        <v>0</v>
      </c>
      <c r="F31" s="78">
        <f>SUMIFS('РО - зоны'!$H$8:$H$266,'РО - зоны'!$D$8:$D$266,B31)</f>
        <v>1</v>
      </c>
      <c r="G31" s="78">
        <f>SUMIFS('РО - зоны'!$I$8:$I$266,'РО - зоны'!$D$8:$D$266,B31)/2</f>
        <v>0</v>
      </c>
      <c r="H31" s="78">
        <f>SUMIFS('РО - зоны'!$J$8:$J$266,'РО - зоны'!$D$8:$D$266,B31)</f>
        <v>1</v>
      </c>
      <c r="I31" s="80" t="str">
        <f t="shared" si="3"/>
        <v>0 / 1 / 0 из 1</v>
      </c>
      <c r="J31" s="81">
        <v>0</v>
      </c>
      <c r="K31" s="80" t="str">
        <f t="shared" si="4"/>
        <v>не подписана</v>
      </c>
      <c r="L31" s="81">
        <f t="shared" si="5"/>
        <v>2</v>
      </c>
      <c r="M31" s="46" t="str">
        <f t="shared" si="6"/>
        <v>Из 1 РО 0 в зеленой зоне, 1 - в желтой, 0 - в красной</v>
      </c>
      <c r="N31" s="46" t="str">
        <f t="shared" si="7"/>
        <v>Дорожная карта не подписана</v>
      </c>
    </row>
    <row r="32" spans="2:14">
      <c r="B32" s="79" t="s">
        <v>161</v>
      </c>
      <c r="C32" s="78">
        <f t="shared" si="0"/>
        <v>1</v>
      </c>
      <c r="D32" s="78">
        <f t="shared" si="1"/>
        <v>1</v>
      </c>
      <c r="E32" s="78">
        <f t="shared" si="2"/>
        <v>0</v>
      </c>
      <c r="F32" s="78">
        <f>SUMIFS('РО - зоны'!$H$8:$H$266,'РО - зоны'!$D$8:$D$266,B32)</f>
        <v>1</v>
      </c>
      <c r="G32" s="78">
        <f>SUMIFS('РО - зоны'!$I$8:$I$266,'РО - зоны'!$D$8:$D$266,B32)/2</f>
        <v>0</v>
      </c>
      <c r="H32" s="78">
        <f>SUMIFS('РО - зоны'!$J$8:$J$266,'РО - зоны'!$D$8:$D$266,B32)</f>
        <v>1</v>
      </c>
      <c r="I32" s="80" t="str">
        <f t="shared" si="3"/>
        <v>0 / 1 / 0 из 1</v>
      </c>
      <c r="J32" s="81">
        <v>0</v>
      </c>
      <c r="K32" s="80" t="str">
        <f t="shared" si="4"/>
        <v>не подписана</v>
      </c>
      <c r="L32" s="81">
        <f t="shared" si="5"/>
        <v>2</v>
      </c>
      <c r="M32" s="46" t="str">
        <f t="shared" si="6"/>
        <v>Из 1 РО 0 в зеленой зоне, 1 - в желтой, 0 - в красной</v>
      </c>
      <c r="N32" s="46" t="str">
        <f t="shared" si="7"/>
        <v>Дорожная карта не подписана</v>
      </c>
    </row>
    <row r="33" spans="2:14">
      <c r="B33" s="79" t="s">
        <v>81</v>
      </c>
      <c r="C33" s="78">
        <f t="shared" si="0"/>
        <v>0</v>
      </c>
      <c r="D33" s="78">
        <f t="shared" si="1"/>
        <v>0</v>
      </c>
      <c r="E33" s="78">
        <f t="shared" si="2"/>
        <v>1</v>
      </c>
      <c r="F33" s="78">
        <f>SUMIFS('РО - зоны'!$H$8:$H$266,'РО - зоны'!$D$8:$D$266,B33)</f>
        <v>0</v>
      </c>
      <c r="G33" s="78">
        <f>SUMIFS('РО - зоны'!$I$8:$I$266,'РО - зоны'!$D$8:$D$266,B33)/2</f>
        <v>0</v>
      </c>
      <c r="H33" s="78">
        <f>SUMIFS('РО - зоны'!$J$8:$J$266,'РО - зоны'!$D$8:$D$266,B33)</f>
        <v>1</v>
      </c>
      <c r="I33" s="80" t="str">
        <f t="shared" si="3"/>
        <v>0 / 0 / 1 из 1</v>
      </c>
      <c r="J33" s="81">
        <v>0</v>
      </c>
      <c r="K33" s="80" t="str">
        <f t="shared" si="4"/>
        <v>не требуется</v>
      </c>
      <c r="L33" s="81">
        <f t="shared" si="5"/>
        <v>0</v>
      </c>
      <c r="M33" s="46" t="str">
        <f t="shared" si="6"/>
        <v>Из 1 РО 1 в зеленой зоне, 0 - в желтой, 0 - в красной</v>
      </c>
      <c r="N33" s="46" t="str">
        <f t="shared" si="7"/>
        <v>Дорожная карта не требуется</v>
      </c>
    </row>
    <row r="34" spans="2:14">
      <c r="B34" s="79" t="s">
        <v>148</v>
      </c>
      <c r="C34" s="78">
        <f t="shared" si="0"/>
        <v>1</v>
      </c>
      <c r="D34" s="78">
        <f t="shared" si="1"/>
        <v>1</v>
      </c>
      <c r="E34" s="78">
        <f t="shared" si="2"/>
        <v>1</v>
      </c>
      <c r="F34" s="78">
        <f>SUMIFS('РО - зоны'!$H$8:$H$266,'РО - зоны'!$D$8:$D$266,B34)</f>
        <v>1</v>
      </c>
      <c r="G34" s="78">
        <f>SUMIFS('РО - зоны'!$I$8:$I$266,'РО - зоны'!$D$8:$D$266,B34)/2</f>
        <v>0</v>
      </c>
      <c r="H34" s="78">
        <f>SUMIFS('РО - зоны'!$J$8:$J$266,'РО - зоны'!$D$8:$D$266,B34)</f>
        <v>2</v>
      </c>
      <c r="I34" s="80" t="str">
        <f t="shared" si="3"/>
        <v>0 / 1 / 1 из 2</v>
      </c>
      <c r="J34" s="81">
        <v>0</v>
      </c>
      <c r="K34" s="80" t="str">
        <f t="shared" si="4"/>
        <v>не подписана</v>
      </c>
      <c r="L34" s="81">
        <f t="shared" si="5"/>
        <v>2</v>
      </c>
      <c r="M34" s="46" t="str">
        <f t="shared" si="6"/>
        <v>Из 2 РО 1 в зеленой зоне, 1 - в желтой, 0 - в красной</v>
      </c>
      <c r="N34" s="46" t="str">
        <f t="shared" si="7"/>
        <v>Дорожная карта не подписана</v>
      </c>
    </row>
    <row r="35" spans="2:14">
      <c r="B35" s="79" t="s">
        <v>126</v>
      </c>
      <c r="C35" s="78">
        <f t="shared" si="0"/>
        <v>1</v>
      </c>
      <c r="D35" s="78">
        <f t="shared" si="1"/>
        <v>1</v>
      </c>
      <c r="E35" s="78">
        <f t="shared" si="2"/>
        <v>0</v>
      </c>
      <c r="F35" s="78">
        <f>SUMIFS('РО - зоны'!$H$8:$H$266,'РО - зоны'!$D$8:$D$266,B35)</f>
        <v>3</v>
      </c>
      <c r="G35" s="78">
        <f>SUMIFS('РО - зоны'!$I$8:$I$266,'РО - зоны'!$D$8:$D$266,B35)/2</f>
        <v>0</v>
      </c>
      <c r="H35" s="78">
        <f>SUMIFS('РО - зоны'!$J$8:$J$266,'РО - зоны'!$D$8:$D$266,B35)</f>
        <v>3</v>
      </c>
      <c r="I35" s="80" t="str">
        <f t="shared" si="3"/>
        <v>0 / 3 / 0 из 3</v>
      </c>
      <c r="J35" s="81">
        <v>0</v>
      </c>
      <c r="K35" s="80" t="str">
        <f t="shared" si="4"/>
        <v>не подписана</v>
      </c>
      <c r="L35" s="81">
        <f t="shared" si="5"/>
        <v>2</v>
      </c>
      <c r="M35" s="46" t="str">
        <f t="shared" si="6"/>
        <v>Из 3 РО 0 в зеленой зоне, 3 - в желтой, 0 - в красной</v>
      </c>
      <c r="N35" s="46" t="str">
        <f t="shared" si="7"/>
        <v>Дорожная карта не подписана</v>
      </c>
    </row>
    <row r="36" spans="2:14">
      <c r="B36" s="79" t="s">
        <v>119</v>
      </c>
      <c r="C36" s="78">
        <f t="shared" si="0"/>
        <v>0</v>
      </c>
      <c r="D36" s="78">
        <f t="shared" si="1"/>
        <v>0</v>
      </c>
      <c r="E36" s="78">
        <f t="shared" si="2"/>
        <v>1</v>
      </c>
      <c r="F36" s="78">
        <f>SUMIFS('РО - зоны'!$H$8:$H$266,'РО - зоны'!$D$8:$D$266,B36)</f>
        <v>0</v>
      </c>
      <c r="G36" s="78">
        <f>SUMIFS('РО - зоны'!$I$8:$I$266,'РО - зоны'!$D$8:$D$266,B36)/2</f>
        <v>0</v>
      </c>
      <c r="H36" s="78">
        <f>SUMIFS('РО - зоны'!$J$8:$J$266,'РО - зоны'!$D$8:$D$266,B36)</f>
        <v>1</v>
      </c>
      <c r="I36" s="80" t="str">
        <f t="shared" si="3"/>
        <v>0 / 0 / 1 из 1</v>
      </c>
      <c r="J36" s="81">
        <v>0</v>
      </c>
      <c r="K36" s="80" t="str">
        <f t="shared" si="4"/>
        <v>не требуется</v>
      </c>
      <c r="L36" s="81">
        <f t="shared" si="5"/>
        <v>0</v>
      </c>
      <c r="M36" s="46" t="str">
        <f t="shared" si="6"/>
        <v>Из 1 РО 1 в зеленой зоне, 0 - в желтой, 0 - в красной</v>
      </c>
      <c r="N36" s="46" t="str">
        <f t="shared" si="7"/>
        <v>Дорожная карта не требуется</v>
      </c>
    </row>
    <row r="37" spans="2:14">
      <c r="B37" s="79" t="s">
        <v>87</v>
      </c>
      <c r="C37" s="78">
        <f t="shared" si="0"/>
        <v>0</v>
      </c>
      <c r="D37" s="78">
        <f t="shared" si="1"/>
        <v>0</v>
      </c>
      <c r="E37" s="78">
        <f t="shared" si="2"/>
        <v>1</v>
      </c>
      <c r="F37" s="78">
        <f>SUMIFS('РО - зоны'!$H$8:$H$266,'РО - зоны'!$D$8:$D$266,B37)</f>
        <v>0</v>
      </c>
      <c r="G37" s="78">
        <f>SUMIFS('РО - зоны'!$I$8:$I$266,'РО - зоны'!$D$8:$D$266,B37)/2</f>
        <v>0</v>
      </c>
      <c r="H37" s="78">
        <f>SUMIFS('РО - зоны'!$J$8:$J$266,'РО - зоны'!$D$8:$D$266,B37)</f>
        <v>1</v>
      </c>
      <c r="I37" s="80" t="str">
        <f t="shared" si="3"/>
        <v>0 / 0 / 1 из 1</v>
      </c>
      <c r="J37" s="81">
        <v>0</v>
      </c>
      <c r="K37" s="80" t="str">
        <f t="shared" si="4"/>
        <v>не требуется</v>
      </c>
      <c r="L37" s="81">
        <f t="shared" si="5"/>
        <v>0</v>
      </c>
      <c r="M37" s="46" t="str">
        <f t="shared" si="6"/>
        <v>Из 1 РО 1 в зеленой зоне, 0 - в желтой, 0 - в красной</v>
      </c>
      <c r="N37" s="46" t="str">
        <f t="shared" si="7"/>
        <v>Дорожная карта не требуется</v>
      </c>
    </row>
    <row r="38" spans="2:14">
      <c r="B38" s="79" t="s">
        <v>134</v>
      </c>
      <c r="C38" s="78">
        <f t="shared" si="0"/>
        <v>0</v>
      </c>
      <c r="D38" s="78">
        <f t="shared" si="1"/>
        <v>0</v>
      </c>
      <c r="E38" s="78">
        <f t="shared" si="2"/>
        <v>1</v>
      </c>
      <c r="F38" s="78">
        <f>SUMIFS('РО - зоны'!$H$8:$H$266,'РО - зоны'!$D$8:$D$266,B38)</f>
        <v>0</v>
      </c>
      <c r="G38" s="78">
        <f>SUMIFS('РО - зоны'!$I$8:$I$266,'РО - зоны'!$D$8:$D$266,B38)/2</f>
        <v>0</v>
      </c>
      <c r="H38" s="78">
        <f>SUMIFS('РО - зоны'!$J$8:$J$266,'РО - зоны'!$D$8:$D$266,B38)</f>
        <v>1</v>
      </c>
      <c r="I38" s="80" t="str">
        <f t="shared" si="3"/>
        <v>0 / 0 / 1 из 1</v>
      </c>
      <c r="J38" s="81">
        <v>0</v>
      </c>
      <c r="K38" s="80" t="str">
        <f t="shared" si="4"/>
        <v>не требуется</v>
      </c>
      <c r="L38" s="81">
        <f t="shared" si="5"/>
        <v>0</v>
      </c>
      <c r="M38" s="46" t="str">
        <f t="shared" si="6"/>
        <v>Из 1 РО 1 в зеленой зоне, 0 - в желтой, 0 - в красной</v>
      </c>
      <c r="N38" s="46" t="str">
        <f t="shared" si="7"/>
        <v>Дорожная карта не требуется</v>
      </c>
    </row>
    <row r="39" spans="2:14">
      <c r="B39" s="79" t="s">
        <v>138</v>
      </c>
      <c r="C39" s="78">
        <f t="shared" si="0"/>
        <v>1</v>
      </c>
      <c r="D39" s="78">
        <f t="shared" si="1"/>
        <v>1</v>
      </c>
      <c r="E39" s="78">
        <f t="shared" si="2"/>
        <v>1</v>
      </c>
      <c r="F39" s="78">
        <f>SUMIFS('РО - зоны'!$H$8:$H$266,'РО - зоны'!$D$8:$D$266,B39)</f>
        <v>1</v>
      </c>
      <c r="G39" s="78">
        <f>SUMIFS('РО - зоны'!$I$8:$I$266,'РО - зоны'!$D$8:$D$266,B39)/2</f>
        <v>0</v>
      </c>
      <c r="H39" s="78">
        <f>SUMIFS('РО - зоны'!$J$8:$J$266,'РО - зоны'!$D$8:$D$266,B39)</f>
        <v>2</v>
      </c>
      <c r="I39" s="80" t="str">
        <f t="shared" si="3"/>
        <v>0 / 1 / 1 из 2</v>
      </c>
      <c r="J39" s="81">
        <v>0</v>
      </c>
      <c r="K39" s="80" t="str">
        <f t="shared" si="4"/>
        <v>не подписана</v>
      </c>
      <c r="L39" s="81">
        <f t="shared" si="5"/>
        <v>2</v>
      </c>
      <c r="M39" s="46" t="str">
        <f t="shared" si="6"/>
        <v>Из 2 РО 1 в зеленой зоне, 1 - в желтой, 0 - в красной</v>
      </c>
      <c r="N39" s="46" t="str">
        <f t="shared" si="7"/>
        <v>Дорожная карта не подписана</v>
      </c>
    </row>
    <row r="40" spans="2:14">
      <c r="B40" s="79" t="s">
        <v>109</v>
      </c>
      <c r="C40" s="78">
        <f t="shared" si="0"/>
        <v>1</v>
      </c>
      <c r="D40" s="78">
        <f t="shared" si="1"/>
        <v>1</v>
      </c>
      <c r="E40" s="78">
        <f t="shared" si="2"/>
        <v>1</v>
      </c>
      <c r="F40" s="78">
        <f>SUMIFS('РО - зоны'!$H$8:$H$266,'РО - зоны'!$D$8:$D$266,B40)</f>
        <v>1</v>
      </c>
      <c r="G40" s="78">
        <f>SUMIFS('РО - зоны'!$I$8:$I$266,'РО - зоны'!$D$8:$D$266,B40)/2</f>
        <v>0</v>
      </c>
      <c r="H40" s="78">
        <f>SUMIFS('РО - зоны'!$J$8:$J$266,'РО - зоны'!$D$8:$D$266,B40)</f>
        <v>2</v>
      </c>
      <c r="I40" s="80" t="str">
        <f t="shared" si="3"/>
        <v>0 / 1 / 1 из 2</v>
      </c>
      <c r="J40" s="81">
        <v>0</v>
      </c>
      <c r="K40" s="80" t="str">
        <f t="shared" si="4"/>
        <v>не подписана</v>
      </c>
      <c r="L40" s="81">
        <f t="shared" si="5"/>
        <v>2</v>
      </c>
      <c r="M40" s="46" t="str">
        <f t="shared" si="6"/>
        <v>Из 2 РО 1 в зеленой зоне, 1 - в желтой, 0 - в красной</v>
      </c>
      <c r="N40" s="46" t="str">
        <f t="shared" si="7"/>
        <v>Дорожная карта не подписана</v>
      </c>
    </row>
    <row r="41" spans="2:14">
      <c r="B41" s="79" t="s">
        <v>76</v>
      </c>
      <c r="C41" s="78">
        <f t="shared" si="0"/>
        <v>0</v>
      </c>
      <c r="D41" s="78">
        <f t="shared" si="1"/>
        <v>0</v>
      </c>
      <c r="E41" s="78">
        <f t="shared" si="2"/>
        <v>1</v>
      </c>
      <c r="F41" s="78">
        <f>SUMIFS('РО - зоны'!$H$8:$H$266,'РО - зоны'!$D$8:$D$266,B41)</f>
        <v>0</v>
      </c>
      <c r="G41" s="78">
        <f>SUMIFS('РО - зоны'!$I$8:$I$266,'РО - зоны'!$D$8:$D$266,B41)/2</f>
        <v>0</v>
      </c>
      <c r="H41" s="78">
        <f>SUMIFS('РО - зоны'!$J$8:$J$266,'РО - зоны'!$D$8:$D$266,B41)</f>
        <v>1</v>
      </c>
      <c r="I41" s="80" t="str">
        <f t="shared" si="3"/>
        <v>0 / 0 / 1 из 1</v>
      </c>
      <c r="J41" s="81">
        <v>0</v>
      </c>
      <c r="K41" s="80" t="str">
        <f t="shared" si="4"/>
        <v>не требуется</v>
      </c>
      <c r="L41" s="81">
        <f t="shared" si="5"/>
        <v>0</v>
      </c>
      <c r="M41" s="46" t="str">
        <f t="shared" si="6"/>
        <v>Из 1 РО 1 в зеленой зоне, 0 - в желтой, 0 - в красной</v>
      </c>
      <c r="N41" s="46" t="str">
        <f t="shared" si="7"/>
        <v>Дорожная карта не требуется</v>
      </c>
    </row>
    <row r="42" spans="2:14">
      <c r="B42" s="79" t="s">
        <v>89</v>
      </c>
      <c r="C42" s="78">
        <f t="shared" si="0"/>
        <v>0</v>
      </c>
      <c r="D42" s="78">
        <f t="shared" si="1"/>
        <v>0</v>
      </c>
      <c r="E42" s="78">
        <f t="shared" si="2"/>
        <v>3</v>
      </c>
      <c r="F42" s="78">
        <f>SUMIFS('РО - зоны'!$H$8:$H$266,'РО - зоны'!$D$8:$D$266,B42)</f>
        <v>0</v>
      </c>
      <c r="G42" s="78">
        <f>SUMIFS('РО - зоны'!$I$8:$I$266,'РО - зоны'!$D$8:$D$266,B42)/2</f>
        <v>0</v>
      </c>
      <c r="H42" s="78">
        <f>SUMIFS('РО - зоны'!$J$8:$J$266,'РО - зоны'!$D$8:$D$266,B42)</f>
        <v>3</v>
      </c>
      <c r="I42" s="80" t="str">
        <f t="shared" si="3"/>
        <v>0 / 0 / 3 из 3</v>
      </c>
      <c r="J42" s="81">
        <v>0</v>
      </c>
      <c r="K42" s="80" t="str">
        <f t="shared" si="4"/>
        <v>не требуется</v>
      </c>
      <c r="L42" s="81">
        <f t="shared" si="5"/>
        <v>0</v>
      </c>
      <c r="M42" s="46" t="str">
        <f t="shared" si="6"/>
        <v>Из 3 РО 3 в зеленой зоне, 0 - в желтой, 0 - в красной</v>
      </c>
      <c r="N42" s="46" t="str">
        <f t="shared" si="7"/>
        <v>Дорожная карта не требуется</v>
      </c>
    </row>
    <row r="43" spans="2:14">
      <c r="B43" s="79" t="s">
        <v>141</v>
      </c>
      <c r="C43" s="78">
        <f t="shared" si="0"/>
        <v>1</v>
      </c>
      <c r="D43" s="78">
        <f t="shared" si="1"/>
        <v>1</v>
      </c>
      <c r="E43" s="78">
        <f t="shared" si="2"/>
        <v>6</v>
      </c>
      <c r="F43" s="78">
        <f>SUMIFS('РО - зоны'!$H$8:$H$266,'РО - зоны'!$D$8:$D$266,B43)</f>
        <v>6</v>
      </c>
      <c r="G43" s="78">
        <f>SUMIFS('РО - зоны'!$I$8:$I$266,'РО - зоны'!$D$8:$D$266,B43)/2</f>
        <v>0</v>
      </c>
      <c r="H43" s="78">
        <f>SUMIFS('РО - зоны'!$J$8:$J$266,'РО - зоны'!$D$8:$D$266,B43)</f>
        <v>12</v>
      </c>
      <c r="I43" s="80" t="str">
        <f t="shared" si="3"/>
        <v>0 / 6 / 6 из 12</v>
      </c>
      <c r="J43" s="81">
        <v>0</v>
      </c>
      <c r="K43" s="80" t="str">
        <f t="shared" si="4"/>
        <v>не подписана</v>
      </c>
      <c r="L43" s="81">
        <f t="shared" si="5"/>
        <v>2</v>
      </c>
      <c r="M43" s="46" t="str">
        <f t="shared" si="6"/>
        <v>Из 12 РО 6 в зеленой зоне, 6 - в желтой, 0 - в красной</v>
      </c>
      <c r="N43" s="46" t="str">
        <f t="shared" si="7"/>
        <v>Дорожная карта не подписана</v>
      </c>
    </row>
    <row r="44" spans="2:14">
      <c r="B44" s="79" t="s">
        <v>142</v>
      </c>
      <c r="C44" s="78">
        <f t="shared" si="0"/>
        <v>1</v>
      </c>
      <c r="D44" s="78">
        <f t="shared" si="1"/>
        <v>1</v>
      </c>
      <c r="E44" s="78">
        <f t="shared" si="2"/>
        <v>12</v>
      </c>
      <c r="F44" s="78">
        <f>SUMIFS('РО - зоны'!$H$8:$H$266,'РО - зоны'!$D$8:$D$266,B44)</f>
        <v>2</v>
      </c>
      <c r="G44" s="78">
        <f>SUMIFS('РО - зоны'!$I$8:$I$266,'РО - зоны'!$D$8:$D$266,B44)/2</f>
        <v>0</v>
      </c>
      <c r="H44" s="78">
        <f>SUMIFS('РО - зоны'!$J$8:$J$266,'РО - зоны'!$D$8:$D$266,B44)</f>
        <v>14</v>
      </c>
      <c r="I44" s="80" t="str">
        <f t="shared" si="3"/>
        <v>0 / 2 / 12 из 14</v>
      </c>
      <c r="J44" s="81">
        <v>0</v>
      </c>
      <c r="K44" s="80" t="str">
        <f t="shared" si="4"/>
        <v>не подписана</v>
      </c>
      <c r="L44" s="81">
        <f t="shared" si="5"/>
        <v>2</v>
      </c>
      <c r="M44" s="46" t="str">
        <f t="shared" si="6"/>
        <v>Из 14 РО 12 в зеленой зоне, 2 - в желтой, 0 - в красной</v>
      </c>
      <c r="N44" s="46" t="str">
        <f t="shared" si="7"/>
        <v>Дорожная карта не подписана</v>
      </c>
    </row>
    <row r="45" spans="2:14">
      <c r="B45" s="79" t="s">
        <v>132</v>
      </c>
      <c r="C45" s="78">
        <f t="shared" si="0"/>
        <v>2</v>
      </c>
      <c r="D45" s="78">
        <f t="shared" si="1"/>
        <v>2</v>
      </c>
      <c r="E45" s="78">
        <f t="shared" si="2"/>
        <v>0</v>
      </c>
      <c r="F45" s="78">
        <f>SUMIFS('РО - зоны'!$H$8:$H$266,'РО - зоны'!$D$8:$D$266,B45)</f>
        <v>0</v>
      </c>
      <c r="G45" s="78">
        <f>SUMIFS('РО - зоны'!$I$8:$I$266,'РО - зоны'!$D$8:$D$266,B45)/2</f>
        <v>1</v>
      </c>
      <c r="H45" s="78">
        <f>SUMIFS('РО - зоны'!$J$8:$J$266,'РО - зоны'!$D$8:$D$266,B45)</f>
        <v>1</v>
      </c>
      <c r="I45" s="80" t="str">
        <f t="shared" si="3"/>
        <v>1 / 0 / 0 из 1</v>
      </c>
      <c r="J45" s="81">
        <v>1</v>
      </c>
      <c r="K45" s="80" t="str">
        <f t="shared" si="4"/>
        <v>подписана</v>
      </c>
      <c r="L45" s="81">
        <f t="shared" si="5"/>
        <v>0</v>
      </c>
      <c r="M45" s="46" t="str">
        <f t="shared" si="6"/>
        <v>Из 1 РО 0 в зеленой зоне, 0 - в желтой, 1 - в красной</v>
      </c>
      <c r="N45" s="46" t="str">
        <f t="shared" si="7"/>
        <v>Дорожная карта подписана</v>
      </c>
    </row>
    <row r="46" spans="2:14">
      <c r="B46" s="79" t="s">
        <v>77</v>
      </c>
      <c r="C46" s="78">
        <f t="shared" si="0"/>
        <v>0</v>
      </c>
      <c r="D46" s="78">
        <f t="shared" si="1"/>
        <v>0</v>
      </c>
      <c r="E46" s="78">
        <f t="shared" si="2"/>
        <v>2</v>
      </c>
      <c r="F46" s="78">
        <f>SUMIFS('РО - зоны'!$H$8:$H$266,'РО - зоны'!$D$8:$D$266,B46)</f>
        <v>0</v>
      </c>
      <c r="G46" s="78">
        <f>SUMIFS('РО - зоны'!$I$8:$I$266,'РО - зоны'!$D$8:$D$266,B46)/2</f>
        <v>0</v>
      </c>
      <c r="H46" s="78">
        <f>SUMIFS('РО - зоны'!$J$8:$J$266,'РО - зоны'!$D$8:$D$266,B46)</f>
        <v>2</v>
      </c>
      <c r="I46" s="80" t="str">
        <f t="shared" si="3"/>
        <v>0 / 0 / 2 из 2</v>
      </c>
      <c r="J46" s="81">
        <v>0</v>
      </c>
      <c r="K46" s="80" t="str">
        <f t="shared" si="4"/>
        <v>не требуется</v>
      </c>
      <c r="L46" s="81">
        <f t="shared" si="5"/>
        <v>0</v>
      </c>
      <c r="M46" s="46" t="str">
        <f t="shared" si="6"/>
        <v>Из 2 РО 2 в зеленой зоне, 0 - в желтой, 0 - в красной</v>
      </c>
      <c r="N46" s="46" t="str">
        <f t="shared" si="7"/>
        <v>Дорожная карта не требуется</v>
      </c>
    </row>
    <row r="47" spans="2:14">
      <c r="B47" s="79" t="s">
        <v>92</v>
      </c>
      <c r="C47" s="78">
        <f t="shared" si="0"/>
        <v>0</v>
      </c>
      <c r="D47" s="78">
        <f t="shared" si="1"/>
        <v>0</v>
      </c>
      <c r="E47" s="78">
        <f t="shared" si="2"/>
        <v>1</v>
      </c>
      <c r="F47" s="78">
        <f>SUMIFS('РО - зоны'!$H$8:$H$266,'РО - зоны'!$D$8:$D$266,B47)</f>
        <v>0</v>
      </c>
      <c r="G47" s="78">
        <f>SUMIFS('РО - зоны'!$I$8:$I$266,'РО - зоны'!$D$8:$D$266,B47)/2</f>
        <v>0</v>
      </c>
      <c r="H47" s="78">
        <f>SUMIFS('РО - зоны'!$J$8:$J$266,'РО - зоны'!$D$8:$D$266,B47)</f>
        <v>1</v>
      </c>
      <c r="I47" s="80" t="str">
        <f t="shared" si="3"/>
        <v>0 / 0 / 1 из 1</v>
      </c>
      <c r="J47" s="81">
        <v>0</v>
      </c>
      <c r="K47" s="80" t="str">
        <f t="shared" si="4"/>
        <v>не требуется</v>
      </c>
      <c r="L47" s="81">
        <f t="shared" si="5"/>
        <v>0</v>
      </c>
      <c r="M47" s="46" t="str">
        <f t="shared" si="6"/>
        <v>Из 1 РО 1 в зеленой зоне, 0 - в желтой, 0 - в красной</v>
      </c>
      <c r="N47" s="46" t="str">
        <f t="shared" si="7"/>
        <v>Дорожная карта не требуется</v>
      </c>
    </row>
    <row r="48" spans="2:14">
      <c r="B48" s="79" t="s">
        <v>101</v>
      </c>
      <c r="C48" s="78">
        <f t="shared" si="0"/>
        <v>0</v>
      </c>
      <c r="D48" s="78">
        <f t="shared" si="1"/>
        <v>0</v>
      </c>
      <c r="E48" s="78">
        <f t="shared" si="2"/>
        <v>4</v>
      </c>
      <c r="F48" s="78">
        <f>SUMIFS('РО - зоны'!$H$8:$H$266,'РО - зоны'!$D$8:$D$266,B48)</f>
        <v>0</v>
      </c>
      <c r="G48" s="78">
        <f>SUMIFS('РО - зоны'!$I$8:$I$266,'РО - зоны'!$D$8:$D$266,B48)/2</f>
        <v>0</v>
      </c>
      <c r="H48" s="78">
        <f>SUMIFS('РО - зоны'!$J$8:$J$266,'РО - зоны'!$D$8:$D$266,B48)</f>
        <v>4</v>
      </c>
      <c r="I48" s="80" t="str">
        <f t="shared" si="3"/>
        <v>0 / 0 / 4 из 4</v>
      </c>
      <c r="J48" s="81">
        <v>0</v>
      </c>
      <c r="K48" s="80" t="str">
        <f t="shared" si="4"/>
        <v>не требуется</v>
      </c>
      <c r="L48" s="81">
        <f t="shared" si="5"/>
        <v>0</v>
      </c>
      <c r="M48" s="46" t="str">
        <f t="shared" si="6"/>
        <v>Из 4 РО 4 в зеленой зоне, 0 - в желтой, 0 - в красной</v>
      </c>
      <c r="N48" s="46" t="str">
        <f t="shared" si="7"/>
        <v>Дорожная карта не требуется</v>
      </c>
    </row>
    <row r="49" spans="2:14">
      <c r="B49" s="79" t="s">
        <v>162</v>
      </c>
      <c r="C49" s="78">
        <f t="shared" si="0"/>
        <v>0</v>
      </c>
      <c r="D49" s="78">
        <f t="shared" si="1"/>
        <v>0</v>
      </c>
      <c r="E49" s="78">
        <f t="shared" si="2"/>
        <v>0</v>
      </c>
      <c r="F49" s="78">
        <f>SUMIFS('РО - зоны'!$H$8:$H$266,'РО - зоны'!$D$8:$D$266,B49)</f>
        <v>0</v>
      </c>
      <c r="G49" s="78">
        <f>SUMIFS('РО - зоны'!$I$8:$I$266,'РО - зоны'!$D$8:$D$266,B49)/2</f>
        <v>0</v>
      </c>
      <c r="H49" s="78">
        <f>SUMIFS('РО - зоны'!$J$8:$J$266,'РО - зоны'!$D$8:$D$266,B49)</f>
        <v>0</v>
      </c>
      <c r="I49" s="80" t="str">
        <f t="shared" si="3"/>
        <v>0 / 0 / 0 из 0</v>
      </c>
      <c r="J49" s="81">
        <v>0</v>
      </c>
      <c r="K49" s="80" t="str">
        <f t="shared" si="4"/>
        <v>не требуется</v>
      </c>
      <c r="L49" s="81">
        <f t="shared" si="5"/>
        <v>0</v>
      </c>
      <c r="M49" s="46" t="str">
        <f t="shared" si="6"/>
        <v>Из 0 РО 0 в зеленой зоне, 0 - в желтой, 0 - в красной</v>
      </c>
      <c r="N49" s="46" t="str">
        <f t="shared" si="7"/>
        <v>Дорожная карта не требуется</v>
      </c>
    </row>
    <row r="50" spans="2:14">
      <c r="B50" s="79" t="s">
        <v>153</v>
      </c>
      <c r="C50" s="78">
        <f t="shared" si="0"/>
        <v>2</v>
      </c>
      <c r="D50" s="78">
        <f t="shared" si="1"/>
        <v>2</v>
      </c>
      <c r="E50" s="78">
        <f t="shared" si="2"/>
        <v>3</v>
      </c>
      <c r="F50" s="78">
        <f>SUMIFS('РО - зоны'!$H$8:$H$266,'РО - зоны'!$D$8:$D$266,B50)</f>
        <v>5</v>
      </c>
      <c r="G50" s="78">
        <f>SUMIFS('РО - зоны'!$I$8:$I$266,'РО - зоны'!$D$8:$D$266,B50)/2</f>
        <v>1</v>
      </c>
      <c r="H50" s="78">
        <f>SUMIFS('РО - зоны'!$J$8:$J$266,'РО - зоны'!$D$8:$D$266,B50)</f>
        <v>9</v>
      </c>
      <c r="I50" s="80" t="str">
        <f t="shared" si="3"/>
        <v>1 / 5 / 3 из 9</v>
      </c>
      <c r="J50" s="81">
        <v>1</v>
      </c>
      <c r="K50" s="80" t="str">
        <f t="shared" si="4"/>
        <v>подписана</v>
      </c>
      <c r="L50" s="81">
        <f t="shared" si="5"/>
        <v>2</v>
      </c>
      <c r="M50" s="46" t="str">
        <f t="shared" si="6"/>
        <v>Из 9 РО 3 в зеленой зоне, 5 - в желтой, 1 - в красной</v>
      </c>
      <c r="N50" s="46" t="str">
        <f t="shared" si="7"/>
        <v>Дорожная карта подписана</v>
      </c>
    </row>
    <row r="51" spans="2:14">
      <c r="B51" s="79" t="s">
        <v>69</v>
      </c>
      <c r="C51" s="78">
        <f t="shared" si="0"/>
        <v>0</v>
      </c>
      <c r="D51" s="78">
        <f t="shared" si="1"/>
        <v>0</v>
      </c>
      <c r="E51" s="78">
        <f t="shared" si="2"/>
        <v>7</v>
      </c>
      <c r="F51" s="78">
        <f>SUMIFS('РО - зоны'!$H$8:$H$266,'РО - зоны'!$D$8:$D$266,B51)</f>
        <v>0</v>
      </c>
      <c r="G51" s="78">
        <f>SUMIFS('РО - зоны'!$I$8:$I$266,'РО - зоны'!$D$8:$D$266,B51)/2</f>
        <v>0</v>
      </c>
      <c r="H51" s="78">
        <f>SUMIFS('РО - зоны'!$J$8:$J$266,'РО - зоны'!$D$8:$D$266,B51)</f>
        <v>7</v>
      </c>
      <c r="I51" s="80" t="str">
        <f t="shared" si="3"/>
        <v>0 / 0 / 7 из 7</v>
      </c>
      <c r="J51" s="81">
        <v>0</v>
      </c>
      <c r="K51" s="80" t="str">
        <f t="shared" si="4"/>
        <v>не требуется</v>
      </c>
      <c r="L51" s="81">
        <f t="shared" si="5"/>
        <v>0</v>
      </c>
      <c r="M51" s="46" t="str">
        <f t="shared" si="6"/>
        <v>Из 7 РО 7 в зеленой зоне, 0 - в желтой, 0 - в красной</v>
      </c>
      <c r="N51" s="46" t="str">
        <f t="shared" si="7"/>
        <v>Дорожная карта не требуется</v>
      </c>
    </row>
    <row r="52" spans="2:14">
      <c r="B52" s="79" t="s">
        <v>72</v>
      </c>
      <c r="C52" s="78">
        <f t="shared" si="0"/>
        <v>0</v>
      </c>
      <c r="D52" s="78">
        <f t="shared" si="1"/>
        <v>0</v>
      </c>
      <c r="E52" s="78">
        <f t="shared" si="2"/>
        <v>1</v>
      </c>
      <c r="F52" s="78">
        <f>SUMIFS('РО - зоны'!$H$8:$H$266,'РО - зоны'!$D$8:$D$266,B52)</f>
        <v>0</v>
      </c>
      <c r="G52" s="78">
        <f>SUMIFS('РО - зоны'!$I$8:$I$266,'РО - зоны'!$D$8:$D$266,B52)/2</f>
        <v>0</v>
      </c>
      <c r="H52" s="78">
        <f>SUMIFS('РО - зоны'!$J$8:$J$266,'РО - зоны'!$D$8:$D$266,B52)</f>
        <v>1</v>
      </c>
      <c r="I52" s="80" t="str">
        <f t="shared" si="3"/>
        <v>0 / 0 / 1 из 1</v>
      </c>
      <c r="J52" s="81">
        <v>0</v>
      </c>
      <c r="K52" s="80" t="str">
        <f t="shared" si="4"/>
        <v>не требуется</v>
      </c>
      <c r="L52" s="81">
        <f t="shared" si="5"/>
        <v>0</v>
      </c>
      <c r="M52" s="46" t="str">
        <f t="shared" si="6"/>
        <v>Из 1 РО 1 в зеленой зоне, 0 - в желтой, 0 - в красной</v>
      </c>
      <c r="N52" s="46" t="str">
        <f t="shared" si="7"/>
        <v>Дорожная карта не требуется</v>
      </c>
    </row>
    <row r="53" spans="2:14">
      <c r="B53" s="79" t="s">
        <v>127</v>
      </c>
      <c r="C53" s="78">
        <f t="shared" si="0"/>
        <v>0</v>
      </c>
      <c r="D53" s="78">
        <f t="shared" si="1"/>
        <v>0</v>
      </c>
      <c r="E53" s="78">
        <f t="shared" si="2"/>
        <v>2</v>
      </c>
      <c r="F53" s="78">
        <f>SUMIFS('РО - зоны'!$H$8:$H$266,'РО - зоны'!$D$8:$D$266,B53)</f>
        <v>0</v>
      </c>
      <c r="G53" s="78">
        <f>SUMIFS('РО - зоны'!$I$8:$I$266,'РО - зоны'!$D$8:$D$266,B53)/2</f>
        <v>0</v>
      </c>
      <c r="H53" s="78">
        <f>SUMIFS('РО - зоны'!$J$8:$J$266,'РО - зоны'!$D$8:$D$266,B53)</f>
        <v>2</v>
      </c>
      <c r="I53" s="80" t="str">
        <f t="shared" si="3"/>
        <v>0 / 0 / 2 из 2</v>
      </c>
      <c r="J53" s="81">
        <v>0</v>
      </c>
      <c r="K53" s="80" t="str">
        <f t="shared" si="4"/>
        <v>не требуется</v>
      </c>
      <c r="L53" s="81">
        <f t="shared" si="5"/>
        <v>0</v>
      </c>
      <c r="M53" s="46" t="str">
        <f t="shared" si="6"/>
        <v>Из 2 РО 2 в зеленой зоне, 0 - в желтой, 0 - в красной</v>
      </c>
      <c r="N53" s="46" t="str">
        <f t="shared" si="7"/>
        <v>Дорожная карта не требуется</v>
      </c>
    </row>
    <row r="54" spans="2:14">
      <c r="B54" s="79" t="s">
        <v>93</v>
      </c>
      <c r="C54" s="78">
        <f t="shared" si="0"/>
        <v>1</v>
      </c>
      <c r="D54" s="78">
        <f t="shared" si="1"/>
        <v>1</v>
      </c>
      <c r="E54" s="78">
        <f t="shared" si="2"/>
        <v>7</v>
      </c>
      <c r="F54" s="78">
        <f>SUMIFS('РО - зоны'!$H$8:$H$266,'РО - зоны'!$D$8:$D$266,B54)</f>
        <v>2</v>
      </c>
      <c r="G54" s="78">
        <f>SUMIFS('РО - зоны'!$I$8:$I$266,'РО - зоны'!$D$8:$D$266,B54)/2</f>
        <v>0</v>
      </c>
      <c r="H54" s="78">
        <f>SUMIFS('РО - зоны'!$J$8:$J$266,'РО - зоны'!$D$8:$D$266,B54)</f>
        <v>9</v>
      </c>
      <c r="I54" s="80" t="str">
        <f t="shared" si="3"/>
        <v>0 / 2 / 7 из 9</v>
      </c>
      <c r="J54" s="81">
        <v>0</v>
      </c>
      <c r="K54" s="80" t="str">
        <f t="shared" si="4"/>
        <v>не подписана</v>
      </c>
      <c r="L54" s="81">
        <f t="shared" si="5"/>
        <v>2</v>
      </c>
      <c r="M54" s="46" t="str">
        <f t="shared" si="6"/>
        <v>Из 9 РО 7 в зеленой зоне, 2 - в желтой, 0 - в красной</v>
      </c>
      <c r="N54" s="46" t="str">
        <f t="shared" si="7"/>
        <v>Дорожная карта не подписана</v>
      </c>
    </row>
    <row r="55" spans="2:14">
      <c r="B55" s="79" t="s">
        <v>90</v>
      </c>
      <c r="C55" s="78">
        <f t="shared" si="0"/>
        <v>2</v>
      </c>
      <c r="D55" s="78">
        <f t="shared" si="1"/>
        <v>2</v>
      </c>
      <c r="E55" s="78">
        <f t="shared" si="2"/>
        <v>1</v>
      </c>
      <c r="F55" s="78">
        <f>SUMIFS('РО - зоны'!$H$8:$H$266,'РО - зоны'!$D$8:$D$266,B55)</f>
        <v>2</v>
      </c>
      <c r="G55" s="78">
        <f>SUMIFS('РО - зоны'!$I$8:$I$266,'РО - зоны'!$D$8:$D$266,B55)/2</f>
        <v>1</v>
      </c>
      <c r="H55" s="78">
        <f>SUMIFS('РО - зоны'!$J$8:$J$266,'РО - зоны'!$D$8:$D$266,B55)</f>
        <v>4</v>
      </c>
      <c r="I55" s="80" t="str">
        <f t="shared" si="3"/>
        <v>1 / 2 / 1 из 4</v>
      </c>
      <c r="J55" s="81">
        <v>0</v>
      </c>
      <c r="K55" s="80" t="str">
        <f t="shared" si="4"/>
        <v>не подписана</v>
      </c>
      <c r="L55" s="81">
        <f t="shared" si="5"/>
        <v>2</v>
      </c>
      <c r="M55" s="46" t="str">
        <f t="shared" si="6"/>
        <v>Из 4 РО 1 в зеленой зоне, 2 - в желтой, 1 - в красной</v>
      </c>
      <c r="N55" s="46" t="str">
        <f t="shared" si="7"/>
        <v>Дорожная карта не подписана</v>
      </c>
    </row>
    <row r="56" spans="2:14">
      <c r="B56" s="79" t="s">
        <v>123</v>
      </c>
      <c r="C56" s="78">
        <f t="shared" si="0"/>
        <v>0</v>
      </c>
      <c r="D56" s="78">
        <f t="shared" si="1"/>
        <v>0</v>
      </c>
      <c r="E56" s="78">
        <f t="shared" si="2"/>
        <v>1</v>
      </c>
      <c r="F56" s="78">
        <f>SUMIFS('РО - зоны'!$H$8:$H$266,'РО - зоны'!$D$8:$D$266,B56)</f>
        <v>0</v>
      </c>
      <c r="G56" s="78">
        <f>SUMIFS('РО - зоны'!$I$8:$I$266,'РО - зоны'!$D$8:$D$266,B56)/2</f>
        <v>0</v>
      </c>
      <c r="H56" s="78">
        <f>SUMIFS('РО - зоны'!$J$8:$J$266,'РО - зоны'!$D$8:$D$266,B56)</f>
        <v>1</v>
      </c>
      <c r="I56" s="80" t="str">
        <f t="shared" si="3"/>
        <v>0 / 0 / 1 из 1</v>
      </c>
      <c r="J56" s="81">
        <v>0</v>
      </c>
      <c r="K56" s="80" t="str">
        <f t="shared" si="4"/>
        <v>не требуется</v>
      </c>
      <c r="L56" s="81">
        <f t="shared" si="5"/>
        <v>0</v>
      </c>
      <c r="M56" s="46" t="str">
        <f t="shared" si="6"/>
        <v>Из 1 РО 1 в зеленой зоне, 0 - в желтой, 0 - в красной</v>
      </c>
      <c r="N56" s="46" t="str">
        <f t="shared" si="7"/>
        <v>Дорожная карта не требуется</v>
      </c>
    </row>
    <row r="57" spans="2:14">
      <c r="B57" s="79" t="s">
        <v>139</v>
      </c>
      <c r="C57" s="78">
        <f t="shared" si="0"/>
        <v>1</v>
      </c>
      <c r="D57" s="78">
        <f t="shared" si="1"/>
        <v>1</v>
      </c>
      <c r="E57" s="78">
        <f t="shared" si="2"/>
        <v>0</v>
      </c>
      <c r="F57" s="78">
        <f>SUMIFS('РО - зоны'!$H$8:$H$266,'РО - зоны'!$D$8:$D$266,B57)</f>
        <v>1</v>
      </c>
      <c r="G57" s="78">
        <f>SUMIFS('РО - зоны'!$I$8:$I$266,'РО - зоны'!$D$8:$D$266,B57)/2</f>
        <v>0</v>
      </c>
      <c r="H57" s="78">
        <f>SUMIFS('РО - зоны'!$J$8:$J$266,'РО - зоны'!$D$8:$D$266,B57)</f>
        <v>1</v>
      </c>
      <c r="I57" s="80" t="str">
        <f t="shared" si="3"/>
        <v>0 / 1 / 0 из 1</v>
      </c>
      <c r="J57" s="81">
        <v>1</v>
      </c>
      <c r="K57" s="80" t="str">
        <f t="shared" si="4"/>
        <v>подписана</v>
      </c>
      <c r="L57" s="81">
        <f t="shared" si="5"/>
        <v>0</v>
      </c>
      <c r="M57" s="46" t="str">
        <f t="shared" si="6"/>
        <v>Из 1 РО 0 в зеленой зоне, 1 - в желтой, 0 - в красной</v>
      </c>
      <c r="N57" s="46" t="str">
        <f t="shared" si="7"/>
        <v>Дорожная карта подписана</v>
      </c>
    </row>
    <row r="58" spans="2:14">
      <c r="B58" s="79" t="s">
        <v>94</v>
      </c>
      <c r="C58" s="78">
        <f t="shared" si="0"/>
        <v>0</v>
      </c>
      <c r="D58" s="78">
        <f t="shared" si="1"/>
        <v>0</v>
      </c>
      <c r="E58" s="78">
        <f t="shared" si="2"/>
        <v>1</v>
      </c>
      <c r="F58" s="78">
        <f>SUMIFS('РО - зоны'!$H$8:$H$266,'РО - зоны'!$D$8:$D$266,B58)</f>
        <v>0</v>
      </c>
      <c r="G58" s="78">
        <f>SUMIFS('РО - зоны'!$I$8:$I$266,'РО - зоны'!$D$8:$D$266,B58)/2</f>
        <v>0</v>
      </c>
      <c r="H58" s="78">
        <f>SUMIFS('РО - зоны'!$J$8:$J$266,'РО - зоны'!$D$8:$D$266,B58)</f>
        <v>1</v>
      </c>
      <c r="I58" s="80" t="str">
        <f t="shared" si="3"/>
        <v>0 / 0 / 1 из 1</v>
      </c>
      <c r="J58" s="81">
        <v>0</v>
      </c>
      <c r="K58" s="80" t="str">
        <f t="shared" si="4"/>
        <v>не требуется</v>
      </c>
      <c r="L58" s="81">
        <f t="shared" si="5"/>
        <v>0</v>
      </c>
      <c r="M58" s="46" t="str">
        <f t="shared" si="6"/>
        <v>Из 1 РО 1 в зеленой зоне, 0 - в желтой, 0 - в красной</v>
      </c>
      <c r="N58" s="46" t="str">
        <f t="shared" si="7"/>
        <v>Дорожная карта не требуется</v>
      </c>
    </row>
    <row r="59" spans="2:14">
      <c r="B59" s="79" t="s">
        <v>111</v>
      </c>
      <c r="C59" s="78">
        <f t="shared" si="0"/>
        <v>0</v>
      </c>
      <c r="D59" s="78">
        <f t="shared" si="1"/>
        <v>0</v>
      </c>
      <c r="E59" s="78">
        <f t="shared" si="2"/>
        <v>1</v>
      </c>
      <c r="F59" s="78">
        <f>SUMIFS('РО - зоны'!$H$8:$H$266,'РО - зоны'!$D$8:$D$266,B59)</f>
        <v>0</v>
      </c>
      <c r="G59" s="78">
        <f>SUMIFS('РО - зоны'!$I$8:$I$266,'РО - зоны'!$D$8:$D$266,B59)/2</f>
        <v>0</v>
      </c>
      <c r="H59" s="78">
        <f>SUMIFS('РО - зоны'!$J$8:$J$266,'РО - зоны'!$D$8:$D$266,B59)</f>
        <v>1</v>
      </c>
      <c r="I59" s="80" t="str">
        <f t="shared" si="3"/>
        <v>0 / 0 / 1 из 1</v>
      </c>
      <c r="J59" s="81">
        <v>0</v>
      </c>
      <c r="K59" s="80" t="str">
        <f t="shared" si="4"/>
        <v>не требуется</v>
      </c>
      <c r="L59" s="81">
        <f t="shared" si="5"/>
        <v>0</v>
      </c>
      <c r="M59" s="46" t="str">
        <f t="shared" si="6"/>
        <v>Из 1 РО 1 в зеленой зоне, 0 - в желтой, 0 - в красной</v>
      </c>
      <c r="N59" s="46" t="str">
        <f t="shared" si="7"/>
        <v>Дорожная карта не требуется</v>
      </c>
    </row>
    <row r="60" spans="2:14">
      <c r="B60" s="79" t="s">
        <v>124</v>
      </c>
      <c r="C60" s="78">
        <f t="shared" si="0"/>
        <v>0</v>
      </c>
      <c r="D60" s="78">
        <f t="shared" si="1"/>
        <v>0</v>
      </c>
      <c r="E60" s="78">
        <f t="shared" si="2"/>
        <v>4</v>
      </c>
      <c r="F60" s="78">
        <f>SUMIFS('РО - зоны'!$H$8:$H$266,'РО - зоны'!$D$8:$D$266,B60)</f>
        <v>0</v>
      </c>
      <c r="G60" s="78">
        <f>SUMIFS('РО - зоны'!$I$8:$I$266,'РО - зоны'!$D$8:$D$266,B60)/2</f>
        <v>0</v>
      </c>
      <c r="H60" s="78">
        <f>SUMIFS('РО - зоны'!$J$8:$J$266,'РО - зоны'!$D$8:$D$266,B60)</f>
        <v>4</v>
      </c>
      <c r="I60" s="80" t="str">
        <f t="shared" si="3"/>
        <v>0 / 0 / 4 из 4</v>
      </c>
      <c r="J60" s="81">
        <v>1</v>
      </c>
      <c r="K60" s="80" t="str">
        <f t="shared" si="4"/>
        <v>не требуется</v>
      </c>
      <c r="L60" s="81">
        <f t="shared" si="5"/>
        <v>0</v>
      </c>
      <c r="M60" s="46" t="str">
        <f t="shared" si="6"/>
        <v>Из 4 РО 4 в зеленой зоне, 0 - в желтой, 0 - в красной</v>
      </c>
      <c r="N60" s="46" t="str">
        <f t="shared" si="7"/>
        <v>Дорожная карта не требуется</v>
      </c>
    </row>
    <row r="61" spans="2:14">
      <c r="B61" s="79" t="s">
        <v>143</v>
      </c>
      <c r="C61" s="78">
        <f t="shared" si="0"/>
        <v>0</v>
      </c>
      <c r="D61" s="78">
        <f t="shared" si="1"/>
        <v>0</v>
      </c>
      <c r="E61" s="78">
        <f t="shared" si="2"/>
        <v>1</v>
      </c>
      <c r="F61" s="78">
        <f>SUMIFS('РО - зоны'!$H$8:$H$266,'РО - зоны'!$D$8:$D$266,B61)</f>
        <v>0</v>
      </c>
      <c r="G61" s="78">
        <f>SUMIFS('РО - зоны'!$I$8:$I$266,'РО - зоны'!$D$8:$D$266,B61)/2</f>
        <v>0</v>
      </c>
      <c r="H61" s="78">
        <f>SUMIFS('РО - зоны'!$J$8:$J$266,'РО - зоны'!$D$8:$D$266,B61)</f>
        <v>1</v>
      </c>
      <c r="I61" s="80" t="str">
        <f t="shared" si="3"/>
        <v>0 / 0 / 1 из 1</v>
      </c>
      <c r="J61" s="81">
        <v>0</v>
      </c>
      <c r="K61" s="80" t="str">
        <f t="shared" si="4"/>
        <v>не требуется</v>
      </c>
      <c r="L61" s="81">
        <f t="shared" si="5"/>
        <v>0</v>
      </c>
      <c r="M61" s="46" t="str">
        <f t="shared" si="6"/>
        <v>Из 1 РО 1 в зеленой зоне, 0 - в желтой, 0 - в красной</v>
      </c>
      <c r="N61" s="46" t="str">
        <f t="shared" si="7"/>
        <v>Дорожная карта не требуется</v>
      </c>
    </row>
    <row r="62" spans="2:14">
      <c r="B62" s="79" t="s">
        <v>144</v>
      </c>
      <c r="C62" s="78">
        <f t="shared" si="0"/>
        <v>1</v>
      </c>
      <c r="D62" s="78">
        <f t="shared" si="1"/>
        <v>1</v>
      </c>
      <c r="E62" s="78">
        <f t="shared" si="2"/>
        <v>0</v>
      </c>
      <c r="F62" s="78">
        <f>SUMIFS('РО - зоны'!$H$8:$H$266,'РО - зоны'!$D$8:$D$266,B62)</f>
        <v>1</v>
      </c>
      <c r="G62" s="78">
        <f>SUMIFS('РО - зоны'!$I$8:$I$266,'РО - зоны'!$D$8:$D$266,B62)/2</f>
        <v>0</v>
      </c>
      <c r="H62" s="78">
        <f>SUMIFS('РО - зоны'!$J$8:$J$266,'РО - зоны'!$D$8:$D$266,B62)</f>
        <v>1</v>
      </c>
      <c r="I62" s="80" t="str">
        <f t="shared" si="3"/>
        <v>0 / 1 / 0 из 1</v>
      </c>
      <c r="J62" s="81">
        <v>0</v>
      </c>
      <c r="K62" s="80" t="str">
        <f t="shared" si="4"/>
        <v>не подписана</v>
      </c>
      <c r="L62" s="81">
        <f t="shared" si="5"/>
        <v>2</v>
      </c>
      <c r="M62" s="46" t="str">
        <f t="shared" si="6"/>
        <v>Из 1 РО 0 в зеленой зоне, 1 - в желтой, 0 - в красной</v>
      </c>
      <c r="N62" s="46" t="str">
        <f t="shared" si="7"/>
        <v>Дорожная карта не подписана</v>
      </c>
    </row>
    <row r="63" spans="2:14">
      <c r="B63" s="79" t="s">
        <v>95</v>
      </c>
      <c r="C63" s="78">
        <f t="shared" si="0"/>
        <v>1</v>
      </c>
      <c r="D63" s="78">
        <f t="shared" si="1"/>
        <v>1</v>
      </c>
      <c r="E63" s="78">
        <f t="shared" si="2"/>
        <v>0</v>
      </c>
      <c r="F63" s="78">
        <f>SUMIFS('РО - зоны'!$H$8:$H$266,'РО - зоны'!$D$8:$D$266,B63)</f>
        <v>2</v>
      </c>
      <c r="G63" s="78">
        <f>SUMIFS('РО - зоны'!$I$8:$I$266,'РО - зоны'!$D$8:$D$266,B63)/2</f>
        <v>0</v>
      </c>
      <c r="H63" s="78">
        <f>SUMIFS('РО - зоны'!$J$8:$J$266,'РО - зоны'!$D$8:$D$266,B63)</f>
        <v>2</v>
      </c>
      <c r="I63" s="80" t="str">
        <f t="shared" si="3"/>
        <v>0 / 2 / 0 из 2</v>
      </c>
      <c r="J63" s="81">
        <v>0</v>
      </c>
      <c r="K63" s="80" t="str">
        <f t="shared" si="4"/>
        <v>не подписана</v>
      </c>
      <c r="L63" s="81">
        <f t="shared" si="5"/>
        <v>2</v>
      </c>
      <c r="M63" s="46" t="str">
        <f t="shared" si="6"/>
        <v>Из 2 РО 0 в зеленой зоне, 2 - в желтой, 0 - в красной</v>
      </c>
      <c r="N63" s="46" t="str">
        <f t="shared" si="7"/>
        <v>Дорожная карта не подписана</v>
      </c>
    </row>
    <row r="64" spans="2:14">
      <c r="B64" s="79" t="s">
        <v>96</v>
      </c>
      <c r="C64" s="78">
        <f t="shared" si="0"/>
        <v>0</v>
      </c>
      <c r="D64" s="78">
        <f t="shared" si="1"/>
        <v>0</v>
      </c>
      <c r="E64" s="78">
        <f t="shared" si="2"/>
        <v>1</v>
      </c>
      <c r="F64" s="78">
        <f>SUMIFS('РО - зоны'!$H$8:$H$266,'РО - зоны'!$D$8:$D$266,B64)</f>
        <v>0</v>
      </c>
      <c r="G64" s="78">
        <f>SUMIFS('РО - зоны'!$I$8:$I$266,'РО - зоны'!$D$8:$D$266,B64)/2</f>
        <v>0</v>
      </c>
      <c r="H64" s="78">
        <f>SUMIFS('РО - зоны'!$J$8:$J$266,'РО - зоны'!$D$8:$D$266,B64)</f>
        <v>1</v>
      </c>
      <c r="I64" s="80" t="str">
        <f t="shared" si="3"/>
        <v>0 / 0 / 1 из 1</v>
      </c>
      <c r="J64" s="81">
        <v>0</v>
      </c>
      <c r="K64" s="80" t="str">
        <f t="shared" si="4"/>
        <v>не требуется</v>
      </c>
      <c r="L64" s="81">
        <f t="shared" si="5"/>
        <v>0</v>
      </c>
      <c r="M64" s="46" t="str">
        <f t="shared" si="6"/>
        <v>Из 1 РО 1 в зеленой зоне, 0 - в желтой, 0 - в красной</v>
      </c>
      <c r="N64" s="46" t="str">
        <f t="shared" si="7"/>
        <v>Дорожная карта не требуется</v>
      </c>
    </row>
    <row r="65" spans="2:14">
      <c r="B65" s="79" t="s">
        <v>147</v>
      </c>
      <c r="C65" s="78">
        <f t="shared" si="0"/>
        <v>1</v>
      </c>
      <c r="D65" s="78">
        <f t="shared" si="1"/>
        <v>1</v>
      </c>
      <c r="E65" s="78">
        <f t="shared" si="2"/>
        <v>0</v>
      </c>
      <c r="F65" s="78">
        <f>SUMIFS('РО - зоны'!$H$8:$H$266,'РО - зоны'!$D$8:$D$266,B65)</f>
        <v>3</v>
      </c>
      <c r="G65" s="78">
        <f>SUMIFS('РО - зоны'!$I$8:$I$266,'РО - зоны'!$D$8:$D$266,B65)/2</f>
        <v>0</v>
      </c>
      <c r="H65" s="78">
        <f>SUMIFS('РО - зоны'!$J$8:$J$266,'РО - зоны'!$D$8:$D$266,B65)</f>
        <v>3</v>
      </c>
      <c r="I65" s="80" t="str">
        <f t="shared" si="3"/>
        <v>0 / 3 / 0 из 3</v>
      </c>
      <c r="J65" s="81">
        <v>0</v>
      </c>
      <c r="K65" s="80" t="str">
        <f t="shared" si="4"/>
        <v>не подписана</v>
      </c>
      <c r="L65" s="81">
        <f t="shared" si="5"/>
        <v>2</v>
      </c>
      <c r="M65" s="46" t="str">
        <f t="shared" si="6"/>
        <v>Из 3 РО 0 в зеленой зоне, 3 - в желтой, 0 - в красной</v>
      </c>
      <c r="N65" s="46" t="str">
        <f t="shared" si="7"/>
        <v>Дорожная карта не подписана</v>
      </c>
    </row>
    <row r="66" spans="2:14">
      <c r="B66" s="79" t="s">
        <v>88</v>
      </c>
      <c r="C66" s="78">
        <f t="shared" si="0"/>
        <v>1</v>
      </c>
      <c r="D66" s="78">
        <f t="shared" si="1"/>
        <v>1</v>
      </c>
      <c r="E66" s="78">
        <f t="shared" si="2"/>
        <v>3</v>
      </c>
      <c r="F66" s="78">
        <f>SUMIFS('РО - зоны'!$H$8:$H$266,'РО - зоны'!$D$8:$D$266,B66)</f>
        <v>2</v>
      </c>
      <c r="G66" s="78">
        <f>SUMIFS('РО - зоны'!$I$8:$I$266,'РО - зоны'!$D$8:$D$266,B66)/2</f>
        <v>0</v>
      </c>
      <c r="H66" s="78">
        <f>SUMIFS('РО - зоны'!$J$8:$J$266,'РО - зоны'!$D$8:$D$266,B66)</f>
        <v>5</v>
      </c>
      <c r="I66" s="80" t="str">
        <f t="shared" si="3"/>
        <v>0 / 2 / 3 из 5</v>
      </c>
      <c r="J66" s="81">
        <v>0</v>
      </c>
      <c r="K66" s="80" t="str">
        <f t="shared" si="4"/>
        <v>не подписана</v>
      </c>
      <c r="L66" s="81">
        <f t="shared" si="5"/>
        <v>2</v>
      </c>
      <c r="M66" s="46" t="str">
        <f t="shared" si="6"/>
        <v>Из 5 РО 3 в зеленой зоне, 2 - в желтой, 0 - в красной</v>
      </c>
      <c r="N66" s="46" t="str">
        <f t="shared" si="7"/>
        <v>Дорожная карта не подписана</v>
      </c>
    </row>
    <row r="67" spans="2:14">
      <c r="B67" s="79" t="s">
        <v>157</v>
      </c>
      <c r="C67" s="78">
        <f t="shared" si="0"/>
        <v>0</v>
      </c>
      <c r="D67" s="78">
        <f t="shared" si="1"/>
        <v>0</v>
      </c>
      <c r="E67" s="78">
        <f t="shared" si="2"/>
        <v>3</v>
      </c>
      <c r="F67" s="78">
        <f>SUMIFS('РО - зоны'!$H$8:$H$266,'РО - зоны'!$D$8:$D$266,B67)</f>
        <v>0</v>
      </c>
      <c r="G67" s="78">
        <f>SUMIFS('РО - зоны'!$I$8:$I$266,'РО - зоны'!$D$8:$D$266,B67)/2</f>
        <v>0</v>
      </c>
      <c r="H67" s="78">
        <f>SUMIFS('РО - зоны'!$J$8:$J$266,'РО - зоны'!$D$8:$D$266,B67)</f>
        <v>3</v>
      </c>
      <c r="I67" s="80" t="str">
        <f t="shared" si="3"/>
        <v>0 / 0 / 3 из 3</v>
      </c>
      <c r="J67" s="81">
        <v>0</v>
      </c>
      <c r="K67" s="80" t="str">
        <f t="shared" si="4"/>
        <v>не требуется</v>
      </c>
      <c r="L67" s="81">
        <f t="shared" si="5"/>
        <v>0</v>
      </c>
      <c r="M67" s="46" t="str">
        <f t="shared" si="6"/>
        <v>Из 3 РО 3 в зеленой зоне, 0 - в желтой, 0 - в красной</v>
      </c>
      <c r="N67" s="46" t="str">
        <f t="shared" si="7"/>
        <v>Дорожная карта не требуется</v>
      </c>
    </row>
    <row r="68" spans="2:14">
      <c r="B68" s="79" t="s">
        <v>136</v>
      </c>
      <c r="C68" s="78">
        <f t="shared" si="0"/>
        <v>1</v>
      </c>
      <c r="D68" s="78">
        <f t="shared" si="1"/>
        <v>1</v>
      </c>
      <c r="E68" s="78">
        <f t="shared" si="2"/>
        <v>0</v>
      </c>
      <c r="F68" s="78">
        <f>SUMIFS('РО - зоны'!$H$8:$H$266,'РО - зоны'!$D$8:$D$266,B68)</f>
        <v>3</v>
      </c>
      <c r="G68" s="78">
        <f>SUMIFS('РО - зоны'!$I$8:$I$266,'РО - зоны'!$D$8:$D$266,B68)/2</f>
        <v>0</v>
      </c>
      <c r="H68" s="78">
        <f>SUMIFS('РО - зоны'!$J$8:$J$266,'РО - зоны'!$D$8:$D$266,B68)</f>
        <v>3</v>
      </c>
      <c r="I68" s="80" t="str">
        <f t="shared" si="3"/>
        <v>0 / 3 / 0 из 3</v>
      </c>
      <c r="J68" s="81">
        <v>0</v>
      </c>
      <c r="K68" s="80" t="str">
        <f t="shared" si="4"/>
        <v>не подписана</v>
      </c>
      <c r="L68" s="81">
        <f t="shared" si="5"/>
        <v>2</v>
      </c>
      <c r="M68" s="46" t="str">
        <f t="shared" si="6"/>
        <v>Из 3 РО 0 в зеленой зоне, 3 - в желтой, 0 - в красной</v>
      </c>
      <c r="N68" s="46" t="str">
        <f t="shared" si="7"/>
        <v>Дорожная карта не подписана</v>
      </c>
    </row>
    <row r="69" spans="2:14">
      <c r="B69" s="79" t="s">
        <v>158</v>
      </c>
      <c r="C69" s="78">
        <f t="shared" si="0"/>
        <v>1</v>
      </c>
      <c r="D69" s="78">
        <f t="shared" si="1"/>
        <v>1</v>
      </c>
      <c r="E69" s="78">
        <f t="shared" si="2"/>
        <v>0</v>
      </c>
      <c r="F69" s="78">
        <f>SUMIFS('РО - зоны'!$H$8:$H$266,'РО - зоны'!$D$8:$D$266,B69)</f>
        <v>1</v>
      </c>
      <c r="G69" s="78">
        <f>SUMIFS('РО - зоны'!$I$8:$I$266,'РО - зоны'!$D$8:$D$266,B69)/2</f>
        <v>0</v>
      </c>
      <c r="H69" s="78">
        <f>SUMIFS('РО - зоны'!$J$8:$J$266,'РО - зоны'!$D$8:$D$266,B69)</f>
        <v>1</v>
      </c>
      <c r="I69" s="80" t="str">
        <f t="shared" si="3"/>
        <v>0 / 1 / 0 из 1</v>
      </c>
      <c r="J69" s="81">
        <v>0</v>
      </c>
      <c r="K69" s="80" t="str">
        <f t="shared" si="4"/>
        <v>не подписана</v>
      </c>
      <c r="L69" s="81">
        <f t="shared" si="5"/>
        <v>2</v>
      </c>
      <c r="M69" s="46" t="str">
        <f t="shared" si="6"/>
        <v>Из 1 РО 0 в зеленой зоне, 1 - в желтой, 0 - в красной</v>
      </c>
      <c r="N69" s="46" t="str">
        <f t="shared" si="7"/>
        <v>Дорожная карта не подписана</v>
      </c>
    </row>
    <row r="70" spans="2:14">
      <c r="B70" s="79" t="s">
        <v>120</v>
      </c>
      <c r="C70" s="78">
        <f t="shared" si="0"/>
        <v>1</v>
      </c>
      <c r="D70" s="78">
        <f t="shared" si="1"/>
        <v>1</v>
      </c>
      <c r="E70" s="78">
        <f t="shared" si="2"/>
        <v>0</v>
      </c>
      <c r="F70" s="78">
        <f>SUMIFS('РО - зоны'!$H$8:$H$266,'РО - зоны'!$D$8:$D$266,B70)</f>
        <v>1</v>
      </c>
      <c r="G70" s="78">
        <f>SUMIFS('РО - зоны'!$I$8:$I$266,'РО - зоны'!$D$8:$D$266,B70)/2</f>
        <v>0</v>
      </c>
      <c r="H70" s="78">
        <f>SUMIFS('РО - зоны'!$J$8:$J$266,'РО - зоны'!$D$8:$D$266,B70)</f>
        <v>1</v>
      </c>
      <c r="I70" s="80" t="str">
        <f t="shared" si="3"/>
        <v>0 / 1 / 0 из 1</v>
      </c>
      <c r="J70" s="81">
        <v>0</v>
      </c>
      <c r="K70" s="80" t="str">
        <f t="shared" si="4"/>
        <v>не подписана</v>
      </c>
      <c r="L70" s="81">
        <f t="shared" si="5"/>
        <v>2</v>
      </c>
      <c r="M70" s="46" t="str">
        <f t="shared" si="6"/>
        <v>Из 1 РО 0 в зеленой зоне, 1 - в желтой, 0 - в красной</v>
      </c>
      <c r="N70" s="46" t="str">
        <f t="shared" si="7"/>
        <v>Дорожная карта не подписана</v>
      </c>
    </row>
    <row r="71" spans="2:14">
      <c r="B71" s="79" t="s">
        <v>112</v>
      </c>
      <c r="C71" s="78">
        <f t="shared" si="0"/>
        <v>0</v>
      </c>
      <c r="D71" s="78">
        <f t="shared" si="1"/>
        <v>0</v>
      </c>
      <c r="E71" s="78">
        <f t="shared" si="2"/>
        <v>1</v>
      </c>
      <c r="F71" s="78">
        <f>SUMIFS('РО - зоны'!$H$8:$H$266,'РО - зоны'!$D$8:$D$266,B71)</f>
        <v>0</v>
      </c>
      <c r="G71" s="78">
        <f>SUMIFS('РО - зоны'!$I$8:$I$266,'РО - зоны'!$D$8:$D$266,B71)/2</f>
        <v>0</v>
      </c>
      <c r="H71" s="78">
        <f>SUMIFS('РО - зоны'!$J$8:$J$266,'РО - зоны'!$D$8:$D$266,B71)</f>
        <v>1</v>
      </c>
      <c r="I71" s="80" t="str">
        <f t="shared" si="3"/>
        <v>0 / 0 / 1 из 1</v>
      </c>
      <c r="J71" s="81">
        <v>0</v>
      </c>
      <c r="K71" s="80" t="str">
        <f t="shared" si="4"/>
        <v>не требуется</v>
      </c>
      <c r="L71" s="81">
        <f t="shared" si="5"/>
        <v>0</v>
      </c>
      <c r="M71" s="46" t="str">
        <f t="shared" si="6"/>
        <v>Из 1 РО 1 в зеленой зоне, 0 - в желтой, 0 - в красной</v>
      </c>
      <c r="N71" s="46" t="str">
        <f t="shared" si="7"/>
        <v>Дорожная карта не требуется</v>
      </c>
    </row>
    <row r="72" spans="2:14">
      <c r="B72" s="79" t="s">
        <v>97</v>
      </c>
      <c r="C72" s="78">
        <f t="shared" si="0"/>
        <v>0</v>
      </c>
      <c r="D72" s="78">
        <f t="shared" si="1"/>
        <v>0</v>
      </c>
      <c r="E72" s="78">
        <f t="shared" si="2"/>
        <v>1</v>
      </c>
      <c r="F72" s="78">
        <f>SUMIFS('РО - зоны'!$H$8:$H$266,'РО - зоны'!$D$8:$D$266,B72)</f>
        <v>0</v>
      </c>
      <c r="G72" s="78">
        <f>SUMIFS('РО - зоны'!$I$8:$I$266,'РО - зоны'!$D$8:$D$266,B72)/2</f>
        <v>0</v>
      </c>
      <c r="H72" s="78">
        <f>SUMIFS('РО - зоны'!$J$8:$J$266,'РО - зоны'!$D$8:$D$266,B72)</f>
        <v>1</v>
      </c>
      <c r="I72" s="80" t="str">
        <f t="shared" si="3"/>
        <v>0 / 0 / 1 из 1</v>
      </c>
      <c r="J72" s="81">
        <v>0</v>
      </c>
      <c r="K72" s="80" t="str">
        <f t="shared" si="4"/>
        <v>не требуется</v>
      </c>
      <c r="L72" s="81">
        <f t="shared" si="5"/>
        <v>0</v>
      </c>
      <c r="M72" s="46" t="str">
        <f t="shared" si="6"/>
        <v>Из 1 РО 1 в зеленой зоне, 0 - в желтой, 0 - в красной</v>
      </c>
      <c r="N72" s="46" t="str">
        <f t="shared" si="7"/>
        <v>Дорожная карта не требуется</v>
      </c>
    </row>
    <row r="73" spans="2:14">
      <c r="B73" s="79" t="s">
        <v>98</v>
      </c>
      <c r="C73" s="78">
        <f t="shared" si="0"/>
        <v>0</v>
      </c>
      <c r="D73" s="78">
        <f t="shared" si="1"/>
        <v>0</v>
      </c>
      <c r="E73" s="78">
        <f t="shared" si="2"/>
        <v>6</v>
      </c>
      <c r="F73" s="78">
        <f>SUMIFS('РО - зоны'!$H$8:$H$266,'РО - зоны'!$D$8:$D$266,B73)</f>
        <v>0</v>
      </c>
      <c r="G73" s="78">
        <f>SUMIFS('РО - зоны'!$I$8:$I$266,'РО - зоны'!$D$8:$D$266,B73)/2</f>
        <v>0</v>
      </c>
      <c r="H73" s="78">
        <f>SUMIFS('РО - зоны'!$J$8:$J$266,'РО - зоны'!$D$8:$D$266,B73)</f>
        <v>6</v>
      </c>
      <c r="I73" s="80" t="str">
        <f t="shared" si="3"/>
        <v>0 / 0 / 6 из 6</v>
      </c>
      <c r="J73" s="81">
        <v>0</v>
      </c>
      <c r="K73" s="80" t="str">
        <f t="shared" si="4"/>
        <v>не требуется</v>
      </c>
      <c r="L73" s="81">
        <f t="shared" si="5"/>
        <v>0</v>
      </c>
      <c r="M73" s="46" t="str">
        <f t="shared" si="6"/>
        <v>Из 6 РО 6 в зеленой зоне, 0 - в желтой, 0 - в красной</v>
      </c>
      <c r="N73" s="46" t="str">
        <f t="shared" si="7"/>
        <v>Дорожная карта не требуется</v>
      </c>
    </row>
    <row r="74" spans="2:14">
      <c r="B74" s="79" t="s">
        <v>110</v>
      </c>
      <c r="C74" s="78">
        <f t="shared" si="0"/>
        <v>1</v>
      </c>
      <c r="D74" s="78">
        <f t="shared" si="1"/>
        <v>1</v>
      </c>
      <c r="E74" s="78">
        <f t="shared" si="2"/>
        <v>0</v>
      </c>
      <c r="F74" s="78">
        <f>SUMIFS('РО - зоны'!$H$8:$H$266,'РО - зоны'!$D$8:$D$266,B74)</f>
        <v>2</v>
      </c>
      <c r="G74" s="78">
        <f>SUMIFS('РО - зоны'!$I$8:$I$266,'РО - зоны'!$D$8:$D$266,B74)/2</f>
        <v>0</v>
      </c>
      <c r="H74" s="78">
        <f>SUMIFS('РО - зоны'!$J$8:$J$266,'РО - зоны'!$D$8:$D$266,B74)</f>
        <v>2</v>
      </c>
      <c r="I74" s="80" t="str">
        <f t="shared" si="3"/>
        <v>0 / 2 / 0 из 2</v>
      </c>
      <c r="J74" s="81">
        <v>0</v>
      </c>
      <c r="K74" s="80" t="str">
        <f t="shared" si="4"/>
        <v>не подписана</v>
      </c>
      <c r="L74" s="81">
        <f t="shared" si="5"/>
        <v>2</v>
      </c>
      <c r="M74" s="46" t="str">
        <f t="shared" si="6"/>
        <v>Из 2 РО 0 в зеленой зоне, 2 - в желтой, 0 - в красной</v>
      </c>
      <c r="N74" s="46" t="str">
        <f t="shared" si="7"/>
        <v>Дорожная карта не подписана</v>
      </c>
    </row>
    <row r="75" spans="2:14">
      <c r="B75" s="79" t="s">
        <v>115</v>
      </c>
      <c r="C75" s="78">
        <f t="shared" si="0"/>
        <v>0</v>
      </c>
      <c r="D75" s="78">
        <f t="shared" si="1"/>
        <v>0</v>
      </c>
      <c r="E75" s="78">
        <f t="shared" si="2"/>
        <v>1</v>
      </c>
      <c r="F75" s="78">
        <f>SUMIFS('РО - зоны'!$H$8:$H$266,'РО - зоны'!$D$8:$D$266,B75)</f>
        <v>0</v>
      </c>
      <c r="G75" s="78">
        <f>SUMIFS('РО - зоны'!$I$8:$I$266,'РО - зоны'!$D$8:$D$266,B75)/2</f>
        <v>0</v>
      </c>
      <c r="H75" s="78">
        <f>SUMIFS('РО - зоны'!$J$8:$J$266,'РО - зоны'!$D$8:$D$266,B75)</f>
        <v>1</v>
      </c>
      <c r="I75" s="80" t="str">
        <f t="shared" si="3"/>
        <v>0 / 0 / 1 из 1</v>
      </c>
      <c r="J75" s="81">
        <v>0</v>
      </c>
      <c r="K75" s="80" t="str">
        <f t="shared" si="4"/>
        <v>не требуется</v>
      </c>
      <c r="L75" s="81">
        <f t="shared" si="5"/>
        <v>0</v>
      </c>
      <c r="M75" s="46" t="str">
        <f t="shared" si="6"/>
        <v>Из 1 РО 1 в зеленой зоне, 0 - в желтой, 0 - в красной</v>
      </c>
      <c r="N75" s="46" t="str">
        <f t="shared" si="7"/>
        <v>Дорожная карта не требуется</v>
      </c>
    </row>
    <row r="76" spans="2:14">
      <c r="B76" s="79" t="s">
        <v>159</v>
      </c>
      <c r="C76" s="78">
        <f t="shared" si="0"/>
        <v>1</v>
      </c>
      <c r="D76" s="78">
        <f t="shared" si="1"/>
        <v>1</v>
      </c>
      <c r="E76" s="78">
        <f t="shared" si="2"/>
        <v>6</v>
      </c>
      <c r="F76" s="78">
        <f>SUMIFS('РО - зоны'!$H$8:$H$266,'РО - зоны'!$D$8:$D$266,B76)</f>
        <v>6</v>
      </c>
      <c r="G76" s="78">
        <f>SUMIFS('РО - зоны'!$I$8:$I$266,'РО - зоны'!$D$8:$D$266,B76)/2</f>
        <v>0</v>
      </c>
      <c r="H76" s="78">
        <f>SUMIFS('РО - зоны'!$J$8:$J$266,'РО - зоны'!$D$8:$D$266,B76)</f>
        <v>12</v>
      </c>
      <c r="I76" s="80" t="str">
        <f t="shared" si="3"/>
        <v>0 / 6 / 6 из 12</v>
      </c>
      <c r="J76" s="81">
        <v>1</v>
      </c>
      <c r="K76" s="80" t="str">
        <f t="shared" si="4"/>
        <v>подписана</v>
      </c>
      <c r="L76" s="81">
        <f t="shared" si="5"/>
        <v>2</v>
      </c>
      <c r="M76" s="46" t="str">
        <f t="shared" si="6"/>
        <v>Из 12 РО 6 в зеленой зоне, 6 - в желтой, 0 - в красной</v>
      </c>
      <c r="N76" s="46" t="str">
        <f t="shared" si="7"/>
        <v>Дорожная карта подписана</v>
      </c>
    </row>
    <row r="77" spans="2:14">
      <c r="B77" s="79" t="s">
        <v>151</v>
      </c>
      <c r="C77" s="78">
        <f t="shared" si="0"/>
        <v>1</v>
      </c>
      <c r="D77" s="78">
        <f t="shared" si="1"/>
        <v>1</v>
      </c>
      <c r="E77" s="78">
        <f t="shared" si="2"/>
        <v>1</v>
      </c>
      <c r="F77" s="78">
        <f>SUMIFS('РО - зоны'!$H$8:$H$266,'РО - зоны'!$D$8:$D$266,B77)</f>
        <v>1</v>
      </c>
      <c r="G77" s="78">
        <f>SUMIFS('РО - зоны'!$I$8:$I$266,'РО - зоны'!$D$8:$D$266,B77)/2</f>
        <v>0</v>
      </c>
      <c r="H77" s="78">
        <f>SUMIFS('РО - зоны'!$J$8:$J$266,'РО - зоны'!$D$8:$D$266,B77)</f>
        <v>2</v>
      </c>
      <c r="I77" s="80" t="str">
        <f t="shared" si="3"/>
        <v>0 / 1 / 1 из 2</v>
      </c>
      <c r="J77" s="81">
        <v>0</v>
      </c>
      <c r="K77" s="80" t="str">
        <f t="shared" si="4"/>
        <v>не подписана</v>
      </c>
      <c r="L77" s="81">
        <f t="shared" si="5"/>
        <v>2</v>
      </c>
      <c r="M77" s="46" t="str">
        <f t="shared" si="6"/>
        <v>Из 2 РО 1 в зеленой зоне, 1 - в желтой, 0 - в красной</v>
      </c>
      <c r="N77" s="46" t="str">
        <f t="shared" si="7"/>
        <v>Дорожная карта не подписана</v>
      </c>
    </row>
    <row r="78" spans="2:14">
      <c r="B78" s="79" t="s">
        <v>75</v>
      </c>
      <c r="C78" s="78">
        <f t="shared" si="0"/>
        <v>0</v>
      </c>
      <c r="D78" s="78">
        <f t="shared" si="1"/>
        <v>0</v>
      </c>
      <c r="E78" s="78">
        <f t="shared" si="2"/>
        <v>2</v>
      </c>
      <c r="F78" s="78">
        <f>SUMIFS('РО - зоны'!$H$8:$H$266,'РО - зоны'!$D$8:$D$266,B78)</f>
        <v>0</v>
      </c>
      <c r="G78" s="78">
        <f>SUMIFS('РО - зоны'!$I$8:$I$266,'РО - зоны'!$D$8:$D$266,B78)/2</f>
        <v>0</v>
      </c>
      <c r="H78" s="78">
        <f>SUMIFS('РО - зоны'!$J$8:$J$266,'РО - зоны'!$D$8:$D$266,B78)</f>
        <v>2</v>
      </c>
      <c r="I78" s="80" t="str">
        <f t="shared" si="3"/>
        <v>0 / 0 / 2 из 2</v>
      </c>
      <c r="J78" s="81">
        <v>0</v>
      </c>
      <c r="K78" s="80" t="str">
        <f t="shared" si="4"/>
        <v>не требуется</v>
      </c>
      <c r="L78" s="81">
        <f t="shared" si="5"/>
        <v>0</v>
      </c>
      <c r="M78" s="46" t="str">
        <f t="shared" si="6"/>
        <v>Из 2 РО 2 в зеленой зоне, 0 - в желтой, 0 - в красной</v>
      </c>
      <c r="N78" s="46" t="str">
        <f t="shared" si="7"/>
        <v>Дорожная карта не требуется</v>
      </c>
    </row>
    <row r="79" spans="2:14">
      <c r="B79" s="79" t="s">
        <v>154</v>
      </c>
      <c r="C79" s="78">
        <f t="shared" si="0"/>
        <v>1</v>
      </c>
      <c r="D79" s="78">
        <f t="shared" si="1"/>
        <v>1</v>
      </c>
      <c r="E79" s="78">
        <f t="shared" si="2"/>
        <v>0</v>
      </c>
      <c r="F79" s="78">
        <f>SUMIFS('РО - зоны'!$H$8:$H$266,'РО - зоны'!$D$8:$D$266,B79)</f>
        <v>2</v>
      </c>
      <c r="G79" s="78">
        <f>SUMIFS('РО - зоны'!$I$8:$I$266,'РО - зоны'!$D$8:$D$266,B79)/2</f>
        <v>0</v>
      </c>
      <c r="H79" s="78">
        <f>SUMIFS('РО - зоны'!$J$8:$J$266,'РО - зоны'!$D$8:$D$266,B79)</f>
        <v>2</v>
      </c>
      <c r="I79" s="80" t="str">
        <f t="shared" si="3"/>
        <v>0 / 2 / 0 из 2</v>
      </c>
      <c r="J79" s="81">
        <v>0</v>
      </c>
      <c r="K79" s="80" t="str">
        <f t="shared" si="4"/>
        <v>не подписана</v>
      </c>
      <c r="L79" s="81">
        <f t="shared" si="5"/>
        <v>2</v>
      </c>
      <c r="M79" s="46" t="str">
        <f t="shared" si="6"/>
        <v>Из 2 РО 0 в зеленой зоне, 2 - в желтой, 0 - в красной</v>
      </c>
      <c r="N79" s="46" t="str">
        <f t="shared" si="7"/>
        <v>Дорожная карта не подписана</v>
      </c>
    </row>
    <row r="80" spans="2:14">
      <c r="B80" s="79" t="s">
        <v>152</v>
      </c>
      <c r="C80" s="78">
        <f t="shared" si="0"/>
        <v>2</v>
      </c>
      <c r="D80" s="78">
        <f t="shared" si="1"/>
        <v>2</v>
      </c>
      <c r="E80" s="78">
        <f t="shared" si="2"/>
        <v>1</v>
      </c>
      <c r="F80" s="78">
        <f>SUMIFS('РО - зоны'!$H$8:$H$266,'РО - зоны'!$D$8:$D$266,B80)</f>
        <v>3</v>
      </c>
      <c r="G80" s="78">
        <f>SUMIFS('РО - зоны'!$I$8:$I$266,'РО - зоны'!$D$8:$D$266,B80)/2</f>
        <v>1</v>
      </c>
      <c r="H80" s="78">
        <f>SUMIFS('РО - зоны'!$J$8:$J$266,'РО - зоны'!$D$8:$D$266,B80)</f>
        <v>5</v>
      </c>
      <c r="I80" s="80" t="str">
        <f t="shared" si="3"/>
        <v>1 / 3 / 1 из 5</v>
      </c>
      <c r="J80" s="81">
        <v>1</v>
      </c>
      <c r="K80" s="80" t="str">
        <f t="shared" si="4"/>
        <v>подписана</v>
      </c>
      <c r="L80" s="81">
        <f t="shared" si="5"/>
        <v>2</v>
      </c>
      <c r="M80" s="46" t="str">
        <f t="shared" si="6"/>
        <v>Из 5 РО 1 в зеленой зоне, 3 - в желтой, 1 - в красной</v>
      </c>
      <c r="N80" s="46" t="str">
        <f t="shared" si="7"/>
        <v>Дорожная карта подписана</v>
      </c>
    </row>
    <row r="81" spans="2:14">
      <c r="B81" s="79" t="s">
        <v>140</v>
      </c>
      <c r="C81" s="78">
        <f t="shared" ref="C81:C104" si="8">IF(D81&gt;$D$8,2,IF(D81&gt;$D$9,1,0))</f>
        <v>1</v>
      </c>
      <c r="D81" s="78">
        <f t="shared" ref="D81:D104" si="9">IF(G81&gt;0,2,IF(F81&gt;0,1,0))</f>
        <v>1</v>
      </c>
      <c r="E81" s="78">
        <f t="shared" ref="E81:E104" si="10">H81-F81-G81</f>
        <v>6</v>
      </c>
      <c r="F81" s="78">
        <f>SUMIFS('РО - зоны'!$H$8:$H$266,'РО - зоны'!$D$8:$D$266,B81)</f>
        <v>2</v>
      </c>
      <c r="G81" s="78">
        <f>SUMIFS('РО - зоны'!$I$8:$I$266,'РО - зоны'!$D$8:$D$266,B81)/2</f>
        <v>0</v>
      </c>
      <c r="H81" s="78">
        <f>SUMIFS('РО - зоны'!$J$8:$J$266,'РО - зоны'!$D$8:$D$266,B81)</f>
        <v>8</v>
      </c>
      <c r="I81" s="80" t="str">
        <f t="shared" ref="I81:I104" si="11">_xlfn.TEXTJOIN(,0,G81," / ",F81," / ",E81," из ",E81+F81+G81)</f>
        <v>0 / 2 / 6 из 8</v>
      </c>
      <c r="J81" s="81">
        <v>0</v>
      </c>
      <c r="K81" s="80" t="str">
        <f t="shared" ref="K81:K104" si="12">IF(F81+G81&gt;0,IF(J81=0,"не подписана","подписана"),"не требуется")</f>
        <v>не подписана</v>
      </c>
      <c r="L81" s="81">
        <f t="shared" ref="L81:L104" si="13">IF(J81&lt;F81+G81,2,0)</f>
        <v>2</v>
      </c>
      <c r="M81" s="46" t="str">
        <f t="shared" ref="M81:M104" si="14">_xlfn.TEXTJOIN(,0,"Из ",E81+F81+G81," РО ",E81," в зеленой зоне, ",F81," - в желтой, ",G81," - в красной")</f>
        <v>Из 8 РО 6 в зеленой зоне, 2 - в желтой, 0 - в красной</v>
      </c>
      <c r="N81" s="46" t="str">
        <f t="shared" ref="N81:N104" si="15">_xlfn.TEXTJOIN(,0,"Дорожная карта ",K81)</f>
        <v>Дорожная карта не подписана</v>
      </c>
    </row>
    <row r="82" spans="2:14">
      <c r="B82" s="79" t="s">
        <v>135</v>
      </c>
      <c r="C82" s="78">
        <f t="shared" si="8"/>
        <v>1</v>
      </c>
      <c r="D82" s="78">
        <f t="shared" si="9"/>
        <v>1</v>
      </c>
      <c r="E82" s="78">
        <f t="shared" si="10"/>
        <v>0</v>
      </c>
      <c r="F82" s="78">
        <f>SUMIFS('РО - зоны'!$H$8:$H$266,'РО - зоны'!$D$8:$D$266,B82)</f>
        <v>1</v>
      </c>
      <c r="G82" s="78">
        <f>SUMIFS('РО - зоны'!$I$8:$I$266,'РО - зоны'!$D$8:$D$266,B82)/2</f>
        <v>0</v>
      </c>
      <c r="H82" s="78">
        <f>SUMIFS('РО - зоны'!$J$8:$J$266,'РО - зоны'!$D$8:$D$266,B82)</f>
        <v>1</v>
      </c>
      <c r="I82" s="80" t="str">
        <f t="shared" si="11"/>
        <v>0 / 1 / 0 из 1</v>
      </c>
      <c r="J82" s="81">
        <v>0</v>
      </c>
      <c r="K82" s="80" t="str">
        <f t="shared" si="12"/>
        <v>не подписана</v>
      </c>
      <c r="L82" s="81">
        <f t="shared" si="13"/>
        <v>2</v>
      </c>
      <c r="M82" s="46" t="str">
        <f t="shared" si="14"/>
        <v>Из 1 РО 0 в зеленой зоне, 1 - в желтой, 0 - в красной</v>
      </c>
      <c r="N82" s="46" t="str">
        <f t="shared" si="15"/>
        <v>Дорожная карта не подписана</v>
      </c>
    </row>
    <row r="83" spans="2:14">
      <c r="B83" s="79" t="s">
        <v>100</v>
      </c>
      <c r="C83" s="78">
        <f t="shared" si="8"/>
        <v>0</v>
      </c>
      <c r="D83" s="78">
        <f t="shared" si="9"/>
        <v>0</v>
      </c>
      <c r="E83" s="78">
        <f t="shared" si="10"/>
        <v>1</v>
      </c>
      <c r="F83" s="78">
        <f>SUMIFS('РО - зоны'!$H$8:$H$266,'РО - зоны'!$D$8:$D$266,B83)</f>
        <v>0</v>
      </c>
      <c r="G83" s="78">
        <f>SUMIFS('РО - зоны'!$I$8:$I$266,'РО - зоны'!$D$8:$D$266,B83)/2</f>
        <v>0</v>
      </c>
      <c r="H83" s="78">
        <f>SUMIFS('РО - зоны'!$J$8:$J$266,'РО - зоны'!$D$8:$D$266,B83)</f>
        <v>1</v>
      </c>
      <c r="I83" s="80" t="str">
        <f t="shared" si="11"/>
        <v>0 / 0 / 1 из 1</v>
      </c>
      <c r="J83" s="81">
        <v>0</v>
      </c>
      <c r="K83" s="80" t="str">
        <f t="shared" si="12"/>
        <v>не требуется</v>
      </c>
      <c r="L83" s="81">
        <f t="shared" si="13"/>
        <v>0</v>
      </c>
      <c r="M83" s="46" t="str">
        <f t="shared" si="14"/>
        <v>Из 1 РО 1 в зеленой зоне, 0 - в желтой, 0 - в красной</v>
      </c>
      <c r="N83" s="46" t="str">
        <f t="shared" si="15"/>
        <v>Дорожная карта не требуется</v>
      </c>
    </row>
    <row r="84" spans="2:14">
      <c r="B84" s="79" t="s">
        <v>102</v>
      </c>
      <c r="C84" s="78">
        <f t="shared" si="8"/>
        <v>0</v>
      </c>
      <c r="D84" s="78">
        <f t="shared" si="9"/>
        <v>0</v>
      </c>
      <c r="E84" s="78">
        <f t="shared" si="10"/>
        <v>2</v>
      </c>
      <c r="F84" s="78">
        <f>SUMIFS('РО - зоны'!$H$8:$H$266,'РО - зоны'!$D$8:$D$266,B84)</f>
        <v>0</v>
      </c>
      <c r="G84" s="78">
        <f>SUMIFS('РО - зоны'!$I$8:$I$266,'РО - зоны'!$D$8:$D$266,B84)/2</f>
        <v>0</v>
      </c>
      <c r="H84" s="78">
        <f>SUMIFS('РО - зоны'!$J$8:$J$266,'РО - зоны'!$D$8:$D$266,B84)</f>
        <v>2</v>
      </c>
      <c r="I84" s="80" t="str">
        <f t="shared" si="11"/>
        <v>0 / 0 / 2 из 2</v>
      </c>
      <c r="J84" s="81">
        <v>0</v>
      </c>
      <c r="K84" s="80" t="str">
        <f t="shared" si="12"/>
        <v>не требуется</v>
      </c>
      <c r="L84" s="81">
        <f t="shared" si="13"/>
        <v>0</v>
      </c>
      <c r="M84" s="46" t="str">
        <f t="shared" si="14"/>
        <v>Из 2 РО 2 в зеленой зоне, 0 - в желтой, 0 - в красной</v>
      </c>
      <c r="N84" s="46" t="str">
        <f t="shared" si="15"/>
        <v>Дорожная карта не требуется</v>
      </c>
    </row>
    <row r="85" spans="2:14">
      <c r="B85" s="79" t="s">
        <v>130</v>
      </c>
      <c r="C85" s="78">
        <f t="shared" si="8"/>
        <v>0</v>
      </c>
      <c r="D85" s="78">
        <f t="shared" si="9"/>
        <v>0</v>
      </c>
      <c r="E85" s="78">
        <f t="shared" si="10"/>
        <v>1</v>
      </c>
      <c r="F85" s="78">
        <f>SUMIFS('РО - зоны'!$H$8:$H$266,'РО - зоны'!$D$8:$D$266,B85)</f>
        <v>0</v>
      </c>
      <c r="G85" s="78">
        <f>SUMIFS('РО - зоны'!$I$8:$I$266,'РО - зоны'!$D$8:$D$266,B85)/2</f>
        <v>0</v>
      </c>
      <c r="H85" s="78">
        <f>SUMIFS('РО - зоны'!$J$8:$J$266,'РО - зоны'!$D$8:$D$266,B85)</f>
        <v>1</v>
      </c>
      <c r="I85" s="80" t="str">
        <f t="shared" si="11"/>
        <v>0 / 0 / 1 из 1</v>
      </c>
      <c r="J85" s="81">
        <v>0</v>
      </c>
      <c r="K85" s="80" t="str">
        <f t="shared" si="12"/>
        <v>не требуется</v>
      </c>
      <c r="L85" s="81">
        <f t="shared" si="13"/>
        <v>0</v>
      </c>
      <c r="M85" s="46" t="str">
        <f t="shared" si="14"/>
        <v>Из 1 РО 1 в зеленой зоне, 0 - в желтой, 0 - в красной</v>
      </c>
      <c r="N85" s="46" t="str">
        <f t="shared" si="15"/>
        <v>Дорожная карта не требуется</v>
      </c>
    </row>
    <row r="86" spans="2:14">
      <c r="B86" s="79" t="s">
        <v>122</v>
      </c>
      <c r="C86" s="78">
        <f t="shared" si="8"/>
        <v>1</v>
      </c>
      <c r="D86" s="78">
        <f t="shared" si="9"/>
        <v>1</v>
      </c>
      <c r="E86" s="78">
        <f t="shared" si="10"/>
        <v>2</v>
      </c>
      <c r="F86" s="78">
        <f>SUMIFS('РО - зоны'!$H$8:$H$266,'РО - зоны'!$D$8:$D$266,B86)</f>
        <v>1</v>
      </c>
      <c r="G86" s="78">
        <f>SUMIFS('РО - зоны'!$I$8:$I$266,'РО - зоны'!$D$8:$D$266,B86)/2</f>
        <v>0</v>
      </c>
      <c r="H86" s="78">
        <f>SUMIFS('РО - зоны'!$J$8:$J$266,'РО - зоны'!$D$8:$D$266,B86)</f>
        <v>3</v>
      </c>
      <c r="I86" s="80" t="str">
        <f t="shared" si="11"/>
        <v>0 / 1 / 2 из 3</v>
      </c>
      <c r="J86" s="81">
        <v>0</v>
      </c>
      <c r="K86" s="80" t="str">
        <f t="shared" si="12"/>
        <v>не подписана</v>
      </c>
      <c r="L86" s="81">
        <f t="shared" si="13"/>
        <v>2</v>
      </c>
      <c r="M86" s="46" t="str">
        <f t="shared" si="14"/>
        <v>Из 3 РО 2 в зеленой зоне, 1 - в желтой, 0 - в красной</v>
      </c>
      <c r="N86" s="46" t="str">
        <f t="shared" si="15"/>
        <v>Дорожная карта не подписана</v>
      </c>
    </row>
    <row r="87" spans="2:14">
      <c r="B87" s="79" t="s">
        <v>103</v>
      </c>
      <c r="C87" s="78">
        <f t="shared" si="8"/>
        <v>0</v>
      </c>
      <c r="D87" s="78">
        <f t="shared" si="9"/>
        <v>0</v>
      </c>
      <c r="E87" s="78">
        <f t="shared" si="10"/>
        <v>1</v>
      </c>
      <c r="F87" s="78">
        <f>SUMIFS('РО - зоны'!$H$8:$H$266,'РО - зоны'!$D$8:$D$266,B87)</f>
        <v>0</v>
      </c>
      <c r="G87" s="78">
        <f>SUMIFS('РО - зоны'!$I$8:$I$266,'РО - зоны'!$D$8:$D$266,B87)/2</f>
        <v>0</v>
      </c>
      <c r="H87" s="78">
        <f>SUMIFS('РО - зоны'!$J$8:$J$266,'РО - зоны'!$D$8:$D$266,B87)</f>
        <v>1</v>
      </c>
      <c r="I87" s="80" t="str">
        <f t="shared" si="11"/>
        <v>0 / 0 / 1 из 1</v>
      </c>
      <c r="J87" s="81">
        <v>0</v>
      </c>
      <c r="K87" s="80" t="str">
        <f t="shared" si="12"/>
        <v>не требуется</v>
      </c>
      <c r="L87" s="81">
        <f t="shared" si="13"/>
        <v>0</v>
      </c>
      <c r="M87" s="46" t="str">
        <f t="shared" si="14"/>
        <v>Из 1 РО 1 в зеленой зоне, 0 - в желтой, 0 - в красной</v>
      </c>
      <c r="N87" s="46" t="str">
        <f t="shared" si="15"/>
        <v>Дорожная карта не требуется</v>
      </c>
    </row>
    <row r="88" spans="2:14">
      <c r="B88" s="79" t="s">
        <v>105</v>
      </c>
      <c r="C88" s="78">
        <f t="shared" si="8"/>
        <v>1</v>
      </c>
      <c r="D88" s="78">
        <f t="shared" si="9"/>
        <v>1</v>
      </c>
      <c r="E88" s="78">
        <f t="shared" si="10"/>
        <v>3</v>
      </c>
      <c r="F88" s="78">
        <f>SUMIFS('РО - зоны'!$H$8:$H$266,'РО - зоны'!$D$8:$D$266,B88)</f>
        <v>1</v>
      </c>
      <c r="G88" s="78">
        <f>SUMIFS('РО - зоны'!$I$8:$I$266,'РО - зоны'!$D$8:$D$266,B88)/2</f>
        <v>0</v>
      </c>
      <c r="H88" s="78">
        <f>SUMIFS('РО - зоны'!$J$8:$J$266,'РО - зоны'!$D$8:$D$266,B88)</f>
        <v>4</v>
      </c>
      <c r="I88" s="80" t="str">
        <f t="shared" si="11"/>
        <v>0 / 1 / 3 из 4</v>
      </c>
      <c r="J88" s="81">
        <v>0</v>
      </c>
      <c r="K88" s="80" t="str">
        <f t="shared" si="12"/>
        <v>не подписана</v>
      </c>
      <c r="L88" s="81">
        <f t="shared" si="13"/>
        <v>2</v>
      </c>
      <c r="M88" s="46" t="str">
        <f t="shared" si="14"/>
        <v>Из 4 РО 3 в зеленой зоне, 1 - в желтой, 0 - в красной</v>
      </c>
      <c r="N88" s="46" t="str">
        <f t="shared" si="15"/>
        <v>Дорожная карта не подписана</v>
      </c>
    </row>
    <row r="89" spans="2:14">
      <c r="B89" s="79" t="s">
        <v>125</v>
      </c>
      <c r="C89" s="78">
        <f t="shared" si="8"/>
        <v>0</v>
      </c>
      <c r="D89" s="78">
        <f t="shared" si="9"/>
        <v>0</v>
      </c>
      <c r="E89" s="78">
        <f t="shared" si="10"/>
        <v>1</v>
      </c>
      <c r="F89" s="78">
        <f>SUMIFS('РО - зоны'!$H$8:$H$266,'РО - зоны'!$D$8:$D$266,B89)</f>
        <v>0</v>
      </c>
      <c r="G89" s="78">
        <f>SUMIFS('РО - зоны'!$I$8:$I$266,'РО - зоны'!$D$8:$D$266,B89)/2</f>
        <v>0</v>
      </c>
      <c r="H89" s="78">
        <f>SUMIFS('РО - зоны'!$J$8:$J$266,'РО - зоны'!$D$8:$D$266,B89)</f>
        <v>1</v>
      </c>
      <c r="I89" s="80" t="str">
        <f t="shared" si="11"/>
        <v>0 / 0 / 1 из 1</v>
      </c>
      <c r="J89" s="81">
        <v>0</v>
      </c>
      <c r="K89" s="80" t="str">
        <f t="shared" si="12"/>
        <v>не требуется</v>
      </c>
      <c r="L89" s="81">
        <f t="shared" si="13"/>
        <v>0</v>
      </c>
      <c r="M89" s="46" t="str">
        <f t="shared" si="14"/>
        <v>Из 1 РО 1 в зеленой зоне, 0 - в желтой, 0 - в красной</v>
      </c>
      <c r="N89" s="46" t="str">
        <f t="shared" si="15"/>
        <v>Дорожная карта не требуется</v>
      </c>
    </row>
    <row r="90" spans="2:14">
      <c r="B90" s="79" t="s">
        <v>156</v>
      </c>
      <c r="C90" s="78">
        <f t="shared" si="8"/>
        <v>1</v>
      </c>
      <c r="D90" s="78">
        <f t="shared" si="9"/>
        <v>1</v>
      </c>
      <c r="E90" s="78">
        <f t="shared" si="10"/>
        <v>0</v>
      </c>
      <c r="F90" s="78">
        <f>SUMIFS('РО - зоны'!$H$8:$H$266,'РО - зоны'!$D$8:$D$266,B90)</f>
        <v>1</v>
      </c>
      <c r="G90" s="78">
        <f>SUMIFS('РО - зоны'!$I$8:$I$266,'РО - зоны'!$D$8:$D$266,B90)/2</f>
        <v>0</v>
      </c>
      <c r="H90" s="78">
        <f>SUMIFS('РО - зоны'!$J$8:$J$266,'РО - зоны'!$D$8:$D$266,B90)</f>
        <v>1</v>
      </c>
      <c r="I90" s="80" t="str">
        <f t="shared" si="11"/>
        <v>0 / 1 / 0 из 1</v>
      </c>
      <c r="J90" s="81">
        <v>0</v>
      </c>
      <c r="K90" s="80" t="str">
        <f t="shared" si="12"/>
        <v>не подписана</v>
      </c>
      <c r="L90" s="81">
        <f t="shared" si="13"/>
        <v>2</v>
      </c>
      <c r="M90" s="46" t="str">
        <f t="shared" si="14"/>
        <v>Из 1 РО 0 в зеленой зоне, 1 - в желтой, 0 - в красной</v>
      </c>
      <c r="N90" s="46" t="str">
        <f t="shared" si="15"/>
        <v>Дорожная карта не подписана</v>
      </c>
    </row>
    <row r="91" spans="2:14">
      <c r="B91" s="79" t="s">
        <v>116</v>
      </c>
      <c r="C91" s="78">
        <f t="shared" si="8"/>
        <v>0</v>
      </c>
      <c r="D91" s="78">
        <f t="shared" si="9"/>
        <v>0</v>
      </c>
      <c r="E91" s="78">
        <f t="shared" si="10"/>
        <v>7</v>
      </c>
      <c r="F91" s="78">
        <f>SUMIFS('РО - зоны'!$H$8:$H$266,'РО - зоны'!$D$8:$D$266,B91)</f>
        <v>0</v>
      </c>
      <c r="G91" s="78">
        <f>SUMIFS('РО - зоны'!$I$8:$I$266,'РО - зоны'!$D$8:$D$266,B91)/2</f>
        <v>0</v>
      </c>
      <c r="H91" s="78">
        <f>SUMIFS('РО - зоны'!$J$8:$J$266,'РО - зоны'!$D$8:$D$266,B91)</f>
        <v>7</v>
      </c>
      <c r="I91" s="80" t="str">
        <f t="shared" si="11"/>
        <v>0 / 0 / 7 из 7</v>
      </c>
      <c r="J91" s="81">
        <v>1</v>
      </c>
      <c r="K91" s="80" t="str">
        <f t="shared" si="12"/>
        <v>не требуется</v>
      </c>
      <c r="L91" s="81">
        <f t="shared" si="13"/>
        <v>0</v>
      </c>
      <c r="M91" s="46" t="str">
        <f t="shared" si="14"/>
        <v>Из 7 РО 7 в зеленой зоне, 0 - в желтой, 0 - в красной</v>
      </c>
      <c r="N91" s="46" t="str">
        <f t="shared" si="15"/>
        <v>Дорожная карта не требуется</v>
      </c>
    </row>
    <row r="92" spans="2:14">
      <c r="B92" s="79" t="s">
        <v>73</v>
      </c>
      <c r="C92" s="78">
        <f t="shared" si="8"/>
        <v>0</v>
      </c>
      <c r="D92" s="78">
        <f t="shared" si="9"/>
        <v>0</v>
      </c>
      <c r="E92" s="78">
        <f t="shared" si="10"/>
        <v>2</v>
      </c>
      <c r="F92" s="78">
        <f>SUMIFS('РО - зоны'!$H$8:$H$266,'РО - зоны'!$D$8:$D$266,B92)</f>
        <v>0</v>
      </c>
      <c r="G92" s="78">
        <f>SUMIFS('РО - зоны'!$I$8:$I$266,'РО - зоны'!$D$8:$D$266,B92)/2</f>
        <v>0</v>
      </c>
      <c r="H92" s="78">
        <f>SUMIFS('РО - зоны'!$J$8:$J$266,'РО - зоны'!$D$8:$D$266,B92)</f>
        <v>2</v>
      </c>
      <c r="I92" s="80" t="str">
        <f t="shared" si="11"/>
        <v>0 / 0 / 2 из 2</v>
      </c>
      <c r="J92" s="81">
        <v>0</v>
      </c>
      <c r="K92" s="80" t="str">
        <f t="shared" si="12"/>
        <v>не требуется</v>
      </c>
      <c r="L92" s="81">
        <f t="shared" si="13"/>
        <v>0</v>
      </c>
      <c r="M92" s="46" t="str">
        <f t="shared" si="14"/>
        <v>Из 2 РО 2 в зеленой зоне, 0 - в желтой, 0 - в красной</v>
      </c>
      <c r="N92" s="46" t="str">
        <f t="shared" si="15"/>
        <v>Дорожная карта не требуется</v>
      </c>
    </row>
    <row r="93" spans="2:14">
      <c r="B93" s="79" t="s">
        <v>83</v>
      </c>
      <c r="C93" s="78">
        <f t="shared" si="8"/>
        <v>0</v>
      </c>
      <c r="D93" s="78">
        <f t="shared" si="9"/>
        <v>0</v>
      </c>
      <c r="E93" s="78">
        <f t="shared" si="10"/>
        <v>1</v>
      </c>
      <c r="F93" s="78">
        <f>SUMIFS('РО - зоны'!$H$8:$H$266,'РО - зоны'!$D$8:$D$266,B93)</f>
        <v>0</v>
      </c>
      <c r="G93" s="78">
        <f>SUMIFS('РО - зоны'!$I$8:$I$266,'РО - зоны'!$D$8:$D$266,B93)/2</f>
        <v>0</v>
      </c>
      <c r="H93" s="78">
        <f>SUMIFS('РО - зоны'!$J$8:$J$266,'РО - зоны'!$D$8:$D$266,B93)</f>
        <v>1</v>
      </c>
      <c r="I93" s="80" t="str">
        <f t="shared" si="11"/>
        <v>0 / 0 / 1 из 1</v>
      </c>
      <c r="J93" s="81">
        <v>0</v>
      </c>
      <c r="K93" s="80" t="str">
        <f t="shared" si="12"/>
        <v>не требуется</v>
      </c>
      <c r="L93" s="81">
        <f t="shared" si="13"/>
        <v>0</v>
      </c>
      <c r="M93" s="46" t="str">
        <f t="shared" si="14"/>
        <v>Из 1 РО 1 в зеленой зоне, 0 - в желтой, 0 - в красной</v>
      </c>
      <c r="N93" s="46" t="str">
        <f t="shared" si="15"/>
        <v>Дорожная карта не требуется</v>
      </c>
    </row>
    <row r="94" spans="2:14">
      <c r="B94" s="79" t="s">
        <v>99</v>
      </c>
      <c r="C94" s="78">
        <f t="shared" si="8"/>
        <v>0</v>
      </c>
      <c r="D94" s="78">
        <f t="shared" si="9"/>
        <v>0</v>
      </c>
      <c r="E94" s="78">
        <f t="shared" si="10"/>
        <v>1</v>
      </c>
      <c r="F94" s="78">
        <f>SUMIFS('РО - зоны'!$H$8:$H$266,'РО - зоны'!$D$8:$D$266,B94)</f>
        <v>0</v>
      </c>
      <c r="G94" s="78">
        <f>SUMIFS('РО - зоны'!$I$8:$I$266,'РО - зоны'!$D$8:$D$266,B94)/2</f>
        <v>0</v>
      </c>
      <c r="H94" s="78">
        <f>SUMIFS('РО - зоны'!$J$8:$J$266,'РО - зоны'!$D$8:$D$266,B94)</f>
        <v>1</v>
      </c>
      <c r="I94" s="80" t="str">
        <f t="shared" si="11"/>
        <v>0 / 0 / 1 из 1</v>
      </c>
      <c r="J94" s="81">
        <v>0</v>
      </c>
      <c r="K94" s="80" t="str">
        <f t="shared" si="12"/>
        <v>не требуется</v>
      </c>
      <c r="L94" s="81">
        <f t="shared" si="13"/>
        <v>0</v>
      </c>
      <c r="M94" s="46" t="str">
        <f t="shared" si="14"/>
        <v>Из 1 РО 1 в зеленой зоне, 0 - в желтой, 0 - в красной</v>
      </c>
      <c r="N94" s="46" t="str">
        <f t="shared" si="15"/>
        <v>Дорожная карта не требуется</v>
      </c>
    </row>
    <row r="95" spans="2:14">
      <c r="B95" s="79" t="s">
        <v>128</v>
      </c>
      <c r="C95" s="78">
        <f t="shared" si="8"/>
        <v>1</v>
      </c>
      <c r="D95" s="78">
        <f t="shared" si="9"/>
        <v>1</v>
      </c>
      <c r="E95" s="78">
        <f t="shared" si="10"/>
        <v>4</v>
      </c>
      <c r="F95" s="78">
        <f>SUMIFS('РО - зоны'!$H$8:$H$266,'РО - зоны'!$D$8:$D$266,B95)</f>
        <v>1</v>
      </c>
      <c r="G95" s="78">
        <f>SUMIFS('РО - зоны'!$I$8:$I$266,'РО - зоны'!$D$8:$D$266,B95)/2</f>
        <v>0</v>
      </c>
      <c r="H95" s="78">
        <f>SUMIFS('РО - зоны'!$J$8:$J$266,'РО - зоны'!$D$8:$D$266,B95)</f>
        <v>5</v>
      </c>
      <c r="I95" s="80" t="str">
        <f t="shared" si="11"/>
        <v>0 / 1 / 4 из 5</v>
      </c>
      <c r="J95" s="81">
        <v>0</v>
      </c>
      <c r="K95" s="80" t="str">
        <f t="shared" si="12"/>
        <v>не подписана</v>
      </c>
      <c r="L95" s="81">
        <f t="shared" si="13"/>
        <v>2</v>
      </c>
      <c r="M95" s="46" t="str">
        <f t="shared" si="14"/>
        <v>Из 5 РО 4 в зеленой зоне, 1 - в желтой, 0 - в красной</v>
      </c>
      <c r="N95" s="46" t="str">
        <f t="shared" si="15"/>
        <v>Дорожная карта не подписана</v>
      </c>
    </row>
    <row r="96" spans="2:14">
      <c r="B96" s="79" t="s">
        <v>145</v>
      </c>
      <c r="C96" s="78">
        <f t="shared" si="8"/>
        <v>1</v>
      </c>
      <c r="D96" s="78">
        <f t="shared" si="9"/>
        <v>1</v>
      </c>
      <c r="E96" s="78">
        <f t="shared" si="10"/>
        <v>2</v>
      </c>
      <c r="F96" s="78">
        <f>SUMIFS('РО - зоны'!$H$8:$H$266,'РО - зоны'!$D$8:$D$266,B96)</f>
        <v>1</v>
      </c>
      <c r="G96" s="78">
        <f>SUMIFS('РО - зоны'!$I$8:$I$266,'РО - зоны'!$D$8:$D$266,B96)/2</f>
        <v>0</v>
      </c>
      <c r="H96" s="78">
        <f>SUMIFS('РО - зоны'!$J$8:$J$266,'РО - зоны'!$D$8:$D$266,B96)</f>
        <v>3</v>
      </c>
      <c r="I96" s="80" t="str">
        <f t="shared" si="11"/>
        <v>0 / 1 / 2 из 3</v>
      </c>
      <c r="J96" s="81">
        <v>1</v>
      </c>
      <c r="K96" s="80" t="str">
        <f t="shared" si="12"/>
        <v>подписана</v>
      </c>
      <c r="L96" s="81">
        <f t="shared" si="13"/>
        <v>0</v>
      </c>
      <c r="M96" s="46" t="str">
        <f t="shared" si="14"/>
        <v>Из 3 РО 2 в зеленой зоне, 1 - в желтой, 0 - в красной</v>
      </c>
      <c r="N96" s="46" t="str">
        <f t="shared" si="15"/>
        <v>Дорожная карта подписана</v>
      </c>
    </row>
    <row r="97" spans="2:14">
      <c r="B97" s="79" t="s">
        <v>84</v>
      </c>
      <c r="C97" s="78">
        <f t="shared" si="8"/>
        <v>0</v>
      </c>
      <c r="D97" s="78">
        <f t="shared" si="9"/>
        <v>0</v>
      </c>
      <c r="E97" s="78">
        <f t="shared" si="10"/>
        <v>2</v>
      </c>
      <c r="F97" s="78">
        <f>SUMIFS('РО - зоны'!$H$8:$H$266,'РО - зоны'!$D$8:$D$266,B97)</f>
        <v>0</v>
      </c>
      <c r="G97" s="78">
        <f>SUMIFS('РО - зоны'!$I$8:$I$266,'РО - зоны'!$D$8:$D$266,B97)/2</f>
        <v>0</v>
      </c>
      <c r="H97" s="78">
        <f>SUMIFS('РО - зоны'!$J$8:$J$266,'РО - зоны'!$D$8:$D$266,B97)</f>
        <v>2</v>
      </c>
      <c r="I97" s="80" t="str">
        <f t="shared" si="11"/>
        <v>0 / 0 / 2 из 2</v>
      </c>
      <c r="J97" s="81">
        <v>0</v>
      </c>
      <c r="K97" s="80" t="str">
        <f t="shared" si="12"/>
        <v>не требуется</v>
      </c>
      <c r="L97" s="81">
        <f t="shared" si="13"/>
        <v>0</v>
      </c>
      <c r="M97" s="46" t="str">
        <f t="shared" si="14"/>
        <v>Из 2 РО 2 в зеленой зоне, 0 - в желтой, 0 - в красной</v>
      </c>
      <c r="N97" s="46" t="str">
        <f t="shared" si="15"/>
        <v>Дорожная карта не требуется</v>
      </c>
    </row>
    <row r="98" spans="2:14">
      <c r="B98" s="79" t="s">
        <v>163</v>
      </c>
      <c r="C98" s="78">
        <f t="shared" si="8"/>
        <v>1</v>
      </c>
      <c r="D98" s="78">
        <f t="shared" si="9"/>
        <v>1</v>
      </c>
      <c r="E98" s="78">
        <f t="shared" si="10"/>
        <v>0</v>
      </c>
      <c r="F98" s="78">
        <f>SUMIFS('РО - зоны'!$H$8:$H$266,'РО - зоны'!$D$8:$D$266,B98)</f>
        <v>1</v>
      </c>
      <c r="G98" s="78">
        <f>SUMIFS('РО - зоны'!$I$8:$I$266,'РО - зоны'!$D$8:$D$266,B98)/2</f>
        <v>0</v>
      </c>
      <c r="H98" s="78">
        <f>SUMIFS('РО - зоны'!$J$8:$J$266,'РО - зоны'!$D$8:$D$266,B98)</f>
        <v>1</v>
      </c>
      <c r="I98" s="80" t="str">
        <f t="shared" si="11"/>
        <v>0 / 1 / 0 из 1</v>
      </c>
      <c r="J98" s="81">
        <v>0</v>
      </c>
      <c r="K98" s="80" t="str">
        <f t="shared" si="12"/>
        <v>не подписана</v>
      </c>
      <c r="L98" s="81">
        <f t="shared" si="13"/>
        <v>2</v>
      </c>
      <c r="M98" s="46" t="str">
        <f t="shared" si="14"/>
        <v>Из 1 РО 0 в зеленой зоне, 1 - в желтой, 0 - в красной</v>
      </c>
      <c r="N98" s="46" t="str">
        <f t="shared" si="15"/>
        <v>Дорожная карта не подписана</v>
      </c>
    </row>
    <row r="99" spans="2:14">
      <c r="B99" s="79" t="s">
        <v>79</v>
      </c>
      <c r="C99" s="78">
        <f t="shared" si="8"/>
        <v>1</v>
      </c>
      <c r="D99" s="78">
        <f t="shared" si="9"/>
        <v>1</v>
      </c>
      <c r="E99" s="78">
        <f t="shared" si="10"/>
        <v>3</v>
      </c>
      <c r="F99" s="78">
        <f>SUMIFS('РО - зоны'!$H$8:$H$266,'РО - зоны'!$D$8:$D$266,B99)</f>
        <v>2</v>
      </c>
      <c r="G99" s="78">
        <f>SUMIFS('РО - зоны'!$I$8:$I$266,'РО - зоны'!$D$8:$D$266,B99)/2</f>
        <v>0</v>
      </c>
      <c r="H99" s="78">
        <f>SUMIFS('РО - зоны'!$J$8:$J$266,'РО - зоны'!$D$8:$D$266,B99)</f>
        <v>5</v>
      </c>
      <c r="I99" s="80" t="str">
        <f t="shared" si="11"/>
        <v>0 / 2 / 3 из 5</v>
      </c>
      <c r="J99" s="81">
        <v>1</v>
      </c>
      <c r="K99" s="80" t="str">
        <f t="shared" si="12"/>
        <v>подписана</v>
      </c>
      <c r="L99" s="81">
        <f t="shared" si="13"/>
        <v>2</v>
      </c>
      <c r="M99" s="46" t="str">
        <f t="shared" si="14"/>
        <v>Из 5 РО 3 в зеленой зоне, 2 - в желтой, 0 - в красной</v>
      </c>
      <c r="N99" s="46" t="str">
        <f t="shared" si="15"/>
        <v>Дорожная карта подписана</v>
      </c>
    </row>
    <row r="100" spans="2:14">
      <c r="B100" s="79" t="s">
        <v>117</v>
      </c>
      <c r="C100" s="78">
        <f t="shared" si="8"/>
        <v>1</v>
      </c>
      <c r="D100" s="78">
        <f t="shared" si="9"/>
        <v>1</v>
      </c>
      <c r="E100" s="78">
        <f t="shared" si="10"/>
        <v>0</v>
      </c>
      <c r="F100" s="78">
        <f>SUMIFS('РО - зоны'!$H$8:$H$266,'РО - зоны'!$D$8:$D$266,B100)</f>
        <v>1</v>
      </c>
      <c r="G100" s="78">
        <f>SUMIFS('РО - зоны'!$I$8:$I$266,'РО - зоны'!$D$8:$D$266,B100)/2</f>
        <v>0</v>
      </c>
      <c r="H100" s="78">
        <f>SUMIFS('РО - зоны'!$J$8:$J$266,'РО - зоны'!$D$8:$D$266,B100)</f>
        <v>1</v>
      </c>
      <c r="I100" s="80" t="str">
        <f t="shared" si="11"/>
        <v>0 / 1 / 0 из 1</v>
      </c>
      <c r="J100" s="81">
        <v>0</v>
      </c>
      <c r="K100" s="80" t="str">
        <f t="shared" si="12"/>
        <v>не подписана</v>
      </c>
      <c r="L100" s="81">
        <f t="shared" si="13"/>
        <v>2</v>
      </c>
      <c r="M100" s="46" t="str">
        <f t="shared" si="14"/>
        <v>Из 1 РО 0 в зеленой зоне, 1 - в желтой, 0 - в красной</v>
      </c>
      <c r="N100" s="46" t="str">
        <f t="shared" si="15"/>
        <v>Дорожная карта не подписана</v>
      </c>
    </row>
    <row r="101" spans="2:14">
      <c r="B101" s="79" t="s">
        <v>82</v>
      </c>
      <c r="C101" s="78">
        <f t="shared" si="8"/>
        <v>0</v>
      </c>
      <c r="D101" s="78">
        <f t="shared" si="9"/>
        <v>0</v>
      </c>
      <c r="E101" s="78">
        <f t="shared" si="10"/>
        <v>1</v>
      </c>
      <c r="F101" s="78">
        <f>SUMIFS('РО - зоны'!$H$8:$H$266,'РО - зоны'!$D$8:$D$266,B101)</f>
        <v>0</v>
      </c>
      <c r="G101" s="78">
        <f>SUMIFS('РО - зоны'!$I$8:$I$266,'РО - зоны'!$D$8:$D$266,B101)/2</f>
        <v>0</v>
      </c>
      <c r="H101" s="78">
        <f>SUMIFS('РО - зоны'!$J$8:$J$266,'РО - зоны'!$D$8:$D$266,B101)</f>
        <v>1</v>
      </c>
      <c r="I101" s="80" t="str">
        <f t="shared" si="11"/>
        <v>0 / 0 / 1 из 1</v>
      </c>
      <c r="J101" s="81">
        <v>0</v>
      </c>
      <c r="K101" s="80" t="str">
        <f t="shared" si="12"/>
        <v>не требуется</v>
      </c>
      <c r="L101" s="81">
        <f t="shared" si="13"/>
        <v>0</v>
      </c>
      <c r="M101" s="46" t="str">
        <f t="shared" si="14"/>
        <v>Из 1 РО 1 в зеленой зоне, 0 - в желтой, 0 - в красной</v>
      </c>
      <c r="N101" s="46" t="str">
        <f t="shared" si="15"/>
        <v>Дорожная карта не требуется</v>
      </c>
    </row>
    <row r="102" spans="2:14">
      <c r="B102" s="79" t="s">
        <v>149</v>
      </c>
      <c r="C102" s="78">
        <f t="shared" si="8"/>
        <v>1</v>
      </c>
      <c r="D102" s="78">
        <f t="shared" si="9"/>
        <v>1</v>
      </c>
      <c r="E102" s="78">
        <f t="shared" si="10"/>
        <v>3</v>
      </c>
      <c r="F102" s="78">
        <f>SUMIFS('РО - зоны'!$H$8:$H$266,'РО - зоны'!$D$8:$D$266,B102)</f>
        <v>18</v>
      </c>
      <c r="G102" s="78">
        <f>SUMIFS('РО - зоны'!$I$8:$I$266,'РО - зоны'!$D$8:$D$266,B102)/2</f>
        <v>0</v>
      </c>
      <c r="H102" s="78">
        <f>SUMIFS('РО - зоны'!$J$8:$J$266,'РО - зоны'!$D$8:$D$266,B102)</f>
        <v>21</v>
      </c>
      <c r="I102" s="80" t="str">
        <f t="shared" si="11"/>
        <v>0 / 18 / 3 из 21</v>
      </c>
      <c r="J102" s="81">
        <v>0</v>
      </c>
      <c r="K102" s="80" t="str">
        <f t="shared" si="12"/>
        <v>не подписана</v>
      </c>
      <c r="L102" s="81">
        <f t="shared" si="13"/>
        <v>2</v>
      </c>
      <c r="M102" s="46" t="str">
        <f t="shared" si="14"/>
        <v>Из 21 РО 3 в зеленой зоне, 18 - в желтой, 0 - в красной</v>
      </c>
      <c r="N102" s="46" t="str">
        <f t="shared" si="15"/>
        <v>Дорожная карта не подписана</v>
      </c>
    </row>
    <row r="103" spans="2:14">
      <c r="B103" s="79" t="s">
        <v>114</v>
      </c>
      <c r="C103" s="78">
        <f t="shared" si="8"/>
        <v>0</v>
      </c>
      <c r="D103" s="78">
        <f t="shared" si="9"/>
        <v>0</v>
      </c>
      <c r="E103" s="78">
        <f t="shared" si="10"/>
        <v>1</v>
      </c>
      <c r="F103" s="78">
        <f>SUMIFS('РО - зоны'!$H$8:$H$266,'РО - зоны'!$D$8:$D$266,B103)</f>
        <v>0</v>
      </c>
      <c r="G103" s="78">
        <f>SUMIFS('РО - зоны'!$I$8:$I$266,'РО - зоны'!$D$8:$D$266,B103)/2</f>
        <v>0</v>
      </c>
      <c r="H103" s="78">
        <f>SUMIFS('РО - зоны'!$J$8:$J$266,'РО - зоны'!$D$8:$D$266,B103)</f>
        <v>1</v>
      </c>
      <c r="I103" s="80" t="str">
        <f t="shared" si="11"/>
        <v>0 / 0 / 1 из 1</v>
      </c>
      <c r="J103" s="81">
        <v>0</v>
      </c>
      <c r="K103" s="80" t="str">
        <f t="shared" si="12"/>
        <v>не требуется</v>
      </c>
      <c r="L103" s="81">
        <f t="shared" si="13"/>
        <v>0</v>
      </c>
      <c r="M103" s="46" t="str">
        <f t="shared" si="14"/>
        <v>Из 1 РО 1 в зеленой зоне, 0 - в желтой, 0 - в красной</v>
      </c>
      <c r="N103" s="46" t="str">
        <f t="shared" si="15"/>
        <v>Дорожная карта не требуется</v>
      </c>
    </row>
    <row r="104" spans="2:14">
      <c r="B104" s="79" t="s">
        <v>80</v>
      </c>
      <c r="C104" s="78">
        <f t="shared" si="8"/>
        <v>0</v>
      </c>
      <c r="D104" s="78">
        <f t="shared" si="9"/>
        <v>0</v>
      </c>
      <c r="E104" s="78">
        <f t="shared" si="10"/>
        <v>1</v>
      </c>
      <c r="F104" s="78">
        <f>SUMIFS('РО - зоны'!$H$8:$H$266,'РО - зоны'!$D$8:$D$266,B104)</f>
        <v>0</v>
      </c>
      <c r="G104" s="78">
        <f>SUMIFS('РО - зоны'!$I$8:$I$266,'РО - зоны'!$D$8:$D$266,B104)/2</f>
        <v>0</v>
      </c>
      <c r="H104" s="78">
        <f>SUMIFS('РО - зоны'!$J$8:$J$266,'РО - зоны'!$D$8:$D$266,B104)</f>
        <v>1</v>
      </c>
      <c r="I104" s="80" t="str">
        <f t="shared" si="11"/>
        <v>0 / 0 / 1 из 1</v>
      </c>
      <c r="J104" s="81">
        <v>0</v>
      </c>
      <c r="K104" s="80" t="str">
        <f t="shared" si="12"/>
        <v>не требуется</v>
      </c>
      <c r="L104" s="81">
        <f t="shared" si="13"/>
        <v>0</v>
      </c>
      <c r="M104" s="46" t="str">
        <f t="shared" si="14"/>
        <v>Из 1 РО 1 в зеленой зоне, 0 - в желтой, 0 - в красной</v>
      </c>
      <c r="N104" s="46" t="str">
        <f t="shared" si="15"/>
        <v>Дорожная карта не требуется</v>
      </c>
    </row>
    <row r="107" spans="2:2">
      <c r="B107" s="79"/>
    </row>
  </sheetData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6"/>
  <dimension ref="A2:S108"/>
  <sheetViews>
    <sheetView workbookViewId="0">
      <pane xSplit="2" ySplit="15" topLeftCell="C16" activePane="bottomRight" state="frozen"/>
      <selection/>
      <selection pane="topRight"/>
      <selection pane="bottomLeft"/>
      <selection pane="bottomRight" activeCell="C16" sqref="C16:C104"/>
    </sheetView>
  </sheetViews>
  <sheetFormatPr defaultColWidth="10.8583333333333" defaultRowHeight="15.6"/>
  <cols>
    <col min="1" max="1" width="10.8583333333333" style="6"/>
    <col min="2" max="2" width="30.6416666666667" style="6" customWidth="1"/>
    <col min="3" max="7" width="13.5" style="7" customWidth="1"/>
    <col min="8" max="8" width="15" style="7" customWidth="1"/>
    <col min="9" max="9" width="34.8583333333333" customWidth="1"/>
    <col min="10" max="10" width="18.3583333333333" style="70" customWidth="1"/>
  </cols>
  <sheetData>
    <row r="2" spans="2:2">
      <c r="B2" s="4" t="s">
        <v>209</v>
      </c>
    </row>
    <row r="4" s="4" customFormat="1" spans="2:19">
      <c r="B4" s="4" t="s">
        <v>170</v>
      </c>
      <c r="C4" s="12" t="s">
        <v>171</v>
      </c>
      <c r="D4" s="12"/>
      <c r="E4" s="12"/>
      <c r="F4" s="13"/>
      <c r="G4" s="13"/>
      <c r="H4" s="12"/>
      <c r="I4" s="12"/>
      <c r="J4" s="14"/>
      <c r="K4" s="14"/>
      <c r="L4" s="14"/>
      <c r="M4" s="28"/>
      <c r="N4" s="28"/>
      <c r="O4" s="28"/>
      <c r="P4" s="28"/>
      <c r="Q4" s="28"/>
      <c r="R4" s="28"/>
      <c r="S4" s="28"/>
    </row>
    <row r="5" s="6" customFormat="1" ht="15" spans="2:19">
      <c r="B5" s="6" t="s">
        <v>210</v>
      </c>
      <c r="C5" s="15">
        <v>47757</v>
      </c>
      <c r="D5" s="7"/>
      <c r="E5" s="7"/>
      <c r="F5" s="8"/>
      <c r="G5" s="8"/>
      <c r="H5" s="7"/>
      <c r="I5" s="7"/>
      <c r="J5" s="9"/>
      <c r="K5" s="9"/>
      <c r="L5" s="9"/>
      <c r="M5" s="11"/>
      <c r="N5" s="11"/>
      <c r="O5" s="11"/>
      <c r="P5" s="11"/>
      <c r="Q5" s="11"/>
      <c r="R5" s="11"/>
      <c r="S5" s="11"/>
    </row>
    <row r="7" spans="2:8">
      <c r="B7" s="6" t="s">
        <v>173</v>
      </c>
      <c r="H7" s="71"/>
    </row>
    <row r="8" spans="2:8">
      <c r="B8" s="6" t="s">
        <v>174</v>
      </c>
      <c r="D8" s="11">
        <v>1.5</v>
      </c>
      <c r="E8" s="11"/>
      <c r="H8" s="71">
        <f>H10*2</f>
        <v>0.183728448275862</v>
      </c>
    </row>
    <row r="9" spans="2:8">
      <c r="B9" s="6" t="s">
        <v>175</v>
      </c>
      <c r="D9" s="11">
        <v>0.5</v>
      </c>
      <c r="E9" s="11"/>
      <c r="H9" s="71"/>
    </row>
    <row r="10" spans="2:8">
      <c r="B10" s="6" t="s">
        <v>176</v>
      </c>
      <c r="H10" s="71">
        <f>H15</f>
        <v>0.091864224137931</v>
      </c>
    </row>
    <row r="11" spans="2:8">
      <c r="B11" s="6" t="s">
        <v>177</v>
      </c>
      <c r="C11" s="17"/>
      <c r="F11" s="17">
        <f>1/3</f>
        <v>0.333333333333333</v>
      </c>
      <c r="G11" s="17"/>
      <c r="H11" s="71"/>
    </row>
    <row r="12" spans="3:8">
      <c r="C12" s="17"/>
      <c r="F12" s="17"/>
      <c r="G12" s="17"/>
      <c r="H12" s="71"/>
    </row>
    <row r="14" ht="30" spans="1:10">
      <c r="A14" s="5"/>
      <c r="B14" s="5" t="s">
        <v>2</v>
      </c>
      <c r="C14" s="19" t="s">
        <v>178</v>
      </c>
      <c r="D14" s="19" t="s">
        <v>179</v>
      </c>
      <c r="E14" s="19" t="s">
        <v>54</v>
      </c>
      <c r="F14" s="19" t="s">
        <v>55</v>
      </c>
      <c r="G14" s="19" t="s">
        <v>211</v>
      </c>
      <c r="H14" s="19" t="s">
        <v>212</v>
      </c>
      <c r="I14" s="19" t="s">
        <v>213</v>
      </c>
      <c r="J14" s="19" t="s">
        <v>214</v>
      </c>
    </row>
    <row r="15" spans="1:10">
      <c r="A15" s="5"/>
      <c r="B15" s="5" t="s">
        <v>182</v>
      </c>
      <c r="C15" s="22"/>
      <c r="D15" s="22"/>
      <c r="E15" s="22">
        <f>SUM(E16:E104)</f>
        <v>25984</v>
      </c>
      <c r="F15" s="22">
        <f t="shared" ref="F15:G15" si="0">SUM(F16:F104)</f>
        <v>23597</v>
      </c>
      <c r="G15" s="22">
        <f t="shared" si="0"/>
        <v>2387</v>
      </c>
      <c r="H15" s="72">
        <f>G15/(F15+G15)</f>
        <v>0.091864224137931</v>
      </c>
      <c r="J15" s="70" t="str">
        <f>_xlfn.TEXTJOIN(,0,E15,"/",F15)</f>
        <v>25984/23597</v>
      </c>
    </row>
    <row r="16" spans="2:10">
      <c r="B16" s="25" t="s">
        <v>146</v>
      </c>
      <c r="C16" s="22">
        <f t="shared" ref="C16:C79" si="1">IF(OR(H16=2,D16&gt;$D$8),2,IF(OR(H16=1,D16&gt;$D$9),1,0))</f>
        <v>1</v>
      </c>
      <c r="D16" s="22">
        <f>IF(H16&gt;$H$8,2,IF(H16&gt;$H$10,1,0))</f>
        <v>1</v>
      </c>
      <c r="E16" s="22">
        <f>F16+G16</f>
        <v>401</v>
      </c>
      <c r="F16" s="73">
        <v>352</v>
      </c>
      <c r="G16" s="73">
        <v>49</v>
      </c>
      <c r="H16" s="72">
        <f>G16/(F16+G16)</f>
        <v>0.122194513715711</v>
      </c>
      <c r="I16" t="str">
        <f>IF(H16&gt;0,_xlfn.TEXTJOIN(,0,"Дефицит спецтехники составляет ",TEXT(H16,"0%")),"Дефицит спецтехники не заявлен")</f>
        <v>Дефицит спецтехники составляет 12%</v>
      </c>
      <c r="J16" s="70" t="str">
        <f>_xlfn.TEXTJOIN(,0,E16,"/",F16,"/",G16," (",TEXT(H16,"0%"),")")</f>
        <v>401/352/49 (12%)</v>
      </c>
    </row>
    <row r="17" spans="2:10">
      <c r="B17" s="25" t="s">
        <v>150</v>
      </c>
      <c r="C17" s="22">
        <f t="shared" si="1"/>
        <v>0</v>
      </c>
      <c r="D17" s="22">
        <f t="shared" ref="D17:D80" si="2">IF(H17&gt;$H$8,2,IF(H17&gt;$H$10,1,0))</f>
        <v>0</v>
      </c>
      <c r="E17" s="22">
        <f t="shared" ref="E17:E80" si="3">F17+G17</f>
        <v>260</v>
      </c>
      <c r="F17" s="73">
        <v>260</v>
      </c>
      <c r="G17" s="73"/>
      <c r="H17" s="72">
        <f t="shared" ref="H17:H80" si="4">G17/(F17+G17)</f>
        <v>0</v>
      </c>
      <c r="I17" t="str">
        <f t="shared" ref="I17:I80" si="5">IF(H17&gt;0,_xlfn.TEXTJOIN(,0,"Дефицит спецтехники составляет ",TEXT(H17,"0%")),"Дефицит спецтехники не заявлен")</f>
        <v>Дефицит спецтехники не заявлен</v>
      </c>
      <c r="J17" s="70" t="str">
        <f t="shared" ref="J17:J80" si="6">_xlfn.TEXTJOIN(,0,E17,"/",F17,"/",G17," (",TEXT(H17,"0%"),")")</f>
        <v>260/260/ (0%)</v>
      </c>
    </row>
    <row r="18" spans="2:10">
      <c r="B18" s="25" t="s">
        <v>133</v>
      </c>
      <c r="C18" s="22">
        <f t="shared" si="1"/>
        <v>1</v>
      </c>
      <c r="D18" s="22">
        <f t="shared" si="2"/>
        <v>1</v>
      </c>
      <c r="E18" s="22">
        <f t="shared" si="3"/>
        <v>256</v>
      </c>
      <c r="F18" s="73">
        <v>224</v>
      </c>
      <c r="G18" s="73">
        <v>32</v>
      </c>
      <c r="H18" s="72">
        <f t="shared" si="4"/>
        <v>0.125</v>
      </c>
      <c r="I18" t="str">
        <f t="shared" si="5"/>
        <v>Дефицит спецтехники составляет 13%</v>
      </c>
      <c r="J18" s="70" t="str">
        <f t="shared" si="6"/>
        <v>256/224/32 (13%)</v>
      </c>
    </row>
    <row r="19" spans="2:10">
      <c r="B19" s="25" t="s">
        <v>121</v>
      </c>
      <c r="C19" s="22">
        <f t="shared" si="1"/>
        <v>0</v>
      </c>
      <c r="D19" s="22">
        <f t="shared" si="2"/>
        <v>0</v>
      </c>
      <c r="E19" s="22">
        <f t="shared" si="3"/>
        <v>127</v>
      </c>
      <c r="F19" s="73">
        <v>127</v>
      </c>
      <c r="G19" s="73">
        <v>0</v>
      </c>
      <c r="H19" s="72">
        <f t="shared" si="4"/>
        <v>0</v>
      </c>
      <c r="I19" t="str">
        <f t="shared" si="5"/>
        <v>Дефицит спецтехники не заявлен</v>
      </c>
      <c r="J19" s="70" t="str">
        <f t="shared" si="6"/>
        <v>127/127/0 (0%)</v>
      </c>
    </row>
    <row r="20" spans="2:10">
      <c r="B20" s="25" t="s">
        <v>106</v>
      </c>
      <c r="C20" s="22">
        <f t="shared" si="1"/>
        <v>0</v>
      </c>
      <c r="D20" s="22">
        <f t="shared" si="2"/>
        <v>0</v>
      </c>
      <c r="E20" s="22">
        <f t="shared" si="3"/>
        <v>242</v>
      </c>
      <c r="F20" s="73">
        <v>223</v>
      </c>
      <c r="G20" s="73">
        <v>19</v>
      </c>
      <c r="H20" s="72">
        <f t="shared" si="4"/>
        <v>0.0785123966942149</v>
      </c>
      <c r="I20" t="str">
        <f t="shared" si="5"/>
        <v>Дефицит спецтехники составляет 8%</v>
      </c>
      <c r="J20" s="70" t="str">
        <f t="shared" si="6"/>
        <v>242/223/19 (8%)</v>
      </c>
    </row>
    <row r="21" spans="2:10">
      <c r="B21" s="25" t="s">
        <v>91</v>
      </c>
      <c r="C21" s="22">
        <f t="shared" si="1"/>
        <v>0</v>
      </c>
      <c r="D21" s="22">
        <f t="shared" si="2"/>
        <v>0</v>
      </c>
      <c r="E21" s="22">
        <f t="shared" si="3"/>
        <v>234</v>
      </c>
      <c r="F21" s="73">
        <v>227</v>
      </c>
      <c r="G21" s="73">
        <v>7</v>
      </c>
      <c r="H21" s="72">
        <f t="shared" si="4"/>
        <v>0.0299145299145299</v>
      </c>
      <c r="I21" t="str">
        <f t="shared" si="5"/>
        <v>Дефицит спецтехники составляет 3%</v>
      </c>
      <c r="J21" s="70" t="str">
        <f t="shared" si="6"/>
        <v>234/227/7 (3%)</v>
      </c>
    </row>
    <row r="22" spans="2:10">
      <c r="B22" s="25" t="s">
        <v>113</v>
      </c>
      <c r="C22" s="22">
        <f t="shared" si="1"/>
        <v>0</v>
      </c>
      <c r="D22" s="22">
        <f t="shared" si="2"/>
        <v>0</v>
      </c>
      <c r="E22" s="22">
        <f t="shared" si="3"/>
        <v>258</v>
      </c>
      <c r="F22" s="73">
        <v>249</v>
      </c>
      <c r="G22" s="73">
        <v>9</v>
      </c>
      <c r="H22" s="72">
        <f t="shared" si="4"/>
        <v>0.0348837209302326</v>
      </c>
      <c r="I22" t="str">
        <f t="shared" si="5"/>
        <v>Дефицит спецтехники составляет 3%</v>
      </c>
      <c r="J22" s="70" t="str">
        <f t="shared" si="6"/>
        <v>258/249/9 (3%)</v>
      </c>
    </row>
    <row r="23" spans="2:10">
      <c r="B23" s="25" t="s">
        <v>86</v>
      </c>
      <c r="C23" s="22">
        <f t="shared" si="1"/>
        <v>0</v>
      </c>
      <c r="D23" s="22">
        <f t="shared" si="2"/>
        <v>0</v>
      </c>
      <c r="E23" s="22">
        <f t="shared" si="3"/>
        <v>244</v>
      </c>
      <c r="F23" s="73">
        <v>231</v>
      </c>
      <c r="G23" s="73">
        <v>13</v>
      </c>
      <c r="H23" s="72">
        <f t="shared" si="4"/>
        <v>0.0532786885245902</v>
      </c>
      <c r="I23" t="str">
        <f t="shared" si="5"/>
        <v>Дефицит спецтехники составляет 5%</v>
      </c>
      <c r="J23" s="70" t="str">
        <f t="shared" si="6"/>
        <v>244/231/13 (5%)</v>
      </c>
    </row>
    <row r="24" spans="2:10">
      <c r="B24" s="25" t="s">
        <v>107</v>
      </c>
      <c r="C24" s="22">
        <f t="shared" si="1"/>
        <v>0</v>
      </c>
      <c r="D24" s="22">
        <f t="shared" si="2"/>
        <v>0</v>
      </c>
      <c r="E24" s="22">
        <f t="shared" si="3"/>
        <v>212</v>
      </c>
      <c r="F24" s="73">
        <v>203</v>
      </c>
      <c r="G24" s="73">
        <v>9</v>
      </c>
      <c r="H24" s="72">
        <f t="shared" si="4"/>
        <v>0.0424528301886792</v>
      </c>
      <c r="I24" t="str">
        <f t="shared" si="5"/>
        <v>Дефицит спецтехники составляет 4%</v>
      </c>
      <c r="J24" s="70" t="str">
        <f t="shared" si="6"/>
        <v>212/203/9 (4%)</v>
      </c>
    </row>
    <row r="25" spans="2:10">
      <c r="B25" s="25" t="s">
        <v>137</v>
      </c>
      <c r="C25" s="22">
        <f t="shared" si="1"/>
        <v>0</v>
      </c>
      <c r="D25" s="22">
        <f t="shared" si="2"/>
        <v>0</v>
      </c>
      <c r="E25" s="22">
        <f t="shared" si="3"/>
        <v>535</v>
      </c>
      <c r="F25" s="73">
        <v>516</v>
      </c>
      <c r="G25" s="73">
        <v>19</v>
      </c>
      <c r="H25" s="72">
        <f t="shared" si="4"/>
        <v>0.0355140186915888</v>
      </c>
      <c r="I25" t="str">
        <f t="shared" si="5"/>
        <v>Дефицит спецтехники составляет 4%</v>
      </c>
      <c r="J25" s="70" t="str">
        <f t="shared" si="6"/>
        <v>535/516/19 (4%)</v>
      </c>
    </row>
    <row r="26" spans="2:10">
      <c r="B26" s="25" t="s">
        <v>68</v>
      </c>
      <c r="C26" s="22">
        <f t="shared" si="1"/>
        <v>0</v>
      </c>
      <c r="D26" s="22">
        <f t="shared" si="2"/>
        <v>0</v>
      </c>
      <c r="E26" s="22">
        <f t="shared" si="3"/>
        <v>1502</v>
      </c>
      <c r="F26" s="73">
        <v>1502</v>
      </c>
      <c r="G26" s="73">
        <v>0</v>
      </c>
      <c r="H26" s="72">
        <f t="shared" si="4"/>
        <v>0</v>
      </c>
      <c r="I26" t="str">
        <f t="shared" si="5"/>
        <v>Дефицит спецтехники не заявлен</v>
      </c>
      <c r="J26" s="70" t="str">
        <f t="shared" si="6"/>
        <v>1502/1502/0 (0%)</v>
      </c>
    </row>
    <row r="27" spans="2:10">
      <c r="B27" s="25" t="s">
        <v>71</v>
      </c>
      <c r="C27" s="22">
        <f t="shared" si="1"/>
        <v>0</v>
      </c>
      <c r="D27" s="22">
        <f t="shared" si="2"/>
        <v>0</v>
      </c>
      <c r="E27" s="22">
        <f t="shared" si="3"/>
        <v>869</v>
      </c>
      <c r="F27" s="73">
        <v>869</v>
      </c>
      <c r="G27" s="73"/>
      <c r="H27" s="72">
        <f t="shared" si="4"/>
        <v>0</v>
      </c>
      <c r="I27" t="str">
        <f t="shared" si="5"/>
        <v>Дефицит спецтехники не заявлен</v>
      </c>
      <c r="J27" s="70" t="str">
        <f t="shared" si="6"/>
        <v>869/869/ (0%)</v>
      </c>
    </row>
    <row r="28" spans="2:10">
      <c r="B28" s="25" t="s">
        <v>118</v>
      </c>
      <c r="C28" s="22">
        <f t="shared" si="1"/>
        <v>0</v>
      </c>
      <c r="D28" s="22">
        <f t="shared" si="2"/>
        <v>0</v>
      </c>
      <c r="E28" s="22">
        <f t="shared" si="3"/>
        <v>74</v>
      </c>
      <c r="F28" s="73">
        <v>74</v>
      </c>
      <c r="G28" s="73"/>
      <c r="H28" s="72">
        <f t="shared" si="4"/>
        <v>0</v>
      </c>
      <c r="I28" t="str">
        <f t="shared" si="5"/>
        <v>Дефицит спецтехники не заявлен</v>
      </c>
      <c r="J28" s="70" t="str">
        <f t="shared" si="6"/>
        <v>74/74/ (0%)</v>
      </c>
    </row>
    <row r="29" spans="2:10">
      <c r="B29" s="25" t="s">
        <v>160</v>
      </c>
      <c r="C29" s="22">
        <f t="shared" si="1"/>
        <v>2</v>
      </c>
      <c r="D29" s="22">
        <f t="shared" si="2"/>
        <v>2</v>
      </c>
      <c r="E29" s="22">
        <f t="shared" si="3"/>
        <v>415</v>
      </c>
      <c r="F29" s="73">
        <v>321</v>
      </c>
      <c r="G29" s="73">
        <v>94</v>
      </c>
      <c r="H29" s="72">
        <f t="shared" si="4"/>
        <v>0.226506024096386</v>
      </c>
      <c r="I29" t="str">
        <f t="shared" si="5"/>
        <v>Дефицит спецтехники составляет 23%</v>
      </c>
      <c r="J29" s="70" t="str">
        <f t="shared" si="6"/>
        <v>415/321/94 (23%)</v>
      </c>
    </row>
    <row r="30" spans="2:10">
      <c r="B30" s="25" t="s">
        <v>131</v>
      </c>
      <c r="C30" s="22">
        <f t="shared" si="1"/>
        <v>2</v>
      </c>
      <c r="D30" s="22">
        <f t="shared" si="2"/>
        <v>2</v>
      </c>
      <c r="E30" s="22">
        <f t="shared" si="3"/>
        <v>48</v>
      </c>
      <c r="F30" s="73">
        <v>33</v>
      </c>
      <c r="G30" s="73">
        <v>15</v>
      </c>
      <c r="H30" s="72">
        <f t="shared" si="4"/>
        <v>0.3125</v>
      </c>
      <c r="I30" t="str">
        <f t="shared" si="5"/>
        <v>Дефицит спецтехники составляет 31%</v>
      </c>
      <c r="J30" s="70" t="str">
        <f t="shared" si="6"/>
        <v>48/33/15 (31%)</v>
      </c>
    </row>
    <row r="31" spans="2:10">
      <c r="B31" s="25" t="s">
        <v>155</v>
      </c>
      <c r="C31" s="22">
        <f t="shared" si="1"/>
        <v>0</v>
      </c>
      <c r="D31" s="22">
        <f t="shared" si="2"/>
        <v>0</v>
      </c>
      <c r="E31" s="22">
        <f t="shared" si="3"/>
        <v>115</v>
      </c>
      <c r="F31" s="73">
        <v>105</v>
      </c>
      <c r="G31" s="73">
        <v>10</v>
      </c>
      <c r="H31" s="72">
        <f t="shared" si="4"/>
        <v>0.0869565217391304</v>
      </c>
      <c r="I31" t="str">
        <f t="shared" si="5"/>
        <v>Дефицит спецтехники составляет 9%</v>
      </c>
      <c r="J31" s="70" t="str">
        <f t="shared" si="6"/>
        <v>115/105/10 (9%)</v>
      </c>
    </row>
    <row r="32" spans="2:10">
      <c r="B32" s="25" t="s">
        <v>161</v>
      </c>
      <c r="C32" s="22">
        <f t="shared" si="1"/>
        <v>1</v>
      </c>
      <c r="D32" s="22">
        <f t="shared" si="2"/>
        <v>1</v>
      </c>
      <c r="E32" s="22">
        <f t="shared" si="3"/>
        <v>71</v>
      </c>
      <c r="F32" s="73">
        <v>59</v>
      </c>
      <c r="G32" s="73">
        <v>12</v>
      </c>
      <c r="H32" s="72">
        <f t="shared" si="4"/>
        <v>0.169014084507042</v>
      </c>
      <c r="I32" t="str">
        <f t="shared" si="5"/>
        <v>Дефицит спецтехники составляет 17%</v>
      </c>
      <c r="J32" s="70" t="str">
        <f t="shared" si="6"/>
        <v>71/59/12 (17%)</v>
      </c>
    </row>
    <row r="33" spans="2:10">
      <c r="B33" s="25" t="s">
        <v>81</v>
      </c>
      <c r="C33" s="22">
        <f t="shared" si="1"/>
        <v>0</v>
      </c>
      <c r="D33" s="22">
        <f t="shared" si="2"/>
        <v>0</v>
      </c>
      <c r="E33" s="22">
        <f t="shared" si="3"/>
        <v>221</v>
      </c>
      <c r="F33" s="73">
        <v>221</v>
      </c>
      <c r="G33" s="73">
        <v>0</v>
      </c>
      <c r="H33" s="72">
        <f t="shared" si="4"/>
        <v>0</v>
      </c>
      <c r="I33" t="str">
        <f t="shared" si="5"/>
        <v>Дефицит спецтехники не заявлен</v>
      </c>
      <c r="J33" s="70" t="str">
        <f t="shared" si="6"/>
        <v>221/221/0 (0%)</v>
      </c>
    </row>
    <row r="34" spans="2:10">
      <c r="B34" s="25" t="s">
        <v>148</v>
      </c>
      <c r="C34" s="22">
        <f t="shared" si="1"/>
        <v>2</v>
      </c>
      <c r="D34" s="22">
        <f t="shared" si="2"/>
        <v>2</v>
      </c>
      <c r="E34" s="22">
        <f t="shared" si="3"/>
        <v>445</v>
      </c>
      <c r="F34" s="73">
        <v>355</v>
      </c>
      <c r="G34" s="73">
        <v>90</v>
      </c>
      <c r="H34" s="72">
        <f t="shared" si="4"/>
        <v>0.202247191011236</v>
      </c>
      <c r="I34" t="str">
        <f t="shared" si="5"/>
        <v>Дефицит спецтехники составляет 20%</v>
      </c>
      <c r="J34" s="70" t="str">
        <f t="shared" si="6"/>
        <v>445/355/90 (20%)</v>
      </c>
    </row>
    <row r="35" spans="2:10">
      <c r="B35" s="25" t="s">
        <v>126</v>
      </c>
      <c r="C35" s="22">
        <f t="shared" si="1"/>
        <v>1</v>
      </c>
      <c r="D35" s="22">
        <f t="shared" si="2"/>
        <v>1</v>
      </c>
      <c r="E35" s="22">
        <f t="shared" si="3"/>
        <v>65</v>
      </c>
      <c r="F35" s="73">
        <v>56</v>
      </c>
      <c r="G35" s="73">
        <v>9</v>
      </c>
      <c r="H35" s="72">
        <f t="shared" si="4"/>
        <v>0.138461538461538</v>
      </c>
      <c r="I35" t="str">
        <f t="shared" si="5"/>
        <v>Дефицит спецтехники составляет 14%</v>
      </c>
      <c r="J35" s="70" t="str">
        <f t="shared" si="6"/>
        <v>65/56/9 (14%)</v>
      </c>
    </row>
    <row r="36" spans="2:10">
      <c r="B36" s="25" t="s">
        <v>119</v>
      </c>
      <c r="C36" s="22">
        <f t="shared" si="1"/>
        <v>2</v>
      </c>
      <c r="D36" s="22">
        <f t="shared" si="2"/>
        <v>2</v>
      </c>
      <c r="E36" s="22">
        <f t="shared" si="3"/>
        <v>259</v>
      </c>
      <c r="F36" s="73">
        <v>211</v>
      </c>
      <c r="G36" s="73">
        <v>48</v>
      </c>
      <c r="H36" s="72">
        <f t="shared" si="4"/>
        <v>0.185328185328185</v>
      </c>
      <c r="I36" t="str">
        <f t="shared" si="5"/>
        <v>Дефицит спецтехники составляет 19%</v>
      </c>
      <c r="J36" s="70" t="str">
        <f t="shared" si="6"/>
        <v>259/211/48 (19%)</v>
      </c>
    </row>
    <row r="37" spans="2:10">
      <c r="B37" s="25" t="s">
        <v>87</v>
      </c>
      <c r="C37" s="22">
        <f t="shared" si="1"/>
        <v>1</v>
      </c>
      <c r="D37" s="22">
        <f t="shared" si="2"/>
        <v>1</v>
      </c>
      <c r="E37" s="22">
        <f t="shared" si="3"/>
        <v>164</v>
      </c>
      <c r="F37" s="73">
        <v>142</v>
      </c>
      <c r="G37" s="73">
        <v>22</v>
      </c>
      <c r="H37" s="72">
        <f t="shared" si="4"/>
        <v>0.134146341463415</v>
      </c>
      <c r="I37" t="str">
        <f t="shared" si="5"/>
        <v>Дефицит спецтехники составляет 13%</v>
      </c>
      <c r="J37" s="70" t="str">
        <f t="shared" si="6"/>
        <v>164/142/22 (13%)</v>
      </c>
    </row>
    <row r="38" spans="2:10">
      <c r="B38" s="25" t="s">
        <v>134</v>
      </c>
      <c r="C38" s="22">
        <f t="shared" si="1"/>
        <v>2</v>
      </c>
      <c r="D38" s="22">
        <f t="shared" si="2"/>
        <v>2</v>
      </c>
      <c r="E38" s="22">
        <f t="shared" si="3"/>
        <v>171</v>
      </c>
      <c r="F38" s="73">
        <v>124</v>
      </c>
      <c r="G38" s="73">
        <v>47</v>
      </c>
      <c r="H38" s="72">
        <f t="shared" si="4"/>
        <v>0.274853801169591</v>
      </c>
      <c r="I38" t="str">
        <f t="shared" si="5"/>
        <v>Дефицит спецтехники составляет 27%</v>
      </c>
      <c r="J38" s="70" t="str">
        <f t="shared" si="6"/>
        <v>171/124/47 (27%)</v>
      </c>
    </row>
    <row r="39" spans="2:10">
      <c r="B39" s="25" t="s">
        <v>138</v>
      </c>
      <c r="C39" s="22">
        <f t="shared" si="1"/>
        <v>2</v>
      </c>
      <c r="D39" s="22">
        <f t="shared" si="2"/>
        <v>2</v>
      </c>
      <c r="E39" s="22">
        <f t="shared" si="3"/>
        <v>94</v>
      </c>
      <c r="F39" s="73">
        <v>70</v>
      </c>
      <c r="G39" s="73">
        <v>24</v>
      </c>
      <c r="H39" s="72">
        <f t="shared" si="4"/>
        <v>0.25531914893617</v>
      </c>
      <c r="I39" t="str">
        <f t="shared" si="5"/>
        <v>Дефицит спецтехники составляет 26%</v>
      </c>
      <c r="J39" s="70" t="str">
        <f t="shared" si="6"/>
        <v>94/70/24 (26%)</v>
      </c>
    </row>
    <row r="40" spans="2:10">
      <c r="B40" s="25" t="s">
        <v>109</v>
      </c>
      <c r="C40" s="22">
        <f t="shared" si="1"/>
        <v>0</v>
      </c>
      <c r="D40" s="22">
        <f t="shared" si="2"/>
        <v>0</v>
      </c>
      <c r="E40" s="22">
        <f t="shared" si="3"/>
        <v>292</v>
      </c>
      <c r="F40" s="73">
        <v>292</v>
      </c>
      <c r="G40" s="73"/>
      <c r="H40" s="72">
        <f t="shared" si="4"/>
        <v>0</v>
      </c>
      <c r="I40" t="str">
        <f t="shared" si="5"/>
        <v>Дефицит спецтехники не заявлен</v>
      </c>
      <c r="J40" s="70" t="str">
        <f t="shared" si="6"/>
        <v>292/292/ (0%)</v>
      </c>
    </row>
    <row r="41" spans="2:10">
      <c r="B41" s="25" t="s">
        <v>76</v>
      </c>
      <c r="C41" s="22">
        <f t="shared" si="1"/>
        <v>0</v>
      </c>
      <c r="D41" s="22">
        <f t="shared" si="2"/>
        <v>0</v>
      </c>
      <c r="E41" s="22">
        <f t="shared" si="3"/>
        <v>150</v>
      </c>
      <c r="F41" s="73">
        <v>150</v>
      </c>
      <c r="G41" s="73">
        <v>0</v>
      </c>
      <c r="H41" s="72">
        <f t="shared" si="4"/>
        <v>0</v>
      </c>
      <c r="I41" t="str">
        <f t="shared" si="5"/>
        <v>Дефицит спецтехники не заявлен</v>
      </c>
      <c r="J41" s="70" t="str">
        <f t="shared" si="6"/>
        <v>150/150/0 (0%)</v>
      </c>
    </row>
    <row r="42" spans="2:10">
      <c r="B42" s="25" t="s">
        <v>89</v>
      </c>
      <c r="C42" s="22">
        <f t="shared" si="1"/>
        <v>0</v>
      </c>
      <c r="D42" s="22">
        <f t="shared" si="2"/>
        <v>0</v>
      </c>
      <c r="E42" s="22">
        <f t="shared" si="3"/>
        <v>141</v>
      </c>
      <c r="F42" s="73">
        <v>136</v>
      </c>
      <c r="G42" s="73">
        <v>5</v>
      </c>
      <c r="H42" s="72">
        <f t="shared" si="4"/>
        <v>0.0354609929078014</v>
      </c>
      <c r="I42" t="str">
        <f t="shared" si="5"/>
        <v>Дефицит спецтехники составляет 4%</v>
      </c>
      <c r="J42" s="70" t="str">
        <f t="shared" si="6"/>
        <v>141/136/5 (4%)</v>
      </c>
    </row>
    <row r="43" spans="2:10">
      <c r="B43" s="25" t="s">
        <v>141</v>
      </c>
      <c r="C43" s="22">
        <f t="shared" si="1"/>
        <v>0</v>
      </c>
      <c r="D43" s="22">
        <f t="shared" si="2"/>
        <v>0</v>
      </c>
      <c r="E43" s="22">
        <f t="shared" si="3"/>
        <v>1042</v>
      </c>
      <c r="F43" s="73">
        <v>989</v>
      </c>
      <c r="G43" s="73">
        <v>53</v>
      </c>
      <c r="H43" s="72">
        <f t="shared" si="4"/>
        <v>0.0508637236084453</v>
      </c>
      <c r="I43" t="str">
        <f t="shared" si="5"/>
        <v>Дефицит спецтехники составляет 5%</v>
      </c>
      <c r="J43" s="70" t="str">
        <f t="shared" si="6"/>
        <v>1042/989/53 (5%)</v>
      </c>
    </row>
    <row r="44" spans="2:10">
      <c r="B44" s="25" t="s">
        <v>142</v>
      </c>
      <c r="C44" s="22">
        <f t="shared" si="1"/>
        <v>0</v>
      </c>
      <c r="D44" s="22">
        <f t="shared" si="2"/>
        <v>0</v>
      </c>
      <c r="E44" s="22">
        <f t="shared" si="3"/>
        <v>443</v>
      </c>
      <c r="F44" s="73">
        <v>426</v>
      </c>
      <c r="G44" s="73">
        <v>17</v>
      </c>
      <c r="H44" s="72">
        <f t="shared" si="4"/>
        <v>0.0383747178329571</v>
      </c>
      <c r="I44" t="str">
        <f t="shared" si="5"/>
        <v>Дефицит спецтехники составляет 4%</v>
      </c>
      <c r="J44" s="70" t="str">
        <f t="shared" si="6"/>
        <v>443/426/17 (4%)</v>
      </c>
    </row>
    <row r="45" spans="2:10">
      <c r="B45" s="25" t="s">
        <v>132</v>
      </c>
      <c r="C45" s="22">
        <f t="shared" si="1"/>
        <v>0</v>
      </c>
      <c r="D45" s="22">
        <f t="shared" si="2"/>
        <v>0</v>
      </c>
      <c r="E45" s="22">
        <f t="shared" si="3"/>
        <v>80</v>
      </c>
      <c r="F45" s="73">
        <v>80</v>
      </c>
      <c r="G45" s="73"/>
      <c r="H45" s="72">
        <f t="shared" si="4"/>
        <v>0</v>
      </c>
      <c r="I45" t="str">
        <f t="shared" si="5"/>
        <v>Дефицит спецтехники не заявлен</v>
      </c>
      <c r="J45" s="70" t="str">
        <f t="shared" si="6"/>
        <v>80/80/ (0%)</v>
      </c>
    </row>
    <row r="46" spans="2:10">
      <c r="B46" s="25" t="s">
        <v>77</v>
      </c>
      <c r="C46" s="22">
        <f t="shared" si="1"/>
        <v>0</v>
      </c>
      <c r="D46" s="22">
        <f t="shared" si="2"/>
        <v>0</v>
      </c>
      <c r="E46" s="22">
        <f t="shared" si="3"/>
        <v>225</v>
      </c>
      <c r="F46" s="73">
        <v>207</v>
      </c>
      <c r="G46" s="73">
        <v>18</v>
      </c>
      <c r="H46" s="72">
        <f t="shared" si="4"/>
        <v>0.08</v>
      </c>
      <c r="I46" t="str">
        <f t="shared" si="5"/>
        <v>Дефицит спецтехники составляет 8%</v>
      </c>
      <c r="J46" s="70" t="str">
        <f t="shared" si="6"/>
        <v>225/207/18 (8%)</v>
      </c>
    </row>
    <row r="47" spans="2:10">
      <c r="B47" s="25" t="s">
        <v>92</v>
      </c>
      <c r="C47" s="22">
        <f t="shared" si="1"/>
        <v>1</v>
      </c>
      <c r="D47" s="22">
        <f t="shared" si="2"/>
        <v>1</v>
      </c>
      <c r="E47" s="22">
        <f t="shared" si="3"/>
        <v>341</v>
      </c>
      <c r="F47" s="73">
        <v>290</v>
      </c>
      <c r="G47" s="73">
        <v>51</v>
      </c>
      <c r="H47" s="72">
        <f t="shared" si="4"/>
        <v>0.149560117302053</v>
      </c>
      <c r="I47" t="str">
        <f t="shared" si="5"/>
        <v>Дефицит спецтехники составляет 15%</v>
      </c>
      <c r="J47" s="70" t="str">
        <f t="shared" si="6"/>
        <v>341/290/51 (15%)</v>
      </c>
    </row>
    <row r="48" spans="2:10">
      <c r="B48" s="25" t="s">
        <v>101</v>
      </c>
      <c r="C48" s="22">
        <f t="shared" si="1"/>
        <v>0</v>
      </c>
      <c r="D48" s="22">
        <f t="shared" si="2"/>
        <v>0</v>
      </c>
      <c r="E48" s="22">
        <f t="shared" si="3"/>
        <v>205</v>
      </c>
      <c r="F48" s="73">
        <v>191</v>
      </c>
      <c r="G48" s="73">
        <v>14</v>
      </c>
      <c r="H48" s="72">
        <f t="shared" si="4"/>
        <v>0.0682926829268293</v>
      </c>
      <c r="I48" t="str">
        <f t="shared" si="5"/>
        <v>Дефицит спецтехники составляет 7%</v>
      </c>
      <c r="J48" s="70" t="str">
        <f t="shared" si="6"/>
        <v>205/191/14 (7%)</v>
      </c>
    </row>
    <row r="49" spans="2:10">
      <c r="B49" s="25" t="s">
        <v>162</v>
      </c>
      <c r="C49" s="22">
        <f t="shared" si="1"/>
        <v>2</v>
      </c>
      <c r="D49" s="22">
        <f t="shared" si="2"/>
        <v>2</v>
      </c>
      <c r="E49" s="22">
        <f t="shared" si="3"/>
        <v>532</v>
      </c>
      <c r="F49" s="73">
        <v>344</v>
      </c>
      <c r="G49" s="73">
        <v>188</v>
      </c>
      <c r="H49" s="72">
        <f t="shared" si="4"/>
        <v>0.353383458646617</v>
      </c>
      <c r="I49" t="str">
        <f t="shared" si="5"/>
        <v>Дефицит спецтехники составляет 35%</v>
      </c>
      <c r="J49" s="70" t="str">
        <f t="shared" si="6"/>
        <v>532/344/188 (35%)</v>
      </c>
    </row>
    <row r="50" spans="2:10">
      <c r="B50" s="25" t="s">
        <v>153</v>
      </c>
      <c r="C50" s="22">
        <f t="shared" si="1"/>
        <v>2</v>
      </c>
      <c r="D50" s="22">
        <f t="shared" si="2"/>
        <v>2</v>
      </c>
      <c r="E50" s="22">
        <f t="shared" si="3"/>
        <v>63</v>
      </c>
      <c r="F50" s="73">
        <v>34</v>
      </c>
      <c r="G50" s="73">
        <v>29</v>
      </c>
      <c r="H50" s="72">
        <f t="shared" si="4"/>
        <v>0.46031746031746</v>
      </c>
      <c r="I50" t="str">
        <f t="shared" si="5"/>
        <v>Дефицит спецтехники составляет 46%</v>
      </c>
      <c r="J50" s="70" t="str">
        <f t="shared" si="6"/>
        <v>63/34/29 (46%)</v>
      </c>
    </row>
    <row r="51" spans="2:10">
      <c r="B51" s="25" t="s">
        <v>69</v>
      </c>
      <c r="C51" s="22">
        <f t="shared" si="1"/>
        <v>0</v>
      </c>
      <c r="D51" s="22">
        <f t="shared" si="2"/>
        <v>0</v>
      </c>
      <c r="E51" s="22">
        <f t="shared" si="3"/>
        <v>1653</v>
      </c>
      <c r="F51" s="73">
        <v>1515</v>
      </c>
      <c r="G51" s="73">
        <v>138</v>
      </c>
      <c r="H51" s="72">
        <f t="shared" si="4"/>
        <v>0.0834845735027223</v>
      </c>
      <c r="I51" t="str">
        <f t="shared" si="5"/>
        <v>Дефицит спецтехники составляет 8%</v>
      </c>
      <c r="J51" s="70" t="str">
        <f t="shared" si="6"/>
        <v>1653/1515/138 (8%)</v>
      </c>
    </row>
    <row r="52" spans="2:10">
      <c r="B52" s="25" t="s">
        <v>72</v>
      </c>
      <c r="C52" s="22">
        <f t="shared" si="1"/>
        <v>0</v>
      </c>
      <c r="D52" s="22">
        <f t="shared" si="2"/>
        <v>0</v>
      </c>
      <c r="E52" s="22">
        <f t="shared" si="3"/>
        <v>171</v>
      </c>
      <c r="F52" s="73">
        <v>171</v>
      </c>
      <c r="G52" s="73">
        <v>0</v>
      </c>
      <c r="H52" s="72">
        <f t="shared" si="4"/>
        <v>0</v>
      </c>
      <c r="I52" t="str">
        <f t="shared" si="5"/>
        <v>Дефицит спецтехники не заявлен</v>
      </c>
      <c r="J52" s="70" t="str">
        <f t="shared" si="6"/>
        <v>171/171/0 (0%)</v>
      </c>
    </row>
    <row r="53" spans="2:10">
      <c r="B53" s="25" t="s">
        <v>127</v>
      </c>
      <c r="C53" s="22">
        <f t="shared" si="1"/>
        <v>1</v>
      </c>
      <c r="D53" s="22">
        <f t="shared" si="2"/>
        <v>1</v>
      </c>
      <c r="E53" s="22">
        <f t="shared" si="3"/>
        <v>41</v>
      </c>
      <c r="F53" s="73">
        <v>37</v>
      </c>
      <c r="G53" s="73">
        <v>4</v>
      </c>
      <c r="H53" s="72">
        <f t="shared" si="4"/>
        <v>0.0975609756097561</v>
      </c>
      <c r="I53" t="str">
        <f t="shared" si="5"/>
        <v>Дефицит спецтехники составляет 10%</v>
      </c>
      <c r="J53" s="70" t="str">
        <f t="shared" si="6"/>
        <v>41/37/4 (10%)</v>
      </c>
    </row>
    <row r="54" spans="2:10">
      <c r="B54" s="25" t="s">
        <v>93</v>
      </c>
      <c r="C54" s="22">
        <f t="shared" si="1"/>
        <v>1</v>
      </c>
      <c r="D54" s="22">
        <f t="shared" si="2"/>
        <v>1</v>
      </c>
      <c r="E54" s="22">
        <f t="shared" si="3"/>
        <v>534</v>
      </c>
      <c r="F54" s="73">
        <v>482</v>
      </c>
      <c r="G54" s="73">
        <v>52</v>
      </c>
      <c r="H54" s="72">
        <f t="shared" si="4"/>
        <v>0.0973782771535581</v>
      </c>
      <c r="I54" t="str">
        <f t="shared" si="5"/>
        <v>Дефицит спецтехники составляет 10%</v>
      </c>
      <c r="J54" s="70" t="str">
        <f t="shared" si="6"/>
        <v>534/482/52 (10%)</v>
      </c>
    </row>
    <row r="55" spans="2:10">
      <c r="B55" s="25" t="s">
        <v>90</v>
      </c>
      <c r="C55" s="22">
        <f t="shared" si="1"/>
        <v>1</v>
      </c>
      <c r="D55" s="22">
        <f t="shared" si="2"/>
        <v>1</v>
      </c>
      <c r="E55" s="22">
        <f t="shared" si="3"/>
        <v>79</v>
      </c>
      <c r="F55" s="73">
        <v>65</v>
      </c>
      <c r="G55" s="73">
        <v>14</v>
      </c>
      <c r="H55" s="72">
        <f t="shared" si="4"/>
        <v>0.177215189873418</v>
      </c>
      <c r="I55" t="str">
        <f t="shared" si="5"/>
        <v>Дефицит спецтехники составляет 18%</v>
      </c>
      <c r="J55" s="70" t="str">
        <f t="shared" si="6"/>
        <v>79/65/14 (18%)</v>
      </c>
    </row>
    <row r="56" spans="2:10">
      <c r="B56" s="25" t="s">
        <v>123</v>
      </c>
      <c r="C56" s="22">
        <f t="shared" si="1"/>
        <v>0</v>
      </c>
      <c r="D56" s="22">
        <f t="shared" si="2"/>
        <v>0</v>
      </c>
      <c r="E56" s="22">
        <f t="shared" si="3"/>
        <v>631</v>
      </c>
      <c r="F56" s="73">
        <v>597</v>
      </c>
      <c r="G56" s="73">
        <v>34</v>
      </c>
      <c r="H56" s="72">
        <f t="shared" si="4"/>
        <v>0.0538827258320127</v>
      </c>
      <c r="I56" t="str">
        <f t="shared" si="5"/>
        <v>Дефицит спецтехники составляет 5%</v>
      </c>
      <c r="J56" s="70" t="str">
        <f t="shared" si="6"/>
        <v>631/597/34 (5%)</v>
      </c>
    </row>
    <row r="57" spans="2:10">
      <c r="B57" s="25" t="s">
        <v>139</v>
      </c>
      <c r="C57" s="22">
        <f t="shared" si="1"/>
        <v>0</v>
      </c>
      <c r="D57" s="22">
        <f t="shared" si="2"/>
        <v>0</v>
      </c>
      <c r="E57" s="22">
        <f t="shared" si="3"/>
        <v>191</v>
      </c>
      <c r="F57" s="73">
        <v>191</v>
      </c>
      <c r="G57" s="73"/>
      <c r="H57" s="72">
        <f t="shared" si="4"/>
        <v>0</v>
      </c>
      <c r="I57" t="str">
        <f t="shared" si="5"/>
        <v>Дефицит спецтехники не заявлен</v>
      </c>
      <c r="J57" s="70" t="str">
        <f t="shared" si="6"/>
        <v>191/191/ (0%)</v>
      </c>
    </row>
    <row r="58" spans="2:10">
      <c r="B58" s="25" t="s">
        <v>94</v>
      </c>
      <c r="C58" s="22">
        <f t="shared" si="1"/>
        <v>0</v>
      </c>
      <c r="D58" s="22">
        <f t="shared" si="2"/>
        <v>0</v>
      </c>
      <c r="E58" s="22">
        <f t="shared" si="3"/>
        <v>202</v>
      </c>
      <c r="F58" s="73">
        <v>202</v>
      </c>
      <c r="G58" s="73"/>
      <c r="H58" s="72">
        <f t="shared" si="4"/>
        <v>0</v>
      </c>
      <c r="I58" t="str">
        <f t="shared" si="5"/>
        <v>Дефицит спецтехники не заявлен</v>
      </c>
      <c r="J58" s="70" t="str">
        <f t="shared" si="6"/>
        <v>202/202/ (0%)</v>
      </c>
    </row>
    <row r="59" spans="2:10">
      <c r="B59" s="25" t="s">
        <v>111</v>
      </c>
      <c r="C59" s="22">
        <f t="shared" si="1"/>
        <v>0</v>
      </c>
      <c r="D59" s="22">
        <f t="shared" si="2"/>
        <v>0</v>
      </c>
      <c r="E59" s="22">
        <f t="shared" si="3"/>
        <v>78</v>
      </c>
      <c r="F59" s="73">
        <v>78</v>
      </c>
      <c r="G59" s="73"/>
      <c r="H59" s="72">
        <f t="shared" si="4"/>
        <v>0</v>
      </c>
      <c r="I59" t="str">
        <f t="shared" si="5"/>
        <v>Дефицит спецтехники не заявлен</v>
      </c>
      <c r="J59" s="70" t="str">
        <f t="shared" si="6"/>
        <v>78/78/ (0%)</v>
      </c>
    </row>
    <row r="60" spans="2:10">
      <c r="B60" s="25" t="s">
        <v>124</v>
      </c>
      <c r="C60" s="22">
        <f t="shared" si="1"/>
        <v>0</v>
      </c>
      <c r="D60" s="22">
        <f t="shared" si="2"/>
        <v>0</v>
      </c>
      <c r="E60" s="22">
        <f t="shared" si="3"/>
        <v>260</v>
      </c>
      <c r="F60" s="73">
        <v>239</v>
      </c>
      <c r="G60" s="73">
        <v>21</v>
      </c>
      <c r="H60" s="72">
        <f t="shared" si="4"/>
        <v>0.0807692307692308</v>
      </c>
      <c r="I60" t="str">
        <f t="shared" si="5"/>
        <v>Дефицит спецтехники составляет 8%</v>
      </c>
      <c r="J60" s="70" t="str">
        <f t="shared" si="6"/>
        <v>260/239/21 (8%)</v>
      </c>
    </row>
    <row r="61" spans="2:10">
      <c r="B61" s="25" t="s">
        <v>143</v>
      </c>
      <c r="C61" s="22">
        <f t="shared" si="1"/>
        <v>0</v>
      </c>
      <c r="D61" s="22">
        <f t="shared" si="2"/>
        <v>0</v>
      </c>
      <c r="E61" s="22">
        <f t="shared" si="3"/>
        <v>365</v>
      </c>
      <c r="F61" s="73">
        <v>354</v>
      </c>
      <c r="G61" s="73">
        <v>11</v>
      </c>
      <c r="H61" s="72">
        <f t="shared" si="4"/>
        <v>0.0301369863013699</v>
      </c>
      <c r="I61" t="str">
        <f t="shared" si="5"/>
        <v>Дефицит спецтехники составляет 3%</v>
      </c>
      <c r="J61" s="70" t="str">
        <f t="shared" si="6"/>
        <v>365/354/11 (3%)</v>
      </c>
    </row>
    <row r="62" spans="2:10">
      <c r="B62" s="25" t="s">
        <v>144</v>
      </c>
      <c r="C62" s="22">
        <f t="shared" si="1"/>
        <v>2</v>
      </c>
      <c r="D62" s="22">
        <f t="shared" si="2"/>
        <v>2</v>
      </c>
      <c r="E62" s="22">
        <f t="shared" si="3"/>
        <v>368</v>
      </c>
      <c r="F62" s="73">
        <v>273</v>
      </c>
      <c r="G62" s="73">
        <v>95</v>
      </c>
      <c r="H62" s="72">
        <f t="shared" si="4"/>
        <v>0.258152173913043</v>
      </c>
      <c r="I62" t="str">
        <f t="shared" si="5"/>
        <v>Дефицит спецтехники составляет 26%</v>
      </c>
      <c r="J62" s="70" t="str">
        <f t="shared" si="6"/>
        <v>368/273/95 (26%)</v>
      </c>
    </row>
    <row r="63" spans="2:10">
      <c r="B63" s="25" t="s">
        <v>95</v>
      </c>
      <c r="C63" s="22">
        <f t="shared" si="1"/>
        <v>2</v>
      </c>
      <c r="D63" s="22">
        <f t="shared" si="2"/>
        <v>2</v>
      </c>
      <c r="E63" s="22">
        <f t="shared" si="3"/>
        <v>104</v>
      </c>
      <c r="F63" s="73">
        <v>84</v>
      </c>
      <c r="G63" s="73">
        <v>20</v>
      </c>
      <c r="H63" s="72">
        <f t="shared" si="4"/>
        <v>0.192307692307692</v>
      </c>
      <c r="I63" t="str">
        <f t="shared" si="5"/>
        <v>Дефицит спецтехники составляет 19%</v>
      </c>
      <c r="J63" s="70" t="str">
        <f t="shared" si="6"/>
        <v>104/84/20 (19%)</v>
      </c>
    </row>
    <row r="64" spans="2:10">
      <c r="B64" s="25" t="s">
        <v>96</v>
      </c>
      <c r="C64" s="22">
        <f t="shared" si="1"/>
        <v>0</v>
      </c>
      <c r="D64" s="22">
        <f t="shared" si="2"/>
        <v>0</v>
      </c>
      <c r="E64" s="22">
        <f t="shared" si="3"/>
        <v>76</v>
      </c>
      <c r="F64" s="73">
        <v>70</v>
      </c>
      <c r="G64" s="73">
        <v>6</v>
      </c>
      <c r="H64" s="72">
        <f t="shared" si="4"/>
        <v>0.0789473684210526</v>
      </c>
      <c r="I64" t="str">
        <f t="shared" si="5"/>
        <v>Дефицит спецтехники составляет 8%</v>
      </c>
      <c r="J64" s="70" t="str">
        <f t="shared" si="6"/>
        <v>76/70/6 (8%)</v>
      </c>
    </row>
    <row r="65" spans="2:10">
      <c r="B65" s="25" t="s">
        <v>147</v>
      </c>
      <c r="C65" s="22">
        <f t="shared" si="1"/>
        <v>2</v>
      </c>
      <c r="D65" s="22">
        <f t="shared" si="2"/>
        <v>2</v>
      </c>
      <c r="E65" s="22">
        <f t="shared" si="3"/>
        <v>68</v>
      </c>
      <c r="F65" s="73">
        <v>46</v>
      </c>
      <c r="G65" s="73">
        <v>22</v>
      </c>
      <c r="H65" s="72">
        <f t="shared" si="4"/>
        <v>0.323529411764706</v>
      </c>
      <c r="I65" t="str">
        <f t="shared" si="5"/>
        <v>Дефицит спецтехники составляет 32%</v>
      </c>
      <c r="J65" s="70" t="str">
        <f t="shared" si="6"/>
        <v>68/46/22 (32%)</v>
      </c>
    </row>
    <row r="66" spans="2:10">
      <c r="B66" s="25" t="s">
        <v>88</v>
      </c>
      <c r="C66" s="22">
        <f t="shared" si="1"/>
        <v>1</v>
      </c>
      <c r="D66" s="22">
        <f t="shared" si="2"/>
        <v>1</v>
      </c>
      <c r="E66" s="22">
        <f t="shared" si="3"/>
        <v>580</v>
      </c>
      <c r="F66" s="73">
        <v>526</v>
      </c>
      <c r="G66" s="73">
        <v>54</v>
      </c>
      <c r="H66" s="72">
        <f t="shared" si="4"/>
        <v>0.0931034482758621</v>
      </c>
      <c r="I66" t="str">
        <f t="shared" si="5"/>
        <v>Дефицит спецтехники составляет 9%</v>
      </c>
      <c r="J66" s="70" t="str">
        <f t="shared" si="6"/>
        <v>580/526/54 (9%)</v>
      </c>
    </row>
    <row r="67" spans="2:10">
      <c r="B67" s="25" t="s">
        <v>157</v>
      </c>
      <c r="C67" s="22">
        <f t="shared" si="1"/>
        <v>0</v>
      </c>
      <c r="D67" s="22">
        <f t="shared" si="2"/>
        <v>0</v>
      </c>
      <c r="E67" s="22">
        <f t="shared" si="3"/>
        <v>191</v>
      </c>
      <c r="F67" s="73">
        <v>191</v>
      </c>
      <c r="G67" s="73"/>
      <c r="H67" s="72">
        <f t="shared" si="4"/>
        <v>0</v>
      </c>
      <c r="I67" t="str">
        <f t="shared" si="5"/>
        <v>Дефицит спецтехники не заявлен</v>
      </c>
      <c r="J67" s="70" t="str">
        <f t="shared" si="6"/>
        <v>191/191/ (0%)</v>
      </c>
    </row>
    <row r="68" spans="2:10">
      <c r="B68" s="25" t="s">
        <v>136</v>
      </c>
      <c r="C68" s="22">
        <f t="shared" si="1"/>
        <v>2</v>
      </c>
      <c r="D68" s="22">
        <f t="shared" si="2"/>
        <v>2</v>
      </c>
      <c r="E68" s="22">
        <f t="shared" si="3"/>
        <v>263</v>
      </c>
      <c r="F68" s="73">
        <v>139</v>
      </c>
      <c r="G68" s="73">
        <v>124</v>
      </c>
      <c r="H68" s="72">
        <f t="shared" si="4"/>
        <v>0.47148288973384</v>
      </c>
      <c r="I68" t="str">
        <f t="shared" si="5"/>
        <v>Дефицит спецтехники составляет 47%</v>
      </c>
      <c r="J68" s="70" t="str">
        <f t="shared" si="6"/>
        <v>263/139/124 (47%)</v>
      </c>
    </row>
    <row r="69" spans="2:10">
      <c r="B69" s="25" t="s">
        <v>158</v>
      </c>
      <c r="C69" s="22">
        <f t="shared" si="1"/>
        <v>2</v>
      </c>
      <c r="D69" s="22">
        <f t="shared" si="2"/>
        <v>2</v>
      </c>
      <c r="E69" s="22">
        <f t="shared" si="3"/>
        <v>91</v>
      </c>
      <c r="F69" s="73">
        <v>36</v>
      </c>
      <c r="G69" s="73">
        <v>55</v>
      </c>
      <c r="H69" s="72">
        <f t="shared" si="4"/>
        <v>0.604395604395604</v>
      </c>
      <c r="I69" t="str">
        <f t="shared" si="5"/>
        <v>Дефицит спецтехники составляет 60%</v>
      </c>
      <c r="J69" s="70" t="str">
        <f t="shared" si="6"/>
        <v>91/36/55 (60%)</v>
      </c>
    </row>
    <row r="70" spans="2:10">
      <c r="B70" s="25" t="s">
        <v>120</v>
      </c>
      <c r="C70" s="22">
        <f t="shared" si="1"/>
        <v>0</v>
      </c>
      <c r="D70" s="22">
        <f t="shared" si="2"/>
        <v>0</v>
      </c>
      <c r="E70" s="22">
        <f t="shared" si="3"/>
        <v>66</v>
      </c>
      <c r="F70" s="73">
        <v>66</v>
      </c>
      <c r="G70" s="73"/>
      <c r="H70" s="72">
        <f t="shared" si="4"/>
        <v>0</v>
      </c>
      <c r="I70" t="str">
        <f t="shared" si="5"/>
        <v>Дефицит спецтехники не заявлен</v>
      </c>
      <c r="J70" s="70" t="str">
        <f t="shared" si="6"/>
        <v>66/66/ (0%)</v>
      </c>
    </row>
    <row r="71" spans="2:10">
      <c r="B71" s="25" t="s">
        <v>112</v>
      </c>
      <c r="C71" s="22">
        <f t="shared" si="1"/>
        <v>0</v>
      </c>
      <c r="D71" s="22">
        <f t="shared" si="2"/>
        <v>0</v>
      </c>
      <c r="E71" s="22">
        <f t="shared" si="3"/>
        <v>149</v>
      </c>
      <c r="F71" s="73">
        <v>149</v>
      </c>
      <c r="G71" s="73"/>
      <c r="H71" s="72">
        <f t="shared" si="4"/>
        <v>0</v>
      </c>
      <c r="I71" t="str">
        <f t="shared" si="5"/>
        <v>Дефицит спецтехники не заявлен</v>
      </c>
      <c r="J71" s="70" t="str">
        <f t="shared" si="6"/>
        <v>149/149/ (0%)</v>
      </c>
    </row>
    <row r="72" spans="2:10">
      <c r="B72" s="25" t="s">
        <v>97</v>
      </c>
      <c r="C72" s="22">
        <f t="shared" si="1"/>
        <v>0</v>
      </c>
      <c r="D72" s="22">
        <f t="shared" si="2"/>
        <v>0</v>
      </c>
      <c r="E72" s="22">
        <f t="shared" si="3"/>
        <v>179</v>
      </c>
      <c r="F72" s="73">
        <v>179</v>
      </c>
      <c r="G72" s="73"/>
      <c r="H72" s="72">
        <f t="shared" si="4"/>
        <v>0</v>
      </c>
      <c r="I72" t="str">
        <f t="shared" si="5"/>
        <v>Дефицит спецтехники не заявлен</v>
      </c>
      <c r="J72" s="70" t="str">
        <f t="shared" si="6"/>
        <v>179/179/ (0%)</v>
      </c>
    </row>
    <row r="73" spans="2:10">
      <c r="B73" s="25" t="s">
        <v>98</v>
      </c>
      <c r="C73" s="22">
        <f t="shared" si="1"/>
        <v>1</v>
      </c>
      <c r="D73" s="22">
        <f t="shared" si="2"/>
        <v>1</v>
      </c>
      <c r="E73" s="22">
        <f t="shared" si="3"/>
        <v>507</v>
      </c>
      <c r="F73" s="73">
        <v>445</v>
      </c>
      <c r="G73" s="73">
        <v>62</v>
      </c>
      <c r="H73" s="72">
        <f t="shared" si="4"/>
        <v>0.122287968441815</v>
      </c>
      <c r="I73" t="str">
        <f t="shared" si="5"/>
        <v>Дефицит спецтехники составляет 12%</v>
      </c>
      <c r="J73" s="70" t="str">
        <f t="shared" si="6"/>
        <v>507/445/62 (12%)</v>
      </c>
    </row>
    <row r="74" spans="2:10">
      <c r="B74" s="25" t="s">
        <v>110</v>
      </c>
      <c r="C74" s="22">
        <f t="shared" si="1"/>
        <v>1</v>
      </c>
      <c r="D74" s="22">
        <f t="shared" si="2"/>
        <v>1</v>
      </c>
      <c r="E74" s="22">
        <f t="shared" si="3"/>
        <v>102</v>
      </c>
      <c r="F74" s="73">
        <v>92</v>
      </c>
      <c r="G74" s="73">
        <v>10</v>
      </c>
      <c r="H74" s="72">
        <f t="shared" si="4"/>
        <v>0.0980392156862745</v>
      </c>
      <c r="I74" t="str">
        <f t="shared" si="5"/>
        <v>Дефицит спецтехники составляет 10%</v>
      </c>
      <c r="J74" s="70" t="str">
        <f t="shared" si="6"/>
        <v>102/92/10 (10%)</v>
      </c>
    </row>
    <row r="75" spans="2:10">
      <c r="B75" s="25" t="s">
        <v>115</v>
      </c>
      <c r="C75" s="22">
        <f t="shared" si="1"/>
        <v>1</v>
      </c>
      <c r="D75" s="22">
        <f t="shared" si="2"/>
        <v>1</v>
      </c>
      <c r="E75" s="22">
        <f t="shared" si="3"/>
        <v>104</v>
      </c>
      <c r="F75" s="73">
        <v>86</v>
      </c>
      <c r="G75" s="73">
        <v>18</v>
      </c>
      <c r="H75" s="72">
        <f t="shared" si="4"/>
        <v>0.173076923076923</v>
      </c>
      <c r="I75" t="str">
        <f t="shared" si="5"/>
        <v>Дефицит спецтехники составляет 17%</v>
      </c>
      <c r="J75" s="70" t="str">
        <f t="shared" si="6"/>
        <v>104/86/18 (17%)</v>
      </c>
    </row>
    <row r="76" spans="2:10">
      <c r="B76" s="25" t="s">
        <v>159</v>
      </c>
      <c r="C76" s="22">
        <f t="shared" si="1"/>
        <v>1</v>
      </c>
      <c r="D76" s="22">
        <f t="shared" si="2"/>
        <v>1</v>
      </c>
      <c r="E76" s="22">
        <f t="shared" si="3"/>
        <v>153</v>
      </c>
      <c r="F76" s="73">
        <v>138</v>
      </c>
      <c r="G76" s="73">
        <v>15</v>
      </c>
      <c r="H76" s="72">
        <f t="shared" si="4"/>
        <v>0.0980392156862745</v>
      </c>
      <c r="I76" t="str">
        <f t="shared" si="5"/>
        <v>Дефицит спецтехники составляет 10%</v>
      </c>
      <c r="J76" s="70" t="str">
        <f t="shared" si="6"/>
        <v>153/138/15 (10%)</v>
      </c>
    </row>
    <row r="77" spans="2:10">
      <c r="B77" s="25" t="s">
        <v>151</v>
      </c>
      <c r="C77" s="22">
        <f t="shared" si="1"/>
        <v>0</v>
      </c>
      <c r="D77" s="22">
        <f t="shared" si="2"/>
        <v>0</v>
      </c>
      <c r="E77" s="22">
        <f t="shared" si="3"/>
        <v>67</v>
      </c>
      <c r="F77" s="73">
        <v>67</v>
      </c>
      <c r="G77" s="73">
        <v>0</v>
      </c>
      <c r="H77" s="72">
        <f t="shared" si="4"/>
        <v>0</v>
      </c>
      <c r="I77" t="str">
        <f t="shared" si="5"/>
        <v>Дефицит спецтехники не заявлен</v>
      </c>
      <c r="J77" s="70" t="str">
        <f t="shared" si="6"/>
        <v>67/67/0 (0%)</v>
      </c>
    </row>
    <row r="78" spans="2:10">
      <c r="B78" s="25" t="s">
        <v>75</v>
      </c>
      <c r="C78" s="22">
        <f t="shared" si="1"/>
        <v>0</v>
      </c>
      <c r="D78" s="22">
        <f t="shared" si="2"/>
        <v>0</v>
      </c>
      <c r="E78" s="22">
        <f t="shared" si="3"/>
        <v>334</v>
      </c>
      <c r="F78" s="73">
        <v>320</v>
      </c>
      <c r="G78" s="73">
        <v>14</v>
      </c>
      <c r="H78" s="72">
        <f t="shared" si="4"/>
        <v>0.0419161676646707</v>
      </c>
      <c r="I78" t="str">
        <f t="shared" si="5"/>
        <v>Дефицит спецтехники составляет 4%</v>
      </c>
      <c r="J78" s="70" t="str">
        <f t="shared" si="6"/>
        <v>334/320/14 (4%)</v>
      </c>
    </row>
    <row r="79" spans="2:10">
      <c r="B79" s="25" t="s">
        <v>154</v>
      </c>
      <c r="C79" s="22">
        <f t="shared" si="1"/>
        <v>2</v>
      </c>
      <c r="D79" s="22">
        <f t="shared" si="2"/>
        <v>2</v>
      </c>
      <c r="E79" s="22">
        <f t="shared" si="3"/>
        <v>66</v>
      </c>
      <c r="F79" s="73">
        <v>46</v>
      </c>
      <c r="G79" s="73">
        <v>20</v>
      </c>
      <c r="H79" s="72">
        <f t="shared" si="4"/>
        <v>0.303030303030303</v>
      </c>
      <c r="I79" t="str">
        <f t="shared" si="5"/>
        <v>Дефицит спецтехники составляет 30%</v>
      </c>
      <c r="J79" s="70" t="str">
        <f t="shared" si="6"/>
        <v>66/46/20 (30%)</v>
      </c>
    </row>
    <row r="80" spans="2:10">
      <c r="B80" s="25" t="s">
        <v>152</v>
      </c>
      <c r="C80" s="22">
        <f t="shared" ref="C80:C104" si="7">IF(OR(H80=2,D80&gt;$D$8),2,IF(OR(H80=1,D80&gt;$D$9),1,0))</f>
        <v>0</v>
      </c>
      <c r="D80" s="22">
        <f t="shared" si="2"/>
        <v>0</v>
      </c>
      <c r="E80" s="22">
        <f t="shared" si="3"/>
        <v>41</v>
      </c>
      <c r="F80" s="73">
        <v>41</v>
      </c>
      <c r="G80" s="73">
        <v>0</v>
      </c>
      <c r="H80" s="72">
        <f t="shared" si="4"/>
        <v>0</v>
      </c>
      <c r="I80" t="str">
        <f t="shared" si="5"/>
        <v>Дефицит спецтехники не заявлен</v>
      </c>
      <c r="J80" s="70" t="str">
        <f t="shared" si="6"/>
        <v>41/41/0 (0%)</v>
      </c>
    </row>
    <row r="81" spans="2:10">
      <c r="B81" s="25" t="s">
        <v>140</v>
      </c>
      <c r="C81" s="22">
        <f t="shared" si="7"/>
        <v>1</v>
      </c>
      <c r="D81" s="22">
        <f t="shared" ref="D81:D104" si="8">IF(H81&gt;$H$8,2,IF(H81&gt;$H$10,1,0))</f>
        <v>1</v>
      </c>
      <c r="E81" s="22">
        <f t="shared" ref="E81:E104" si="9">F81+G81</f>
        <v>761</v>
      </c>
      <c r="F81" s="73">
        <v>689</v>
      </c>
      <c r="G81" s="73">
        <v>72</v>
      </c>
      <c r="H81" s="72">
        <f t="shared" ref="H81:H104" si="10">G81/(F81+G81)</f>
        <v>0.0946123521681997</v>
      </c>
      <c r="I81" t="str">
        <f t="shared" ref="I81:I104" si="11">IF(H81&gt;0,_xlfn.TEXTJOIN(,0,"Дефицит спецтехники составляет ",TEXT(H81,"0%")),"Дефицит спецтехники не заявлен")</f>
        <v>Дефицит спецтехники составляет 9%</v>
      </c>
      <c r="J81" s="70" t="str">
        <f t="shared" ref="J81:J104" si="12">_xlfn.TEXTJOIN(,0,E81,"/",F81,"/",G81," (",TEXT(H81,"0%"),")")</f>
        <v>761/689/72 (9%)</v>
      </c>
    </row>
    <row r="82" spans="2:10">
      <c r="B82" s="25" t="s">
        <v>135</v>
      </c>
      <c r="C82" s="22">
        <f t="shared" si="7"/>
        <v>1</v>
      </c>
      <c r="D82" s="22">
        <f t="shared" si="8"/>
        <v>1</v>
      </c>
      <c r="E82" s="22">
        <f t="shared" si="9"/>
        <v>222</v>
      </c>
      <c r="F82" s="73">
        <v>186</v>
      </c>
      <c r="G82" s="73">
        <v>36</v>
      </c>
      <c r="H82" s="72">
        <f t="shared" si="10"/>
        <v>0.162162162162162</v>
      </c>
      <c r="I82" t="str">
        <f t="shared" si="11"/>
        <v>Дефицит спецтехники составляет 16%</v>
      </c>
      <c r="J82" s="70" t="str">
        <f t="shared" si="12"/>
        <v>222/186/36 (16%)</v>
      </c>
    </row>
    <row r="83" spans="2:10">
      <c r="B83" s="25" t="s">
        <v>100</v>
      </c>
      <c r="C83" s="22">
        <f t="shared" si="7"/>
        <v>0</v>
      </c>
      <c r="D83" s="22">
        <f t="shared" si="8"/>
        <v>0</v>
      </c>
      <c r="E83" s="22">
        <f t="shared" si="9"/>
        <v>756</v>
      </c>
      <c r="F83" s="73">
        <v>739</v>
      </c>
      <c r="G83" s="73">
        <v>17</v>
      </c>
      <c r="H83" s="72">
        <f t="shared" si="10"/>
        <v>0.0224867724867725</v>
      </c>
      <c r="I83" t="str">
        <f t="shared" si="11"/>
        <v>Дефицит спецтехники составляет 2%</v>
      </c>
      <c r="J83" s="70" t="str">
        <f t="shared" si="12"/>
        <v>756/739/17 (2%)</v>
      </c>
    </row>
    <row r="84" spans="2:10">
      <c r="B84" s="25" t="s">
        <v>102</v>
      </c>
      <c r="C84" s="22">
        <f t="shared" si="7"/>
        <v>0</v>
      </c>
      <c r="D84" s="22">
        <f t="shared" si="8"/>
        <v>0</v>
      </c>
      <c r="E84" s="22">
        <f t="shared" si="9"/>
        <v>313</v>
      </c>
      <c r="F84" s="73">
        <v>303</v>
      </c>
      <c r="G84" s="73">
        <v>10</v>
      </c>
      <c r="H84" s="72">
        <f t="shared" si="10"/>
        <v>0.0319488817891374</v>
      </c>
      <c r="I84" t="str">
        <f t="shared" si="11"/>
        <v>Дефицит спецтехники составляет 3%</v>
      </c>
      <c r="J84" s="70" t="str">
        <f t="shared" si="12"/>
        <v>313/303/10 (3%)</v>
      </c>
    </row>
    <row r="85" spans="2:10">
      <c r="B85" s="25" t="s">
        <v>130</v>
      </c>
      <c r="C85" s="22">
        <f t="shared" si="7"/>
        <v>0</v>
      </c>
      <c r="D85" s="22">
        <f t="shared" si="8"/>
        <v>0</v>
      </c>
      <c r="E85" s="22">
        <f t="shared" si="9"/>
        <v>164</v>
      </c>
      <c r="F85" s="73">
        <v>155</v>
      </c>
      <c r="G85" s="73">
        <v>9</v>
      </c>
      <c r="H85" s="72">
        <f t="shared" si="10"/>
        <v>0.0548780487804878</v>
      </c>
      <c r="I85" t="str">
        <f t="shared" si="11"/>
        <v>Дефицит спецтехники составляет 5%</v>
      </c>
      <c r="J85" s="70" t="str">
        <f t="shared" si="12"/>
        <v>164/155/9 (5%)</v>
      </c>
    </row>
    <row r="86" spans="2:10">
      <c r="B86" s="25" t="s">
        <v>122</v>
      </c>
      <c r="C86" s="22">
        <f t="shared" si="7"/>
        <v>0</v>
      </c>
      <c r="D86" s="22">
        <f t="shared" si="8"/>
        <v>0</v>
      </c>
      <c r="E86" s="22">
        <f t="shared" si="9"/>
        <v>682</v>
      </c>
      <c r="F86" s="73">
        <v>664</v>
      </c>
      <c r="G86" s="73">
        <v>18</v>
      </c>
      <c r="H86" s="72">
        <f t="shared" si="10"/>
        <v>0.0263929618768328</v>
      </c>
      <c r="I86" t="str">
        <f t="shared" si="11"/>
        <v>Дефицит спецтехники составляет 3%</v>
      </c>
      <c r="J86" s="70" t="str">
        <f t="shared" si="12"/>
        <v>682/664/18 (3%)</v>
      </c>
    </row>
    <row r="87" spans="2:10">
      <c r="B87" s="25" t="s">
        <v>103</v>
      </c>
      <c r="C87" s="22">
        <f t="shared" si="7"/>
        <v>0</v>
      </c>
      <c r="D87" s="22">
        <f t="shared" si="8"/>
        <v>0</v>
      </c>
      <c r="E87" s="22">
        <f t="shared" si="9"/>
        <v>113</v>
      </c>
      <c r="F87" s="73">
        <v>107</v>
      </c>
      <c r="G87" s="73">
        <v>6</v>
      </c>
      <c r="H87" s="72">
        <f t="shared" si="10"/>
        <v>0.0530973451327434</v>
      </c>
      <c r="I87" t="str">
        <f t="shared" si="11"/>
        <v>Дефицит спецтехники составляет 5%</v>
      </c>
      <c r="J87" s="70" t="str">
        <f t="shared" si="12"/>
        <v>113/107/6 (5%)</v>
      </c>
    </row>
    <row r="88" spans="2:10">
      <c r="B88" s="25" t="s">
        <v>105</v>
      </c>
      <c r="C88" s="22">
        <f t="shared" si="7"/>
        <v>1</v>
      </c>
      <c r="D88" s="22">
        <f t="shared" si="8"/>
        <v>1</v>
      </c>
      <c r="E88" s="22">
        <f t="shared" si="9"/>
        <v>783</v>
      </c>
      <c r="F88" s="73">
        <v>679</v>
      </c>
      <c r="G88" s="73">
        <v>104</v>
      </c>
      <c r="H88" s="72">
        <f t="shared" si="10"/>
        <v>0.132822477650064</v>
      </c>
      <c r="I88" t="str">
        <f t="shared" si="11"/>
        <v>Дефицит спецтехники составляет 13%</v>
      </c>
      <c r="J88" s="70" t="str">
        <f t="shared" si="12"/>
        <v>783/679/104 (13%)</v>
      </c>
    </row>
    <row r="89" spans="2:10">
      <c r="B89" s="25" t="s">
        <v>125</v>
      </c>
      <c r="C89" s="22">
        <f t="shared" si="7"/>
        <v>0</v>
      </c>
      <c r="D89" s="22">
        <f t="shared" si="8"/>
        <v>0</v>
      </c>
      <c r="E89" s="22">
        <f t="shared" si="9"/>
        <v>227</v>
      </c>
      <c r="F89" s="73">
        <v>215</v>
      </c>
      <c r="G89" s="73">
        <v>12</v>
      </c>
      <c r="H89" s="72">
        <f t="shared" si="10"/>
        <v>0.052863436123348</v>
      </c>
      <c r="I89" t="str">
        <f t="shared" si="11"/>
        <v>Дефицит спецтехники составляет 5%</v>
      </c>
      <c r="J89" s="70" t="str">
        <f t="shared" si="12"/>
        <v>227/215/12 (5%)</v>
      </c>
    </row>
    <row r="90" spans="2:10">
      <c r="B90" s="25" t="s">
        <v>156</v>
      </c>
      <c r="C90" s="22">
        <f t="shared" si="7"/>
        <v>2</v>
      </c>
      <c r="D90" s="22">
        <f t="shared" si="8"/>
        <v>2</v>
      </c>
      <c r="E90" s="22">
        <f t="shared" si="9"/>
        <v>335</v>
      </c>
      <c r="F90" s="73">
        <v>255</v>
      </c>
      <c r="G90" s="73">
        <v>80</v>
      </c>
      <c r="H90" s="72">
        <f t="shared" si="10"/>
        <v>0.238805970149254</v>
      </c>
      <c r="I90" t="str">
        <f t="shared" si="11"/>
        <v>Дефицит спецтехники составляет 24%</v>
      </c>
      <c r="J90" s="70" t="str">
        <f t="shared" si="12"/>
        <v>335/255/80 (24%)</v>
      </c>
    </row>
    <row r="91" spans="2:10">
      <c r="B91" s="25" t="s">
        <v>116</v>
      </c>
      <c r="C91" s="22">
        <f t="shared" si="7"/>
        <v>1</v>
      </c>
      <c r="D91" s="22">
        <f t="shared" si="8"/>
        <v>1</v>
      </c>
      <c r="E91" s="22">
        <f t="shared" si="9"/>
        <v>202</v>
      </c>
      <c r="F91" s="73">
        <v>170</v>
      </c>
      <c r="G91" s="73">
        <v>32</v>
      </c>
      <c r="H91" s="72">
        <f t="shared" si="10"/>
        <v>0.158415841584158</v>
      </c>
      <c r="I91" t="str">
        <f t="shared" si="11"/>
        <v>Дефицит спецтехники составляет 16%</v>
      </c>
      <c r="J91" s="70" t="str">
        <f t="shared" si="12"/>
        <v>202/170/32 (16%)</v>
      </c>
    </row>
    <row r="92" spans="2:10">
      <c r="B92" s="25" t="s">
        <v>73</v>
      </c>
      <c r="C92" s="22">
        <f t="shared" si="7"/>
        <v>1</v>
      </c>
      <c r="D92" s="22">
        <f t="shared" si="8"/>
        <v>1</v>
      </c>
      <c r="E92" s="22">
        <f t="shared" si="9"/>
        <v>272</v>
      </c>
      <c r="F92" s="73">
        <v>243</v>
      </c>
      <c r="G92" s="73">
        <v>29</v>
      </c>
      <c r="H92" s="72">
        <f t="shared" si="10"/>
        <v>0.106617647058824</v>
      </c>
      <c r="I92" t="str">
        <f t="shared" si="11"/>
        <v>Дефицит спецтехники составляет 11%</v>
      </c>
      <c r="J92" s="70" t="str">
        <f t="shared" si="12"/>
        <v>272/243/29 (11%)</v>
      </c>
    </row>
    <row r="93" spans="2:10">
      <c r="B93" s="25" t="s">
        <v>83</v>
      </c>
      <c r="C93" s="22">
        <f t="shared" si="7"/>
        <v>0</v>
      </c>
      <c r="D93" s="22">
        <f t="shared" si="8"/>
        <v>0</v>
      </c>
      <c r="E93" s="22">
        <f t="shared" si="9"/>
        <v>301</v>
      </c>
      <c r="F93" s="73">
        <v>298</v>
      </c>
      <c r="G93" s="73">
        <v>3</v>
      </c>
      <c r="H93" s="72">
        <f t="shared" si="10"/>
        <v>0.00996677740863787</v>
      </c>
      <c r="I93" t="str">
        <f t="shared" si="11"/>
        <v>Дефицит спецтехники составляет 1%</v>
      </c>
      <c r="J93" s="70" t="str">
        <f t="shared" si="12"/>
        <v>301/298/3 (1%)</v>
      </c>
    </row>
    <row r="94" spans="2:10">
      <c r="B94" s="25" t="s">
        <v>99</v>
      </c>
      <c r="C94" s="22">
        <f t="shared" si="7"/>
        <v>1</v>
      </c>
      <c r="D94" s="22">
        <f t="shared" si="8"/>
        <v>1</v>
      </c>
      <c r="E94" s="22">
        <f t="shared" si="9"/>
        <v>201</v>
      </c>
      <c r="F94" s="73">
        <v>179</v>
      </c>
      <c r="G94" s="73">
        <v>22</v>
      </c>
      <c r="H94" s="72">
        <f t="shared" si="10"/>
        <v>0.109452736318408</v>
      </c>
      <c r="I94" t="str">
        <f t="shared" si="11"/>
        <v>Дефицит спецтехники составляет 11%</v>
      </c>
      <c r="J94" s="70" t="str">
        <f t="shared" si="12"/>
        <v>201/179/22 (11%)</v>
      </c>
    </row>
    <row r="95" spans="2:10">
      <c r="B95" s="25" t="s">
        <v>128</v>
      </c>
      <c r="C95" s="22">
        <f t="shared" si="7"/>
        <v>0</v>
      </c>
      <c r="D95" s="22">
        <f t="shared" si="8"/>
        <v>0</v>
      </c>
      <c r="E95" s="22">
        <f t="shared" si="9"/>
        <v>151</v>
      </c>
      <c r="F95" s="73">
        <v>140</v>
      </c>
      <c r="G95" s="73">
        <v>11</v>
      </c>
      <c r="H95" s="72">
        <f t="shared" si="10"/>
        <v>0.0728476821192053</v>
      </c>
      <c r="I95" t="str">
        <f t="shared" si="11"/>
        <v>Дефицит спецтехники составляет 7%</v>
      </c>
      <c r="J95" s="70" t="str">
        <f t="shared" si="12"/>
        <v>151/140/11 (7%)</v>
      </c>
    </row>
    <row r="96" spans="2:10">
      <c r="B96" s="25" t="s">
        <v>145</v>
      </c>
      <c r="C96" s="22">
        <f t="shared" si="7"/>
        <v>2</v>
      </c>
      <c r="D96" s="22">
        <f t="shared" si="8"/>
        <v>2</v>
      </c>
      <c r="E96" s="22">
        <f t="shared" si="9"/>
        <v>299</v>
      </c>
      <c r="F96" s="73">
        <v>142</v>
      </c>
      <c r="G96" s="73">
        <v>157</v>
      </c>
      <c r="H96" s="72">
        <f t="shared" si="10"/>
        <v>0.525083612040134</v>
      </c>
      <c r="I96" t="str">
        <f t="shared" si="11"/>
        <v>Дефицит спецтехники составляет 53%</v>
      </c>
      <c r="J96" s="70" t="str">
        <f t="shared" si="12"/>
        <v>299/142/157 (53%)</v>
      </c>
    </row>
    <row r="97" spans="2:10">
      <c r="B97" s="25" t="s">
        <v>84</v>
      </c>
      <c r="C97" s="22">
        <f t="shared" si="7"/>
        <v>0</v>
      </c>
      <c r="D97" s="22">
        <f t="shared" si="8"/>
        <v>0</v>
      </c>
      <c r="E97" s="22">
        <f t="shared" si="9"/>
        <v>328</v>
      </c>
      <c r="F97" s="73">
        <v>309</v>
      </c>
      <c r="G97" s="73">
        <v>19</v>
      </c>
      <c r="H97" s="72">
        <f t="shared" si="10"/>
        <v>0.0579268292682927</v>
      </c>
      <c r="I97" t="str">
        <f t="shared" si="11"/>
        <v>Дефицит спецтехники составляет 6%</v>
      </c>
      <c r="J97" s="70" t="str">
        <f t="shared" si="12"/>
        <v>328/309/19 (6%)</v>
      </c>
    </row>
    <row r="98" spans="2:10">
      <c r="B98" s="25" t="s">
        <v>163</v>
      </c>
      <c r="C98" s="22">
        <f t="shared" si="7"/>
        <v>1</v>
      </c>
      <c r="D98" s="22">
        <f t="shared" si="8"/>
        <v>1</v>
      </c>
      <c r="E98" s="22">
        <f t="shared" si="9"/>
        <v>50</v>
      </c>
      <c r="F98" s="73">
        <v>42</v>
      </c>
      <c r="G98" s="73">
        <v>8</v>
      </c>
      <c r="H98" s="72">
        <f t="shared" si="10"/>
        <v>0.16</v>
      </c>
      <c r="I98" t="str">
        <f t="shared" si="11"/>
        <v>Дефицит спецтехники составляет 16%</v>
      </c>
      <c r="J98" s="70" t="str">
        <f t="shared" si="12"/>
        <v>50/42/8 (16%)</v>
      </c>
    </row>
    <row r="99" spans="2:10">
      <c r="B99" s="25" t="s">
        <v>79</v>
      </c>
      <c r="C99" s="22">
        <f t="shared" si="7"/>
        <v>0</v>
      </c>
      <c r="D99" s="22">
        <f t="shared" si="8"/>
        <v>0</v>
      </c>
      <c r="E99" s="22">
        <f t="shared" si="9"/>
        <v>484</v>
      </c>
      <c r="F99" s="73">
        <v>444</v>
      </c>
      <c r="G99" s="73">
        <v>40</v>
      </c>
      <c r="H99" s="72">
        <f t="shared" si="10"/>
        <v>0.0826446280991736</v>
      </c>
      <c r="I99" t="str">
        <f t="shared" si="11"/>
        <v>Дефицит спецтехники составляет 8%</v>
      </c>
      <c r="J99" s="70" t="str">
        <f t="shared" si="12"/>
        <v>484/444/40 (8%)</v>
      </c>
    </row>
    <row r="100" spans="2:10">
      <c r="B100" s="25" t="s">
        <v>117</v>
      </c>
      <c r="C100" s="22">
        <f t="shared" si="7"/>
        <v>0</v>
      </c>
      <c r="D100" s="22">
        <f t="shared" si="8"/>
        <v>0</v>
      </c>
      <c r="E100" s="22">
        <f t="shared" si="9"/>
        <v>111</v>
      </c>
      <c r="F100" s="73">
        <v>111</v>
      </c>
      <c r="G100" s="73"/>
      <c r="H100" s="72">
        <f t="shared" si="10"/>
        <v>0</v>
      </c>
      <c r="I100" t="str">
        <f t="shared" si="11"/>
        <v>Дефицит спецтехники не заявлен</v>
      </c>
      <c r="J100" s="70" t="str">
        <f t="shared" si="12"/>
        <v>111/111/ (0%)</v>
      </c>
    </row>
    <row r="101" spans="2:10">
      <c r="B101" s="25" t="s">
        <v>82</v>
      </c>
      <c r="C101" s="22">
        <f t="shared" si="7"/>
        <v>0</v>
      </c>
      <c r="D101" s="22">
        <f t="shared" si="8"/>
        <v>0</v>
      </c>
      <c r="E101" s="22">
        <f t="shared" si="9"/>
        <v>149</v>
      </c>
      <c r="F101" s="73">
        <v>149</v>
      </c>
      <c r="G101" s="73"/>
      <c r="H101" s="72">
        <f t="shared" si="10"/>
        <v>0</v>
      </c>
      <c r="I101" t="str">
        <f t="shared" si="11"/>
        <v>Дефицит спецтехники не заявлен</v>
      </c>
      <c r="J101" s="70" t="str">
        <f t="shared" si="12"/>
        <v>149/149/ (0%)</v>
      </c>
    </row>
    <row r="102" spans="2:10">
      <c r="B102" s="25" t="s">
        <v>149</v>
      </c>
      <c r="C102" s="22">
        <f t="shared" si="7"/>
        <v>2</v>
      </c>
      <c r="D102" s="22">
        <f t="shared" si="8"/>
        <v>2</v>
      </c>
      <c r="E102" s="22">
        <f t="shared" si="9"/>
        <v>50</v>
      </c>
      <c r="F102" s="73">
        <v>40</v>
      </c>
      <c r="G102" s="73">
        <v>10</v>
      </c>
      <c r="H102" s="72">
        <f t="shared" si="10"/>
        <v>0.2</v>
      </c>
      <c r="I102" t="str">
        <f t="shared" si="11"/>
        <v>Дефицит спецтехники составляет 20%</v>
      </c>
      <c r="J102" s="70" t="str">
        <f t="shared" si="12"/>
        <v>50/40/10 (20%)</v>
      </c>
    </row>
    <row r="103" spans="2:10">
      <c r="B103" s="25" t="s">
        <v>114</v>
      </c>
      <c r="C103" s="22">
        <f t="shared" si="7"/>
        <v>0</v>
      </c>
      <c r="D103" s="22">
        <f t="shared" si="8"/>
        <v>0</v>
      </c>
      <c r="E103" s="22">
        <f t="shared" si="9"/>
        <v>222</v>
      </c>
      <c r="F103" s="73">
        <v>222</v>
      </c>
      <c r="G103" s="73">
        <v>0</v>
      </c>
      <c r="H103" s="72">
        <f t="shared" si="10"/>
        <v>0</v>
      </c>
      <c r="I103" t="str">
        <f t="shared" si="11"/>
        <v>Дефицит спецтехники не заявлен</v>
      </c>
      <c r="J103" s="70" t="str">
        <f t="shared" si="12"/>
        <v>222/222/0 (0%)</v>
      </c>
    </row>
    <row r="104" spans="2:10">
      <c r="B104" s="25" t="s">
        <v>80</v>
      </c>
      <c r="C104" s="22">
        <f t="shared" si="7"/>
        <v>0</v>
      </c>
      <c r="D104" s="22">
        <f t="shared" si="8"/>
        <v>0</v>
      </c>
      <c r="E104" s="22">
        <f t="shared" si="9"/>
        <v>298</v>
      </c>
      <c r="F104" s="73">
        <v>298</v>
      </c>
      <c r="G104" s="73">
        <v>0</v>
      </c>
      <c r="H104" s="72">
        <f t="shared" si="10"/>
        <v>0</v>
      </c>
      <c r="I104" t="str">
        <f t="shared" si="11"/>
        <v>Дефицит спецтехники не заявлен</v>
      </c>
      <c r="J104" s="70" t="str">
        <f t="shared" si="12"/>
        <v>298/298/0 (0%)</v>
      </c>
    </row>
    <row r="105" spans="2:8">
      <c r="B105" s="25"/>
      <c r="C105" s="22"/>
      <c r="D105" s="42"/>
      <c r="E105" s="42"/>
      <c r="F105" s="22"/>
      <c r="G105" s="22"/>
      <c r="H105" s="72"/>
    </row>
    <row r="106" spans="2:8">
      <c r="B106" s="25"/>
      <c r="C106" s="22"/>
      <c r="D106" s="42"/>
      <c r="E106" s="42"/>
      <c r="F106" s="22"/>
      <c r="G106" s="22"/>
      <c r="H106" s="72"/>
    </row>
    <row r="107" spans="2:8">
      <c r="B107" s="25"/>
      <c r="C107" s="22"/>
      <c r="D107" s="42"/>
      <c r="E107" s="42"/>
      <c r="F107" s="22"/>
      <c r="G107" s="22"/>
      <c r="H107" s="72"/>
    </row>
    <row r="108" spans="2:8">
      <c r="B108" s="25"/>
      <c r="C108" s="22"/>
      <c r="D108" s="42"/>
      <c r="E108" s="42"/>
      <c r="F108" s="22"/>
      <c r="G108" s="22"/>
      <c r="H108" s="72"/>
    </row>
  </sheetData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7"/>
  <dimension ref="A1:AB109"/>
  <sheetViews>
    <sheetView zoomScale="85" zoomScaleNormal="85" workbookViewId="0">
      <pane xSplit="2" ySplit="15" topLeftCell="C16" activePane="bottomRight" state="frozen"/>
      <selection/>
      <selection pane="topRight"/>
      <selection pane="bottomLeft"/>
      <selection pane="bottomRight" activeCell="H1" sqref="H$1:H$1048576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7" width="13.5" style="7" customWidth="1"/>
    <col min="8" max="13" width="13.5" style="9" customWidth="1"/>
    <col min="14" max="16" width="13.5" style="11" customWidth="1"/>
    <col min="17" max="17" width="13.5" style="62" customWidth="1"/>
    <col min="18" max="19" width="13.5" style="11" customWidth="1"/>
    <col min="20" max="20" width="58.5" style="11" customWidth="1"/>
    <col min="21" max="21" width="32" style="6" customWidth="1"/>
    <col min="22" max="22" width="42.8583333333333" style="6" customWidth="1"/>
    <col min="23" max="23" width="61.6416666666667" style="6" customWidth="1"/>
    <col min="24" max="24" width="12.1416666666667" style="6" customWidth="1"/>
    <col min="25" max="25" width="12" style="6" customWidth="1"/>
    <col min="26" max="26" width="48.5" style="6" customWidth="1"/>
    <col min="27" max="27" width="56.3583333333333" style="6" customWidth="1"/>
    <col min="28" max="28" width="19.8583333333333" style="10" customWidth="1"/>
    <col min="29" max="16384" width="10.8583333333333" style="6"/>
  </cols>
  <sheetData>
    <row r="1" spans="1:28">
      <c r="A1" s="6">
        <v>1</v>
      </c>
      <c r="B1" s="6">
        <f>A1+1</f>
        <v>2</v>
      </c>
      <c r="C1" s="6">
        <f t="shared" ref="C1:AB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</row>
    <row r="2" ht="15.6" spans="2:2">
      <c r="B2" s="4" t="s">
        <v>215</v>
      </c>
    </row>
    <row r="4" s="4" customFormat="1" ht="15.6" spans="2:28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66"/>
      <c r="R4" s="28"/>
      <c r="S4" s="28"/>
      <c r="T4" s="28"/>
      <c r="U4" s="28"/>
      <c r="AB4" s="27"/>
    </row>
    <row r="5" spans="2:21">
      <c r="B5" s="6" t="s">
        <v>216</v>
      </c>
      <c r="C5" s="63">
        <v>45574</v>
      </c>
      <c r="E5" s="8"/>
      <c r="F5" s="8"/>
      <c r="H5" s="7"/>
      <c r="N5" s="9"/>
      <c r="U5" s="11"/>
    </row>
    <row r="7" spans="2:19">
      <c r="B7" s="6" t="s">
        <v>173</v>
      </c>
      <c r="N7" s="11">
        <f>N9/2</f>
        <v>2.9721221689744</v>
      </c>
      <c r="R7" s="17">
        <v>0</v>
      </c>
      <c r="S7" s="17">
        <f>S15</f>
        <v>0.673922183414993</v>
      </c>
    </row>
    <row r="8" spans="2:18">
      <c r="B8" s="6" t="s">
        <v>174</v>
      </c>
      <c r="D8" s="11">
        <v>1.5</v>
      </c>
      <c r="K8" s="6"/>
      <c r="O8" s="29"/>
      <c r="Q8" s="67"/>
      <c r="R8" s="17">
        <f>R10*2</f>
        <v>0.367579908675799</v>
      </c>
    </row>
    <row r="9" spans="2:19">
      <c r="B9" s="6" t="s">
        <v>175</v>
      </c>
      <c r="D9" s="11">
        <v>0.5</v>
      </c>
      <c r="N9" s="11">
        <f>N15</f>
        <v>5.9442443379488</v>
      </c>
      <c r="S9" s="17">
        <f>S7+(1-S7)/2</f>
        <v>0.836961091707497</v>
      </c>
    </row>
    <row r="10" spans="2:18">
      <c r="B10" s="6" t="s">
        <v>176</v>
      </c>
      <c r="K10" s="16"/>
      <c r="R10" s="17">
        <f>R15</f>
        <v>0.1837899543379</v>
      </c>
    </row>
    <row r="11" spans="2:7">
      <c r="B11" s="6" t="s">
        <v>177</v>
      </c>
      <c r="C11" s="17"/>
      <c r="E11" s="17">
        <v>0</v>
      </c>
      <c r="F11" s="17">
        <v>0</v>
      </c>
      <c r="G11" s="17">
        <v>1</v>
      </c>
    </row>
    <row r="12" spans="3:17">
      <c r="C12" s="17"/>
      <c r="E12" s="17"/>
      <c r="F12" s="17"/>
      <c r="G12" s="17"/>
      <c r="K12" s="6"/>
      <c r="O12" s="6"/>
      <c r="Q12" s="67"/>
    </row>
    <row r="14" s="5" customFormat="1" ht="60" spans="2:28">
      <c r="B14" s="5" t="s">
        <v>2</v>
      </c>
      <c r="C14" s="19" t="s">
        <v>178</v>
      </c>
      <c r="D14" s="19" t="s">
        <v>179</v>
      </c>
      <c r="E14" s="19" t="s">
        <v>217</v>
      </c>
      <c r="F14" s="19" t="s">
        <v>218</v>
      </c>
      <c r="G14" s="19" t="s">
        <v>219</v>
      </c>
      <c r="H14" s="21" t="s">
        <v>191</v>
      </c>
      <c r="I14" s="21" t="s">
        <v>220</v>
      </c>
      <c r="J14" s="21" t="s">
        <v>221</v>
      </c>
      <c r="K14" s="21" t="s">
        <v>222</v>
      </c>
      <c r="L14" s="21" t="s">
        <v>223</v>
      </c>
      <c r="M14" s="21" t="s">
        <v>224</v>
      </c>
      <c r="N14" s="30" t="s">
        <v>225</v>
      </c>
      <c r="O14" s="30" t="s">
        <v>226</v>
      </c>
      <c r="P14" s="30" t="s">
        <v>227</v>
      </c>
      <c r="Q14" s="68" t="s">
        <v>228</v>
      </c>
      <c r="R14" s="30" t="s">
        <v>229</v>
      </c>
      <c r="S14" s="30" t="s">
        <v>230</v>
      </c>
      <c r="T14" s="30" t="s">
        <v>231</v>
      </c>
      <c r="U14" s="30" t="s">
        <v>232</v>
      </c>
      <c r="V14" s="30" t="s">
        <v>233</v>
      </c>
      <c r="W14" s="30" t="s">
        <v>234</v>
      </c>
      <c r="X14" s="30" t="s">
        <v>235</v>
      </c>
      <c r="Y14" s="30" t="s">
        <v>236</v>
      </c>
      <c r="Z14" s="30" t="s">
        <v>237</v>
      </c>
      <c r="AA14" s="30" t="s">
        <v>238</v>
      </c>
      <c r="AB14" s="69" t="s">
        <v>214</v>
      </c>
    </row>
    <row r="15" s="5" customFormat="1" spans="2:28">
      <c r="B15" s="5" t="s">
        <v>182</v>
      </c>
      <c r="C15" s="22"/>
      <c r="D15" s="22"/>
      <c r="E15" s="22"/>
      <c r="F15" s="22"/>
      <c r="G15" s="22"/>
      <c r="H15" s="24">
        <f t="shared" ref="H15:M15" si="1">SUM(H16:H104)</f>
        <v>146150789</v>
      </c>
      <c r="I15" s="37">
        <f t="shared" si="1"/>
        <v>980980</v>
      </c>
      <c r="J15" s="37">
        <f t="shared" si="1"/>
        <v>868756</v>
      </c>
      <c r="K15" s="37">
        <f t="shared" si="1"/>
        <v>1455628</v>
      </c>
      <c r="L15" s="37">
        <f t="shared" si="1"/>
        <v>220892</v>
      </c>
      <c r="M15" s="24">
        <f t="shared" si="1"/>
        <v>1517602</v>
      </c>
      <c r="N15" s="32">
        <f>J15/$H15*1000</f>
        <v>5.9442443379488</v>
      </c>
      <c r="O15" s="32">
        <f>K15/$H15*1000</f>
        <v>9.95976833214359</v>
      </c>
      <c r="P15" s="32">
        <f>SUMPRODUCT(P16:P104,H16:H104)/H15</f>
        <v>10.1657405352769</v>
      </c>
      <c r="Q15" s="24">
        <f>I15+L15</f>
        <v>1201872</v>
      </c>
      <c r="R15" s="33">
        <f>L15/(I15+L15)</f>
        <v>0.1837899543379</v>
      </c>
      <c r="S15" s="33">
        <f t="shared" ref="S15:S25" si="2">I15/MAX(I15,K15)</f>
        <v>0.673922183414993</v>
      </c>
      <c r="T15" s="33"/>
      <c r="AB15" s="10" t="str">
        <f>_xlfn.TEXTJOIN(,0,ROUND((J15+L15)/1000,1),"/",ROUND(J15/1000,1)," (",TEXT(R15,"0%"),")")</f>
        <v>1089,6/868,8 (18%)</v>
      </c>
    </row>
    <row r="16" spans="2:28">
      <c r="B16" s="25" t="s">
        <v>146</v>
      </c>
      <c r="C16" s="22">
        <f>IF(D16&gt;$D$8,2,IF(D16&gt;$D$9,1,0))</f>
        <v>2</v>
      </c>
      <c r="D16" s="42">
        <f t="shared" ref="D16:D25" si="3">E16*$E$11+F16*$F$11+G16*$G$11</f>
        <v>2</v>
      </c>
      <c r="E16" s="22">
        <f>IF(N16&lt;$N$7,2,IF(AND(N16&lt;$N$9,N16&gt;=$N$7),1,0))</f>
        <v>0</v>
      </c>
      <c r="F16" s="22">
        <f t="shared" ref="F16:F25" si="4">IF(S16&lt;$S$7,2,IF(S16&lt;$S$9,1,0))</f>
        <v>0</v>
      </c>
      <c r="G16" s="22">
        <f t="shared" ref="G16:G25" si="5">IF(OR(R16&gt;$R$8,R16&lt;=$R$7),2,IF(R16&gt;$R$10,1,0))</f>
        <v>2</v>
      </c>
      <c r="H16" s="24">
        <v>2115308</v>
      </c>
      <c r="I16" s="37">
        <v>20660</v>
      </c>
      <c r="J16" s="37">
        <v>17284</v>
      </c>
      <c r="K16" s="37">
        <v>9736</v>
      </c>
      <c r="L16" s="37">
        <v>17421</v>
      </c>
      <c r="M16" s="24">
        <f>MAX(I16,K16)</f>
        <v>20660</v>
      </c>
      <c r="N16" s="32">
        <f>J16/$H16*1000</f>
        <v>8.17091411747131</v>
      </c>
      <c r="O16" s="32">
        <f>K16/$H16*1000</f>
        <v>4.60263942650432</v>
      </c>
      <c r="P16" s="32">
        <f t="shared" ref="P16:P82" si="6">MAX(N16,O16)</f>
        <v>8.17091411747131</v>
      </c>
      <c r="Q16" s="24">
        <f>I16+L16</f>
        <v>38081</v>
      </c>
      <c r="R16" s="33">
        <f>L16/(I16+L16)</f>
        <v>0.457472230246054</v>
      </c>
      <c r="S16" s="33">
        <f t="shared" si="2"/>
        <v>1</v>
      </c>
      <c r="T16" s="6" t="str">
        <f>_xlfn.TEXTJOIN(,0,"Места накопления ТКО (МНО): ",I16," по ФГИС УТКО / ",K16," по ТС")</f>
        <v>Места накопления ТКО (МНО): 20660 по ФГИС УТКО / 9736 по ТС</v>
      </c>
      <c r="U16" s="6" t="str">
        <f t="shared" ref="U16:U28" si="7">_xlfn.TEXTJOIN(,0,"Наполнение ФГИС УТКО"," ",IF(I16&lt;=K16,TEXT(S16,"0%"),"более 100%"))</f>
        <v>Наполнение ФГИС УТКО более 100%</v>
      </c>
      <c r="V16" s="34" t="str">
        <f t="shared" ref="V16:V28" si="8">IF(O16&gt;$O$8,$V$107,IF(Q16&gt;$Q$10,$V$108,IF(I16&gt;K16*(1+$K$10),$V$109,"")))</f>
        <v>Аномальные данные территориальной схемы</v>
      </c>
      <c r="W16" s="6" t="str">
        <f>_xlfn.TEXTJOIN(,0,"Контейнерные площадки (КП): ",J16," по ФГИС УТКО / ",TEXT(Q16,"0,0")," на 1000 чел.")</f>
        <v>Контейнерные площадки (КП): 17284 по ФГИС УТКО / 38081,0 на 1000 чел.</v>
      </c>
      <c r="X16" s="6">
        <f t="shared" ref="X16:X50" si="9">IF(Q16&gt;=$Q$15,Q16/$Q$15-1,1-Q16/$Q$15)</f>
        <v>0.968315261525354</v>
      </c>
      <c r="Y16" s="6" t="str">
        <f>IF(Q16&gt;=$Q$15,"выше ","ниже ")</f>
        <v>ниже </v>
      </c>
      <c r="Z16" s="6" t="str">
        <f>_xlfn.TEXTJOIN(,0,"Обеспеченность КП ",Y16,"среднего по России на ",TEXT(X16,"0%"))</f>
        <v>Обеспеченность КП ниже среднего по России на 97%</v>
      </c>
      <c r="AA16" s="6" t="str">
        <f>IF(L16&gt;0,_xlfn.TEXTJOIN(,0,"Потребность в КП по данным субъекта ",L16," шт. (",TEXT(R16,"0%")," от МНО)"),"Потребность в КП не представлена")</f>
        <v>Потребность в КП по данным субъекта 17421 шт. (46% от МНО)</v>
      </c>
      <c r="AB16" s="10" t="str">
        <f>_xlfn.TEXTJOIN(,0,ROUND((J16+L16)/1000,0),"/",ROUND(J16/1000,0),"/",ROUND(L16/1000,0)," (",TEXT(R16,"0%"),")")</f>
        <v>35/17/17 (46%)</v>
      </c>
    </row>
    <row r="17" spans="2:28">
      <c r="B17" s="25" t="s">
        <v>150</v>
      </c>
      <c r="C17" s="22">
        <f t="shared" ref="C17:C80" si="10">IF(D17&gt;$D$8,2,IF(D17&gt;$D$9,1,0))</f>
        <v>1</v>
      </c>
      <c r="D17" s="42">
        <f t="shared" si="3"/>
        <v>1</v>
      </c>
      <c r="E17" s="22">
        <f t="shared" ref="E17:E80" si="11">IF(N17&lt;$N$7,2,IF(AND(N17&lt;$N$9,N17&gt;=$N$7),1,0))</f>
        <v>0</v>
      </c>
      <c r="F17" s="22">
        <f t="shared" si="4"/>
        <v>0</v>
      </c>
      <c r="G17" s="22">
        <f t="shared" si="5"/>
        <v>1</v>
      </c>
      <c r="H17" s="24">
        <v>750083</v>
      </c>
      <c r="I17" s="37">
        <v>13606</v>
      </c>
      <c r="J17" s="37">
        <v>12331</v>
      </c>
      <c r="K17" s="37">
        <v>13282</v>
      </c>
      <c r="L17" s="37">
        <v>3429</v>
      </c>
      <c r="M17" s="24">
        <f t="shared" ref="M17:M28" si="12">MAX(I17,K17)</f>
        <v>13606</v>
      </c>
      <c r="N17" s="32">
        <f t="shared" ref="N17:N80" si="13">J17/$H17*1000</f>
        <v>16.4395140271143</v>
      </c>
      <c r="O17" s="32">
        <f t="shared" ref="O17:O83" si="14">K17/$H17*1000</f>
        <v>17.7073737173086</v>
      </c>
      <c r="P17" s="32">
        <f t="shared" si="6"/>
        <v>17.7073737173086</v>
      </c>
      <c r="Q17" s="24">
        <f t="shared" ref="Q17:Q80" si="15">I17+L17</f>
        <v>17035</v>
      </c>
      <c r="R17" s="33">
        <f t="shared" ref="R17:R80" si="16">L17/(I17+L17)</f>
        <v>0.201291458761374</v>
      </c>
      <c r="S17" s="33">
        <f t="shared" si="2"/>
        <v>1</v>
      </c>
      <c r="T17" s="6" t="str">
        <f t="shared" ref="T17:T28" si="17">_xlfn.TEXTJOIN(,0,"Места накопления ТКО (МНО): ",I17," по ФГИС УТКО / ",K17," по ТС")</f>
        <v>Места накопления ТКО (МНО): 13606 по ФГИС УТКО / 13282 по ТС</v>
      </c>
      <c r="U17" s="6" t="str">
        <f t="shared" si="7"/>
        <v>Наполнение ФГИС УТКО более 100%</v>
      </c>
      <c r="V17" s="34" t="str">
        <f t="shared" si="8"/>
        <v>Аномальные данные территориальной схемы</v>
      </c>
      <c r="W17" s="6" t="str">
        <f t="shared" ref="W17:W28" si="18">_xlfn.TEXTJOIN(,0,"Контейнерные площадки (КП): ",J17," по ФГИС УТКО / ",TEXT(Q17,"0,0")," на 1000 чел.")</f>
        <v>Контейнерные площадки (КП): 12331 по ФГИС УТКО / 17035,0 на 1000 чел.</v>
      </c>
      <c r="X17" s="6">
        <f t="shared" si="9"/>
        <v>0.985826277673496</v>
      </c>
      <c r="Y17" s="6" t="str">
        <f t="shared" ref="Y17:Y83" si="19">IF(Q17&gt;=$Q$15,"выше ","ниже ")</f>
        <v>ниже </v>
      </c>
      <c r="Z17" s="6" t="str">
        <f t="shared" ref="Z17:Z83" si="20">_xlfn.TEXTJOIN(,0,"Обеспеченность КП ",Y17,"среднего по России на ",TEXT(X17,"0%"))</f>
        <v>Обеспеченность КП ниже среднего по России на 99%</v>
      </c>
      <c r="AA17" s="6" t="str">
        <f t="shared" ref="AA17:AA83" si="21">IF(L17&gt;0,_xlfn.TEXTJOIN(,0,"Потребность в КП по данным субъекта ",L17," шт. (",TEXT(R17,"0%")," от МНО)"),"Потребность в КП не представлена")</f>
        <v>Потребность в КП по данным субъекта 3429 шт. (20% от МНО)</v>
      </c>
      <c r="AB17" s="10" t="str">
        <f t="shared" ref="AB17:AB80" si="22">_xlfn.TEXTJOIN(,0,ROUND((J17+L17)/1000,0),"/",ROUND(J17/1000,0),"/",ROUND(L17/1000,0)," (",TEXT(R17,"0%"),")")</f>
        <v>16/12/3 (20%)</v>
      </c>
    </row>
    <row r="18" spans="2:28">
      <c r="B18" s="25" t="s">
        <v>133</v>
      </c>
      <c r="C18" s="22">
        <f t="shared" si="10"/>
        <v>0</v>
      </c>
      <c r="D18" s="42">
        <f t="shared" si="3"/>
        <v>0</v>
      </c>
      <c r="E18" s="22">
        <f t="shared" si="11"/>
        <v>0</v>
      </c>
      <c r="F18" s="22">
        <f t="shared" si="4"/>
        <v>0</v>
      </c>
      <c r="G18" s="22">
        <f t="shared" si="5"/>
        <v>0</v>
      </c>
      <c r="H18" s="24">
        <v>955848</v>
      </c>
      <c r="I18" s="37">
        <v>11033</v>
      </c>
      <c r="J18" s="37">
        <v>10090</v>
      </c>
      <c r="K18" s="37">
        <v>9092</v>
      </c>
      <c r="L18" s="37">
        <v>1463</v>
      </c>
      <c r="M18" s="24">
        <f t="shared" si="12"/>
        <v>11033</v>
      </c>
      <c r="N18" s="32">
        <f t="shared" si="13"/>
        <v>10.5560716766683</v>
      </c>
      <c r="O18" s="32">
        <f t="shared" si="14"/>
        <v>9.51197261489274</v>
      </c>
      <c r="P18" s="32">
        <f t="shared" si="6"/>
        <v>10.5560716766683</v>
      </c>
      <c r="Q18" s="24">
        <f t="shared" si="15"/>
        <v>12496</v>
      </c>
      <c r="R18" s="33">
        <f t="shared" si="16"/>
        <v>0.117077464788732</v>
      </c>
      <c r="S18" s="33">
        <f t="shared" si="2"/>
        <v>1</v>
      </c>
      <c r="T18" s="6" t="str">
        <f t="shared" si="17"/>
        <v>Места накопления ТКО (МНО): 11033 по ФГИС УТКО / 9092 по ТС</v>
      </c>
      <c r="U18" s="6" t="str">
        <f t="shared" si="7"/>
        <v>Наполнение ФГИС УТКО более 100%</v>
      </c>
      <c r="V18" s="34" t="str">
        <f t="shared" si="8"/>
        <v>Аномальные данные территориальной схемы</v>
      </c>
      <c r="W18" s="6" t="str">
        <f t="shared" si="18"/>
        <v>Контейнерные площадки (КП): 10090 по ФГИС УТКО / 12496,0 на 1000 чел.</v>
      </c>
      <c r="X18" s="6">
        <f t="shared" si="9"/>
        <v>0.98960288616425</v>
      </c>
      <c r="Y18" s="6" t="str">
        <f t="shared" si="19"/>
        <v>ниже </v>
      </c>
      <c r="Z18" s="6" t="str">
        <f t="shared" si="20"/>
        <v>Обеспеченность КП ниже среднего по России на 99%</v>
      </c>
      <c r="AA18" s="6" t="str">
        <f t="shared" si="21"/>
        <v>Потребность в КП по данным субъекта 1463 шт. (12% от МНО)</v>
      </c>
      <c r="AB18" s="10" t="str">
        <f t="shared" si="22"/>
        <v>12/10/1 (12%)</v>
      </c>
    </row>
    <row r="19" spans="2:28">
      <c r="B19" s="25" t="s">
        <v>121</v>
      </c>
      <c r="C19" s="22">
        <f t="shared" si="10"/>
        <v>0</v>
      </c>
      <c r="D19" s="42">
        <f t="shared" si="3"/>
        <v>0</v>
      </c>
      <c r="E19" s="22">
        <f t="shared" si="11"/>
        <v>1</v>
      </c>
      <c r="F19" s="22">
        <f t="shared" si="4"/>
        <v>2</v>
      </c>
      <c r="G19" s="22">
        <f t="shared" si="5"/>
        <v>0</v>
      </c>
      <c r="H19" s="24">
        <v>946429</v>
      </c>
      <c r="I19" s="37">
        <v>4098</v>
      </c>
      <c r="J19" s="37">
        <v>4053</v>
      </c>
      <c r="K19" s="37">
        <v>13028</v>
      </c>
      <c r="L19" s="37">
        <v>119</v>
      </c>
      <c r="M19" s="24">
        <f t="shared" si="12"/>
        <v>13028</v>
      </c>
      <c r="N19" s="32">
        <f t="shared" si="13"/>
        <v>4.28241315513367</v>
      </c>
      <c r="O19" s="32">
        <f t="shared" si="14"/>
        <v>13.7654277288629</v>
      </c>
      <c r="P19" s="32">
        <f t="shared" si="6"/>
        <v>13.7654277288629</v>
      </c>
      <c r="Q19" s="24">
        <f t="shared" si="15"/>
        <v>4217</v>
      </c>
      <c r="R19" s="33">
        <f t="shared" si="16"/>
        <v>0.0282191131135879</v>
      </c>
      <c r="S19" s="33">
        <f t="shared" si="2"/>
        <v>0.314553269880258</v>
      </c>
      <c r="T19" s="6" t="str">
        <f t="shared" si="17"/>
        <v>Места накопления ТКО (МНО): 4098 по ФГИС УТКО / 13028 по ТС</v>
      </c>
      <c r="U19" s="6" t="str">
        <f t="shared" si="7"/>
        <v>Наполнение ФГИС УТКО 31%</v>
      </c>
      <c r="V19" s="34" t="str">
        <f t="shared" si="8"/>
        <v>Аномальные данные территориальной схемы</v>
      </c>
      <c r="W19" s="6" t="str">
        <f t="shared" si="18"/>
        <v>Контейнерные площадки (КП): 4053 по ФГИС УТКО / 4217,0 на 1000 чел.</v>
      </c>
      <c r="X19" s="6">
        <f t="shared" si="9"/>
        <v>0.996491306894578</v>
      </c>
      <c r="Y19" s="6" t="str">
        <f t="shared" si="19"/>
        <v>ниже </v>
      </c>
      <c r="Z19" s="6" t="str">
        <f t="shared" si="20"/>
        <v>Обеспеченность КП ниже среднего по России на 100%</v>
      </c>
      <c r="AA19" s="6" t="str">
        <f t="shared" si="21"/>
        <v>Потребность в КП по данным субъекта 119 шт. (3% от МНО)</v>
      </c>
      <c r="AB19" s="10" t="str">
        <f t="shared" si="22"/>
        <v>4/4/0 (3%)</v>
      </c>
    </row>
    <row r="20" spans="2:28">
      <c r="B20" s="25" t="s">
        <v>106</v>
      </c>
      <c r="C20" s="22">
        <f t="shared" si="10"/>
        <v>0</v>
      </c>
      <c r="D20" s="42">
        <f t="shared" si="3"/>
        <v>0</v>
      </c>
      <c r="E20" s="22">
        <f t="shared" si="11"/>
        <v>0</v>
      </c>
      <c r="F20" s="22">
        <f t="shared" si="4"/>
        <v>0</v>
      </c>
      <c r="G20" s="22">
        <f t="shared" si="5"/>
        <v>0</v>
      </c>
      <c r="H20" s="24">
        <v>1500659</v>
      </c>
      <c r="I20" s="37">
        <v>23354</v>
      </c>
      <c r="J20" s="37">
        <v>22859</v>
      </c>
      <c r="K20" s="37">
        <v>15401</v>
      </c>
      <c r="L20" s="37">
        <v>2373</v>
      </c>
      <c r="M20" s="24">
        <f t="shared" si="12"/>
        <v>23354</v>
      </c>
      <c r="N20" s="32">
        <f t="shared" si="13"/>
        <v>15.2326411263318</v>
      </c>
      <c r="O20" s="32">
        <f t="shared" si="14"/>
        <v>10.2628245324221</v>
      </c>
      <c r="P20" s="32">
        <f t="shared" si="6"/>
        <v>15.2326411263318</v>
      </c>
      <c r="Q20" s="24">
        <f t="shared" si="15"/>
        <v>25727</v>
      </c>
      <c r="R20" s="33">
        <f t="shared" si="16"/>
        <v>0.0922377269016986</v>
      </c>
      <c r="S20" s="33">
        <f t="shared" si="2"/>
        <v>1</v>
      </c>
      <c r="T20" s="6" t="str">
        <f t="shared" si="17"/>
        <v>Места накопления ТКО (МНО): 23354 по ФГИС УТКО / 15401 по ТС</v>
      </c>
      <c r="U20" s="6" t="str">
        <f t="shared" si="7"/>
        <v>Наполнение ФГИС УТКО более 100%</v>
      </c>
      <c r="V20" s="34" t="str">
        <f t="shared" si="8"/>
        <v>Аномальные данные территориальной схемы</v>
      </c>
      <c r="W20" s="6" t="str">
        <f t="shared" si="18"/>
        <v>Контейнерные площадки (КП): 22859 по ФГИС УТКО / 25727,0 на 1000 чел.</v>
      </c>
      <c r="X20" s="6">
        <f t="shared" si="9"/>
        <v>0.978594226340243</v>
      </c>
      <c r="Y20" s="6" t="str">
        <f t="shared" si="19"/>
        <v>ниже </v>
      </c>
      <c r="Z20" s="6" t="str">
        <f t="shared" si="20"/>
        <v>Обеспеченность КП ниже среднего по России на 98%</v>
      </c>
      <c r="AA20" s="6" t="str">
        <f t="shared" si="21"/>
        <v>Потребность в КП по данным субъекта 2373 шт. (9% от МНО)</v>
      </c>
      <c r="AB20" s="10" t="str">
        <f t="shared" si="22"/>
        <v>25/23/2 (9%)</v>
      </c>
    </row>
    <row r="21" spans="2:28">
      <c r="B21" s="25" t="s">
        <v>91</v>
      </c>
      <c r="C21" s="22">
        <f t="shared" si="10"/>
        <v>1</v>
      </c>
      <c r="D21" s="42">
        <f t="shared" si="3"/>
        <v>1</v>
      </c>
      <c r="E21" s="22">
        <f t="shared" si="11"/>
        <v>1</v>
      </c>
      <c r="F21" s="22">
        <f t="shared" si="4"/>
        <v>0</v>
      </c>
      <c r="G21" s="22">
        <f t="shared" si="5"/>
        <v>1</v>
      </c>
      <c r="H21" s="24">
        <v>1142404</v>
      </c>
      <c r="I21" s="37">
        <v>6622</v>
      </c>
      <c r="J21" s="37">
        <v>4562</v>
      </c>
      <c r="K21" s="37">
        <v>4704</v>
      </c>
      <c r="L21" s="37">
        <v>3170</v>
      </c>
      <c r="M21" s="24">
        <f t="shared" si="12"/>
        <v>6622</v>
      </c>
      <c r="N21" s="32">
        <f t="shared" si="13"/>
        <v>3.99333335667592</v>
      </c>
      <c r="O21" s="32">
        <f t="shared" si="14"/>
        <v>4.11763264134229</v>
      </c>
      <c r="P21" s="32">
        <f t="shared" si="6"/>
        <v>4.11763264134229</v>
      </c>
      <c r="Q21" s="24">
        <f t="shared" si="15"/>
        <v>9792</v>
      </c>
      <c r="R21" s="33">
        <f t="shared" si="16"/>
        <v>0.323733660130719</v>
      </c>
      <c r="S21" s="33">
        <f t="shared" si="2"/>
        <v>1</v>
      </c>
      <c r="T21" s="6" t="str">
        <f t="shared" si="17"/>
        <v>Места накопления ТКО (МНО): 6622 по ФГИС УТКО / 4704 по ТС</v>
      </c>
      <c r="U21" s="6" t="str">
        <f t="shared" si="7"/>
        <v>Наполнение ФГИС УТКО более 100%</v>
      </c>
      <c r="V21" s="34" t="str">
        <f t="shared" si="8"/>
        <v>Аномальные данные территориальной схемы</v>
      </c>
      <c r="W21" s="6" t="str">
        <f t="shared" si="18"/>
        <v>Контейнерные площадки (КП): 4562 по ФГИС УТКО / 9792,0 на 1000 чел.</v>
      </c>
      <c r="X21" s="6">
        <f t="shared" si="9"/>
        <v>0.991852709772755</v>
      </c>
      <c r="Y21" s="6" t="str">
        <f t="shared" si="19"/>
        <v>ниже </v>
      </c>
      <c r="Z21" s="6" t="str">
        <f t="shared" si="20"/>
        <v>Обеспеченность КП ниже среднего по России на 99%</v>
      </c>
      <c r="AA21" s="6" t="str">
        <f t="shared" si="21"/>
        <v>Потребность в КП по данным субъекта 3170 шт. (32% от МНО)</v>
      </c>
      <c r="AB21" s="10" t="str">
        <f t="shared" si="22"/>
        <v>8/5/3 (32%)</v>
      </c>
    </row>
    <row r="22" spans="2:28">
      <c r="B22" s="25" t="s">
        <v>113</v>
      </c>
      <c r="C22" s="22">
        <f t="shared" si="10"/>
        <v>0</v>
      </c>
      <c r="D22" s="42">
        <f t="shared" si="3"/>
        <v>0</v>
      </c>
      <c r="E22" s="22">
        <f t="shared" si="11"/>
        <v>0</v>
      </c>
      <c r="F22" s="22">
        <f t="shared" si="4"/>
        <v>0</v>
      </c>
      <c r="G22" s="22">
        <f t="shared" si="5"/>
        <v>0</v>
      </c>
      <c r="H22" s="24">
        <v>1309942</v>
      </c>
      <c r="I22" s="37">
        <v>11298</v>
      </c>
      <c r="J22" s="37">
        <v>10378</v>
      </c>
      <c r="K22" s="37">
        <v>9967</v>
      </c>
      <c r="L22" s="37">
        <v>597</v>
      </c>
      <c r="M22" s="24">
        <f t="shared" si="12"/>
        <v>11298</v>
      </c>
      <c r="N22" s="32">
        <f t="shared" si="13"/>
        <v>7.92248817123201</v>
      </c>
      <c r="O22" s="32">
        <f t="shared" si="14"/>
        <v>7.6087338218028</v>
      </c>
      <c r="P22" s="32">
        <f t="shared" si="6"/>
        <v>7.92248817123201</v>
      </c>
      <c r="Q22" s="24">
        <f t="shared" si="15"/>
        <v>11895</v>
      </c>
      <c r="R22" s="33">
        <f t="shared" si="16"/>
        <v>0.0501891551071879</v>
      </c>
      <c r="S22" s="33">
        <f t="shared" si="2"/>
        <v>1</v>
      </c>
      <c r="T22" s="6" t="str">
        <f t="shared" si="17"/>
        <v>Места накопления ТКО (МНО): 11298 по ФГИС УТКО / 9967 по ТС</v>
      </c>
      <c r="U22" s="6" t="str">
        <f t="shared" si="7"/>
        <v>Наполнение ФГИС УТКО более 100%</v>
      </c>
      <c r="V22" s="34" t="str">
        <f t="shared" si="8"/>
        <v>Аномальные данные территориальной схемы</v>
      </c>
      <c r="W22" s="6" t="str">
        <f t="shared" si="18"/>
        <v>Контейнерные площадки (КП): 10378 по ФГИС УТКО / 11895,0 на 1000 чел.</v>
      </c>
      <c r="X22" s="6">
        <f t="shared" si="9"/>
        <v>0.990102939414513</v>
      </c>
      <c r="Y22" s="6" t="str">
        <f t="shared" si="19"/>
        <v>ниже </v>
      </c>
      <c r="Z22" s="6" t="str">
        <f t="shared" si="20"/>
        <v>Обеспеченность КП ниже среднего по России на 99%</v>
      </c>
      <c r="AA22" s="6" t="str">
        <f t="shared" si="21"/>
        <v>Потребность в КП по данным субъекта 597 шт. (5% от МНО)</v>
      </c>
      <c r="AB22" s="10" t="str">
        <f t="shared" si="22"/>
        <v>11/10/1 (5%)</v>
      </c>
    </row>
    <row r="23" spans="2:28">
      <c r="B23" s="25" t="s">
        <v>86</v>
      </c>
      <c r="C23" s="22">
        <f t="shared" si="10"/>
        <v>1</v>
      </c>
      <c r="D23" s="42">
        <f t="shared" si="3"/>
        <v>1</v>
      </c>
      <c r="E23" s="22">
        <f t="shared" si="11"/>
        <v>0</v>
      </c>
      <c r="F23" s="22">
        <f t="shared" si="4"/>
        <v>0</v>
      </c>
      <c r="G23" s="22">
        <f t="shared" si="5"/>
        <v>1</v>
      </c>
      <c r="H23" s="24">
        <v>2453898</v>
      </c>
      <c r="I23" s="37">
        <v>20660</v>
      </c>
      <c r="J23" s="37">
        <v>19977</v>
      </c>
      <c r="K23" s="37">
        <v>18006</v>
      </c>
      <c r="L23" s="37">
        <v>5397</v>
      </c>
      <c r="M23" s="24">
        <f t="shared" si="12"/>
        <v>20660</v>
      </c>
      <c r="N23" s="32">
        <f t="shared" si="13"/>
        <v>8.14092517292895</v>
      </c>
      <c r="O23" s="32">
        <f t="shared" si="14"/>
        <v>7.33771330348694</v>
      </c>
      <c r="P23" s="32">
        <f t="shared" si="6"/>
        <v>8.14092517292895</v>
      </c>
      <c r="Q23" s="24">
        <f t="shared" si="15"/>
        <v>26057</v>
      </c>
      <c r="R23" s="33">
        <f t="shared" si="16"/>
        <v>0.207122846068235</v>
      </c>
      <c r="S23" s="33">
        <f t="shared" si="2"/>
        <v>1</v>
      </c>
      <c r="T23" s="6" t="str">
        <f t="shared" si="17"/>
        <v>Места накопления ТКО (МНО): 20660 по ФГИС УТКО / 18006 по ТС</v>
      </c>
      <c r="U23" s="6" t="str">
        <f t="shared" si="7"/>
        <v>Наполнение ФГИС УТКО более 100%</v>
      </c>
      <c r="V23" s="34" t="str">
        <f t="shared" si="8"/>
        <v>Аномальные данные территориальной схемы</v>
      </c>
      <c r="W23" s="6" t="str">
        <f t="shared" si="18"/>
        <v>Контейнерные площадки (КП): 19977 по ФГИС УТКО / 26057,0 на 1000 чел.</v>
      </c>
      <c r="X23" s="6">
        <f t="shared" si="9"/>
        <v>0.978319654672045</v>
      </c>
      <c r="Y23" s="6" t="str">
        <f t="shared" si="19"/>
        <v>ниже </v>
      </c>
      <c r="Z23" s="6" t="str">
        <f t="shared" si="20"/>
        <v>Обеспеченность КП ниже среднего по России на 98%</v>
      </c>
      <c r="AA23" s="6" t="str">
        <f t="shared" si="21"/>
        <v>Потребность в КП по данным субъекта 5397 шт. (21% от МНО)</v>
      </c>
      <c r="AB23" s="10" t="str">
        <f t="shared" si="22"/>
        <v>25/20/5 (21%)</v>
      </c>
    </row>
    <row r="24" spans="2:28">
      <c r="B24" s="25" t="s">
        <v>107</v>
      </c>
      <c r="C24" s="22">
        <f t="shared" si="10"/>
        <v>1</v>
      </c>
      <c r="D24" s="42">
        <f t="shared" si="3"/>
        <v>1</v>
      </c>
      <c r="E24" s="22">
        <f t="shared" si="11"/>
        <v>0</v>
      </c>
      <c r="F24" s="22">
        <f t="shared" si="4"/>
        <v>0</v>
      </c>
      <c r="G24" s="22">
        <f t="shared" si="5"/>
        <v>1</v>
      </c>
      <c r="H24" s="24">
        <v>1121343</v>
      </c>
      <c r="I24" s="37">
        <v>14936</v>
      </c>
      <c r="J24" s="37">
        <v>14399</v>
      </c>
      <c r="K24" s="37">
        <v>12713</v>
      </c>
      <c r="L24" s="37">
        <v>5278</v>
      </c>
      <c r="M24" s="24">
        <f t="shared" si="12"/>
        <v>14936</v>
      </c>
      <c r="N24" s="32">
        <f t="shared" si="13"/>
        <v>12.8408524421163</v>
      </c>
      <c r="O24" s="32">
        <f t="shared" si="14"/>
        <v>11.3372982218643</v>
      </c>
      <c r="P24" s="32">
        <f t="shared" si="6"/>
        <v>12.8408524421163</v>
      </c>
      <c r="Q24" s="24">
        <f t="shared" si="15"/>
        <v>20214</v>
      </c>
      <c r="R24" s="33">
        <f t="shared" si="16"/>
        <v>0.261106164044721</v>
      </c>
      <c r="S24" s="33">
        <f t="shared" si="2"/>
        <v>1</v>
      </c>
      <c r="T24" s="6" t="str">
        <f t="shared" si="17"/>
        <v>Места накопления ТКО (МНО): 14936 по ФГИС УТКО / 12713 по ТС</v>
      </c>
      <c r="U24" s="6" t="str">
        <f t="shared" si="7"/>
        <v>Наполнение ФГИС УТКО более 100%</v>
      </c>
      <c r="V24" s="34" t="str">
        <f t="shared" si="8"/>
        <v>Аномальные данные территориальной схемы</v>
      </c>
      <c r="W24" s="6" t="str">
        <f t="shared" si="18"/>
        <v>Контейнерные площадки (КП): 14399 по ФГИС УТКО / 20214,0 на 1000 чел.</v>
      </c>
      <c r="X24" s="6">
        <f t="shared" si="9"/>
        <v>0.983181237269859</v>
      </c>
      <c r="Y24" s="6" t="str">
        <f t="shared" si="19"/>
        <v>ниже </v>
      </c>
      <c r="Z24" s="6" t="str">
        <f t="shared" si="20"/>
        <v>Обеспеченность КП ниже среднего по России на 98%</v>
      </c>
      <c r="AA24" s="6" t="str">
        <f t="shared" si="21"/>
        <v>Потребность в КП по данным субъекта 5278 шт. (26% от МНО)</v>
      </c>
      <c r="AB24" s="10" t="str">
        <f t="shared" si="22"/>
        <v>20/14/5 (26%)</v>
      </c>
    </row>
    <row r="25" spans="2:28">
      <c r="B25" s="25" t="s">
        <v>137</v>
      </c>
      <c r="C25" s="22">
        <f t="shared" si="10"/>
        <v>1</v>
      </c>
      <c r="D25" s="42">
        <f t="shared" si="3"/>
        <v>1</v>
      </c>
      <c r="E25" s="22">
        <f t="shared" si="11"/>
        <v>0</v>
      </c>
      <c r="F25" s="22">
        <f t="shared" si="4"/>
        <v>0</v>
      </c>
      <c r="G25" s="22">
        <f t="shared" si="5"/>
        <v>1</v>
      </c>
      <c r="H25" s="24">
        <v>2273417</v>
      </c>
      <c r="I25" s="37">
        <v>21745</v>
      </c>
      <c r="J25" s="37">
        <v>19315</v>
      </c>
      <c r="K25" s="37">
        <v>21653</v>
      </c>
      <c r="L25" s="37">
        <v>10395</v>
      </c>
      <c r="M25" s="24">
        <f t="shared" si="12"/>
        <v>21745</v>
      </c>
      <c r="N25" s="32">
        <f t="shared" si="13"/>
        <v>8.49602162735653</v>
      </c>
      <c r="O25" s="32">
        <f t="shared" si="14"/>
        <v>9.52442952612741</v>
      </c>
      <c r="P25" s="32">
        <f t="shared" si="6"/>
        <v>9.52442952612741</v>
      </c>
      <c r="Q25" s="24">
        <f t="shared" si="15"/>
        <v>32140</v>
      </c>
      <c r="R25" s="33">
        <f t="shared" si="16"/>
        <v>0.323428749222153</v>
      </c>
      <c r="S25" s="33">
        <f t="shared" si="2"/>
        <v>1</v>
      </c>
      <c r="T25" s="6" t="str">
        <f t="shared" si="17"/>
        <v>Места накопления ТКО (МНО): 21745 по ФГИС УТКО / 21653 по ТС</v>
      </c>
      <c r="U25" s="6" t="str">
        <f t="shared" si="7"/>
        <v>Наполнение ФГИС УТКО более 100%</v>
      </c>
      <c r="V25" s="34" t="str">
        <f t="shared" si="8"/>
        <v>Аномальные данные территориальной схемы</v>
      </c>
      <c r="W25" s="6" t="str">
        <f t="shared" si="18"/>
        <v>Контейнерные площадки (КП): 19315 по ФГИС УТКО / 32140,0 на 1000 чел.</v>
      </c>
      <c r="X25" s="6">
        <f t="shared" si="9"/>
        <v>0.973258383588269</v>
      </c>
      <c r="Y25" s="6" t="str">
        <f t="shared" si="19"/>
        <v>ниже </v>
      </c>
      <c r="Z25" s="6" t="str">
        <f t="shared" si="20"/>
        <v>Обеспеченность КП ниже среднего по России на 97%</v>
      </c>
      <c r="AA25" s="6" t="str">
        <f t="shared" si="21"/>
        <v>Потребность в КП по данным субъекта 10395 шт. (32% от МНО)</v>
      </c>
      <c r="AB25" s="10" t="str">
        <f t="shared" si="22"/>
        <v>30/19/10 (32%)</v>
      </c>
    </row>
    <row r="26" spans="2:27">
      <c r="B26" s="25" t="s">
        <v>68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24">
        <v>13149803</v>
      </c>
      <c r="I26" s="37">
        <v>0</v>
      </c>
      <c r="J26" s="37">
        <v>0</v>
      </c>
      <c r="K26" s="37">
        <v>46252</v>
      </c>
      <c r="L26" s="37">
        <v>0</v>
      </c>
      <c r="M26" s="24">
        <f t="shared" si="12"/>
        <v>46252</v>
      </c>
      <c r="N26" s="32">
        <f t="shared" si="13"/>
        <v>0</v>
      </c>
      <c r="O26" s="32">
        <f t="shared" si="14"/>
        <v>3.5173150502711</v>
      </c>
      <c r="P26" s="32">
        <f t="shared" si="6"/>
        <v>3.5173150502711</v>
      </c>
      <c r="Q26" s="24">
        <f t="shared" si="15"/>
        <v>0</v>
      </c>
      <c r="R26" s="33"/>
      <c r="S26" s="33"/>
      <c r="T26" s="6" t="str">
        <f t="shared" si="17"/>
        <v>Места накопления ТКО (МНО): 0 по ФГИС УТКО / 46252 по ТС</v>
      </c>
      <c r="U26" s="6" t="str">
        <f t="shared" si="7"/>
        <v>Наполнение ФГИС УТКО 0%</v>
      </c>
      <c r="V26" s="34" t="str">
        <f t="shared" si="8"/>
        <v>Аномальные данные территориальной схемы</v>
      </c>
      <c r="W26" s="6" t="str">
        <f t="shared" si="18"/>
        <v>Контейнерные площадки (КП): 0 по ФГИС УТКО / 0,0 на 1000 чел.</v>
      </c>
      <c r="X26" s="6">
        <f t="shared" si="9"/>
        <v>1</v>
      </c>
      <c r="Y26" s="6" t="str">
        <f t="shared" si="19"/>
        <v>ниже </v>
      </c>
      <c r="Z26" s="6" t="str">
        <f t="shared" si="20"/>
        <v>Обеспеченность КП ниже среднего по России на 100%</v>
      </c>
      <c r="AA26" s="6" t="str">
        <f t="shared" si="21"/>
        <v>Потребность в КП не представлена</v>
      </c>
    </row>
    <row r="27" spans="2:27">
      <c r="B27" s="25" t="s">
        <v>71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24">
        <v>5597763</v>
      </c>
      <c r="I27" s="37">
        <v>0</v>
      </c>
      <c r="J27" s="37">
        <v>0</v>
      </c>
      <c r="K27" s="37">
        <v>38963</v>
      </c>
      <c r="L27" s="37">
        <v>0</v>
      </c>
      <c r="M27" s="24">
        <f t="shared" si="12"/>
        <v>38963</v>
      </c>
      <c r="N27" s="32">
        <f t="shared" si="13"/>
        <v>0</v>
      </c>
      <c r="O27" s="32">
        <f t="shared" si="14"/>
        <v>6.96045902622172</v>
      </c>
      <c r="P27" s="32">
        <f t="shared" si="6"/>
        <v>6.96045902622172</v>
      </c>
      <c r="Q27" s="24">
        <f t="shared" si="15"/>
        <v>0</v>
      </c>
      <c r="R27" s="33"/>
      <c r="S27" s="33"/>
      <c r="T27" s="6" t="str">
        <f t="shared" si="17"/>
        <v>Места накопления ТКО (МНО): 0 по ФГИС УТКО / 38963 по ТС</v>
      </c>
      <c r="U27" s="6" t="str">
        <f t="shared" si="7"/>
        <v>Наполнение ФГИС УТКО 0%</v>
      </c>
      <c r="V27" s="34" t="str">
        <f t="shared" si="8"/>
        <v>Аномальные данные территориальной схемы</v>
      </c>
      <c r="W27" s="6" t="str">
        <f t="shared" si="18"/>
        <v>Контейнерные площадки (КП): 0 по ФГИС УТКО / 0,0 на 1000 чел.</v>
      </c>
      <c r="X27" s="6">
        <f t="shared" si="9"/>
        <v>1</v>
      </c>
      <c r="Y27" s="6" t="str">
        <f t="shared" si="19"/>
        <v>ниже </v>
      </c>
      <c r="Z27" s="6" t="str">
        <f t="shared" si="20"/>
        <v>Обеспеченность КП ниже среднего по России на 100%</v>
      </c>
      <c r="AA27" s="6" t="str">
        <f t="shared" si="21"/>
        <v>Потребность в КП не представлена</v>
      </c>
    </row>
    <row r="28" spans="2:27">
      <c r="B28" s="25" t="s">
        <v>118</v>
      </c>
      <c r="C28" s="64">
        <v>0</v>
      </c>
      <c r="D28" s="64">
        <v>0</v>
      </c>
      <c r="E28" s="64">
        <v>0</v>
      </c>
      <c r="F28" s="64">
        <v>0</v>
      </c>
      <c r="G28" s="64">
        <v>0</v>
      </c>
      <c r="H28" s="24">
        <v>561374</v>
      </c>
      <c r="I28" s="37">
        <v>0</v>
      </c>
      <c r="J28" s="37">
        <v>0</v>
      </c>
      <c r="K28" s="37">
        <v>2205</v>
      </c>
      <c r="L28" s="37">
        <v>0</v>
      </c>
      <c r="M28" s="24">
        <f t="shared" si="12"/>
        <v>2205</v>
      </c>
      <c r="N28" s="32">
        <f t="shared" si="13"/>
        <v>0</v>
      </c>
      <c r="O28" s="32">
        <f t="shared" si="14"/>
        <v>3.9278627082836</v>
      </c>
      <c r="P28" s="32">
        <f t="shared" si="6"/>
        <v>3.9278627082836</v>
      </c>
      <c r="Q28" s="24">
        <f t="shared" si="15"/>
        <v>0</v>
      </c>
      <c r="R28" s="33"/>
      <c r="S28" s="33"/>
      <c r="T28" s="6" t="str">
        <f t="shared" si="17"/>
        <v>Места накопления ТКО (МНО): 0 по ФГИС УТКО / 2205 по ТС</v>
      </c>
      <c r="U28" s="6" t="str">
        <f t="shared" si="7"/>
        <v>Наполнение ФГИС УТКО 0%</v>
      </c>
      <c r="V28" s="34" t="str">
        <f t="shared" si="8"/>
        <v>Аномальные данные территориальной схемы</v>
      </c>
      <c r="W28" s="6" t="str">
        <f t="shared" si="18"/>
        <v>Контейнерные площадки (КП): 0 по ФГИС УТКО / 0,0 на 1000 чел.</v>
      </c>
      <c r="X28" s="6">
        <f t="shared" si="9"/>
        <v>1</v>
      </c>
      <c r="Y28" s="6" t="str">
        <f t="shared" si="19"/>
        <v>ниже </v>
      </c>
      <c r="Z28" s="6" t="str">
        <f t="shared" si="20"/>
        <v>Обеспеченность КП ниже среднего по России на 100%</v>
      </c>
      <c r="AA28" s="6" t="str">
        <f t="shared" si="21"/>
        <v>Потребность в КП не представлена</v>
      </c>
    </row>
    <row r="29" spans="2:22">
      <c r="B29" s="25" t="s">
        <v>160</v>
      </c>
      <c r="C29" s="64">
        <v>0</v>
      </c>
      <c r="D29" s="64">
        <v>0</v>
      </c>
      <c r="E29" s="64">
        <v>0</v>
      </c>
      <c r="F29" s="64">
        <v>0</v>
      </c>
      <c r="G29" s="64">
        <v>0</v>
      </c>
      <c r="H29" s="24"/>
      <c r="I29" s="37"/>
      <c r="J29" s="37"/>
      <c r="K29" s="37">
        <v>0</v>
      </c>
      <c r="L29" s="37">
        <v>0</v>
      </c>
      <c r="M29" s="24"/>
      <c r="N29" s="32"/>
      <c r="O29" s="32"/>
      <c r="P29" s="32"/>
      <c r="Q29" s="24">
        <f t="shared" si="15"/>
        <v>0</v>
      </c>
      <c r="R29" s="33"/>
      <c r="S29" s="33"/>
      <c r="T29" s="6"/>
      <c r="V29" s="34"/>
    </row>
    <row r="30" spans="2:28">
      <c r="B30" s="25" t="s">
        <v>131</v>
      </c>
      <c r="C30" s="22">
        <f t="shared" si="10"/>
        <v>1</v>
      </c>
      <c r="D30" s="42">
        <f t="shared" ref="D30:D93" si="23">E30*$E$11+F30*$F$11+G30*$G$11</f>
        <v>1</v>
      </c>
      <c r="E30" s="22">
        <f t="shared" si="11"/>
        <v>1</v>
      </c>
      <c r="F30" s="22">
        <f t="shared" ref="F30:F93" si="24">IF(S30&lt;$S$7,2,IF(S30&lt;$S$9,1,0))</f>
        <v>0</v>
      </c>
      <c r="G30" s="22">
        <f>IF(OR(R30&gt;$R$8,R30&lt;=$R$7),2,IF(R30&gt;$R$10,1,0))</f>
        <v>1</v>
      </c>
      <c r="H30" s="24">
        <v>145802</v>
      </c>
      <c r="I30" s="37">
        <v>742</v>
      </c>
      <c r="J30" s="37">
        <v>719</v>
      </c>
      <c r="K30" s="37">
        <v>856</v>
      </c>
      <c r="L30" s="37">
        <v>300</v>
      </c>
      <c r="M30" s="24">
        <f>MAX(I30,K30)</f>
        <v>856</v>
      </c>
      <c r="N30" s="32">
        <f t="shared" si="13"/>
        <v>4.93134524903636</v>
      </c>
      <c r="O30" s="32">
        <f t="shared" si="14"/>
        <v>5.87097570678043</v>
      </c>
      <c r="P30" s="32">
        <f t="shared" si="6"/>
        <v>5.87097570678043</v>
      </c>
      <c r="Q30" s="24">
        <f t="shared" si="15"/>
        <v>1042</v>
      </c>
      <c r="R30" s="33">
        <f t="shared" si="16"/>
        <v>0.287907869481766</v>
      </c>
      <c r="S30" s="33">
        <f>I30/MAX(I30,K30)</f>
        <v>0.866822429906542</v>
      </c>
      <c r="T30" s="6" t="str">
        <f>_xlfn.TEXTJOIN(,0,"Места накопления ТКО (МНО): ",I30," по ФГИС УТКО / ",K30," по ТС")</f>
        <v>Места накопления ТКО (МНО): 742 по ФГИС УТКО / 856 по ТС</v>
      </c>
      <c r="U30" s="6" t="str">
        <f>_xlfn.TEXTJOIN(,0,"Наполнение ФГИС УТКО"," ",IF(I30&lt;=K30,TEXT(S30,"0%"),"более 100%"))</f>
        <v>Наполнение ФГИС УТКО 87%</v>
      </c>
      <c r="V30" s="34" t="str">
        <f>IF(O30&gt;$O$8,$V$107,IF(Q30&gt;$Q$10,$V$108,IF(I30&gt;K30*(1+$K$10),$V$109,"")))</f>
        <v>Аномальные данные территориальной схемы</v>
      </c>
      <c r="W30" s="6" t="str">
        <f>_xlfn.TEXTJOIN(,0,"Контейнерные площадки (КП): ",J30," по ФГИС УТКО / ",TEXT(Q30,"0,0")," на 1000 чел.")</f>
        <v>Контейнерные площадки (КП): 719 по ФГИС УТКО / 1042,0 на 1000 чел.</v>
      </c>
      <c r="X30" s="6">
        <f t="shared" si="9"/>
        <v>0.999133019156782</v>
      </c>
      <c r="Y30" s="6" t="str">
        <f t="shared" si="19"/>
        <v>ниже </v>
      </c>
      <c r="Z30" s="6" t="str">
        <f t="shared" si="20"/>
        <v>Обеспеченность КП ниже среднего по России на 100%</v>
      </c>
      <c r="AA30" s="6" t="str">
        <f t="shared" si="21"/>
        <v>Потребность в КП по данным субъекта 300 шт. (29% от МНО)</v>
      </c>
      <c r="AB30" s="10" t="str">
        <f t="shared" si="22"/>
        <v>1/1/0 (29%)</v>
      </c>
    </row>
    <row r="31" spans="2:28">
      <c r="B31" s="25" t="s">
        <v>155</v>
      </c>
      <c r="C31" s="22">
        <f t="shared" si="10"/>
        <v>2</v>
      </c>
      <c r="D31" s="42">
        <f t="shared" si="23"/>
        <v>2</v>
      </c>
      <c r="E31" s="22">
        <f t="shared" si="11"/>
        <v>1</v>
      </c>
      <c r="F31" s="22">
        <f t="shared" si="24"/>
        <v>2</v>
      </c>
      <c r="G31" s="22">
        <f t="shared" ref="G31:G93" si="25">IF(OR(R31&gt;$R$8,R31&lt;=$R$7),2,IF(R31&gt;$R$10,1,0))</f>
        <v>2</v>
      </c>
      <c r="H31" s="24">
        <v>984395</v>
      </c>
      <c r="I31" s="37">
        <v>5551</v>
      </c>
      <c r="J31" s="37">
        <v>4003</v>
      </c>
      <c r="K31" s="37">
        <v>8880</v>
      </c>
      <c r="L31" s="37">
        <v>4539</v>
      </c>
      <c r="M31" s="24">
        <f>MAX(I31,K31)</f>
        <v>8880</v>
      </c>
      <c r="N31" s="32">
        <f t="shared" si="13"/>
        <v>4.06645706245968</v>
      </c>
      <c r="O31" s="32">
        <f t="shared" si="14"/>
        <v>9.02076910183412</v>
      </c>
      <c r="P31" s="32">
        <f t="shared" si="6"/>
        <v>9.02076910183412</v>
      </c>
      <c r="Q31" s="24">
        <f t="shared" si="15"/>
        <v>10090</v>
      </c>
      <c r="R31" s="33">
        <f t="shared" si="16"/>
        <v>0.449851337958375</v>
      </c>
      <c r="S31" s="33">
        <f>I31/MAX(I31,K31)</f>
        <v>0.625112612612613</v>
      </c>
      <c r="T31" s="6" t="str">
        <f>_xlfn.TEXTJOIN(,0,"Места накопления ТКО (МНО): ",I31," по ФГИС УТКО / ",K31," по ТС")</f>
        <v>Места накопления ТКО (МНО): 5551 по ФГИС УТКО / 8880 по ТС</v>
      </c>
      <c r="U31" s="6" t="str">
        <f>_xlfn.TEXTJOIN(,0,"Наполнение ФГИС УТКО"," ",IF(I31&lt;=K31,TEXT(S31,"0%"),"более 100%"))</f>
        <v>Наполнение ФГИС УТКО 63%</v>
      </c>
      <c r="V31" s="34" t="str">
        <f>IF(O31&gt;$O$8,$V$107,IF(Q31&gt;$Q$10,$V$108,IF(I31&gt;K31*(1+$K$10),$V$109,"")))</f>
        <v>Аномальные данные территориальной схемы</v>
      </c>
      <c r="W31" s="6" t="str">
        <f>_xlfn.TEXTJOIN(,0,"Контейнерные площадки (КП): ",J31," по ФГИС УТКО / ",TEXT(Q31,"0,0")," на 1000 чел.")</f>
        <v>Контейнерные площадки (КП): 4003 по ФГИС УТКО / 10090,0 на 1000 чел.</v>
      </c>
      <c r="X31" s="6">
        <f t="shared" si="9"/>
        <v>0.991604763236018</v>
      </c>
      <c r="Y31" s="6" t="str">
        <f t="shared" si="19"/>
        <v>ниже </v>
      </c>
      <c r="Z31" s="6" t="str">
        <f t="shared" si="20"/>
        <v>Обеспеченность КП ниже среднего по России на 99%</v>
      </c>
      <c r="AA31" s="6" t="str">
        <f t="shared" si="21"/>
        <v>Потребность в КП по данным субъекта 4539 шт. (45% от МНО)</v>
      </c>
      <c r="AB31" s="10" t="str">
        <f t="shared" si="22"/>
        <v>9/4/5 (45%)</v>
      </c>
    </row>
    <row r="32" spans="2:22">
      <c r="B32" s="25" t="s">
        <v>161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24"/>
      <c r="I32" s="37"/>
      <c r="J32" s="37"/>
      <c r="K32" s="37">
        <v>0</v>
      </c>
      <c r="L32" s="37">
        <v>0</v>
      </c>
      <c r="M32" s="24"/>
      <c r="N32" s="32"/>
      <c r="O32" s="32"/>
      <c r="P32" s="32"/>
      <c r="Q32" s="24">
        <f t="shared" si="15"/>
        <v>0</v>
      </c>
      <c r="R32" s="33"/>
      <c r="S32" s="33"/>
      <c r="T32" s="6"/>
      <c r="V32" s="34"/>
    </row>
    <row r="33" spans="2:28">
      <c r="B33" s="25" t="s">
        <v>81</v>
      </c>
      <c r="C33" s="22">
        <f t="shared" si="10"/>
        <v>2</v>
      </c>
      <c r="D33" s="42">
        <f t="shared" si="23"/>
        <v>2</v>
      </c>
      <c r="E33" s="22">
        <f t="shared" si="11"/>
        <v>1</v>
      </c>
      <c r="F33" s="22">
        <f t="shared" si="24"/>
        <v>2</v>
      </c>
      <c r="G33" s="22">
        <f t="shared" si="25"/>
        <v>2</v>
      </c>
      <c r="H33" s="24">
        <v>905900</v>
      </c>
      <c r="I33" s="37">
        <v>5441</v>
      </c>
      <c r="J33" s="37">
        <v>5379</v>
      </c>
      <c r="K33" s="37">
        <v>8927</v>
      </c>
      <c r="L33" s="37">
        <v>0</v>
      </c>
      <c r="M33" s="24">
        <f t="shared" ref="M33:M48" si="26">MAX(I33,K33)</f>
        <v>8927</v>
      </c>
      <c r="N33" s="32">
        <f t="shared" si="13"/>
        <v>5.93774147256872</v>
      </c>
      <c r="O33" s="32">
        <f t="shared" si="14"/>
        <v>9.8542885528204</v>
      </c>
      <c r="P33" s="32">
        <f t="shared" si="6"/>
        <v>9.8542885528204</v>
      </c>
      <c r="Q33" s="24">
        <f t="shared" si="15"/>
        <v>5441</v>
      </c>
      <c r="R33" s="33">
        <f t="shared" si="16"/>
        <v>0</v>
      </c>
      <c r="S33" s="33">
        <f t="shared" ref="S33:S48" si="27">I33/MAX(I33,K33)</f>
        <v>0.609499271871849</v>
      </c>
      <c r="T33" s="6" t="str">
        <f t="shared" ref="T33:T48" si="28">_xlfn.TEXTJOIN(,0,"Места накопления ТКО (МНО): ",I33," по ФГИС УТКО / ",K33," по ТС")</f>
        <v>Места накопления ТКО (МНО): 5441 по ФГИС УТКО / 8927 по ТС</v>
      </c>
      <c r="U33" s="6" t="str">
        <f t="shared" ref="U33:U48" si="29">_xlfn.TEXTJOIN(,0,"Наполнение ФГИС УТКО"," ",IF(I33&lt;=K33,TEXT(S33,"0%"),"более 100%"))</f>
        <v>Наполнение ФГИС УТКО 61%</v>
      </c>
      <c r="V33" s="34" t="str">
        <f t="shared" ref="V33:V48" si="30">IF(O33&gt;$O$8,$V$107,IF(Q33&gt;$Q$10,$V$108,IF(I33&gt;K33*(1+$K$10),$V$109,"")))</f>
        <v>Аномальные данные территориальной схемы</v>
      </c>
      <c r="W33" s="6" t="str">
        <f t="shared" ref="W33:W48" si="31">_xlfn.TEXTJOIN(,0,"Контейнерные площадки (КП): ",J33," по ФГИС УТКО / ",TEXT(Q33,"0,0")," на 1000 чел.")</f>
        <v>Контейнерные площадки (КП): 5379 по ФГИС УТКО / 5441,0 на 1000 чел.</v>
      </c>
      <c r="X33" s="6">
        <f t="shared" si="9"/>
        <v>0.995472895616172</v>
      </c>
      <c r="Y33" s="6" t="str">
        <f t="shared" si="19"/>
        <v>ниже </v>
      </c>
      <c r="Z33" s="6" t="str">
        <f t="shared" si="20"/>
        <v>Обеспеченность КП ниже среднего по России на 100%</v>
      </c>
      <c r="AA33" s="6" t="str">
        <f t="shared" si="21"/>
        <v>Потребность в КП не представлена</v>
      </c>
      <c r="AB33" s="10" t="str">
        <f t="shared" si="22"/>
        <v>5/5/0 (0%)</v>
      </c>
    </row>
    <row r="34" spans="2:28">
      <c r="B34" s="25" t="s">
        <v>148</v>
      </c>
      <c r="C34" s="22">
        <f t="shared" si="10"/>
        <v>0</v>
      </c>
      <c r="D34" s="42">
        <f t="shared" si="23"/>
        <v>0</v>
      </c>
      <c r="E34" s="22">
        <f t="shared" si="11"/>
        <v>0</v>
      </c>
      <c r="F34" s="22">
        <f t="shared" si="24"/>
        <v>1</v>
      </c>
      <c r="G34" s="22">
        <f t="shared" si="25"/>
        <v>0</v>
      </c>
      <c r="H34" s="24">
        <v>2330537</v>
      </c>
      <c r="I34" s="37">
        <v>17919</v>
      </c>
      <c r="J34" s="37">
        <v>17277</v>
      </c>
      <c r="K34" s="37">
        <v>26480</v>
      </c>
      <c r="L34" s="37">
        <v>3622</v>
      </c>
      <c r="M34" s="24">
        <f t="shared" si="26"/>
        <v>26480</v>
      </c>
      <c r="N34" s="32">
        <f t="shared" si="13"/>
        <v>7.41331289741377</v>
      </c>
      <c r="O34" s="32">
        <f t="shared" si="14"/>
        <v>11.3621881995437</v>
      </c>
      <c r="P34" s="32">
        <f t="shared" si="6"/>
        <v>11.3621881995437</v>
      </c>
      <c r="Q34" s="24">
        <f t="shared" si="15"/>
        <v>21541</v>
      </c>
      <c r="R34" s="33">
        <f t="shared" si="16"/>
        <v>0.168144468687619</v>
      </c>
      <c r="S34" s="33">
        <f t="shared" si="27"/>
        <v>0.676699395770393</v>
      </c>
      <c r="T34" s="6" t="str">
        <f t="shared" si="28"/>
        <v>Места накопления ТКО (МНО): 17919 по ФГИС УТКО / 26480 по ТС</v>
      </c>
      <c r="U34" s="6" t="str">
        <f t="shared" si="29"/>
        <v>Наполнение ФГИС УТКО 68%</v>
      </c>
      <c r="V34" s="34" t="str">
        <f t="shared" si="30"/>
        <v>Аномальные данные территориальной схемы</v>
      </c>
      <c r="W34" s="6" t="str">
        <f t="shared" si="31"/>
        <v>Контейнерные площадки (КП): 17277 по ФГИС УТКО / 21541,0 на 1000 чел.</v>
      </c>
      <c r="X34" s="6">
        <f t="shared" si="9"/>
        <v>0.982077126349561</v>
      </c>
      <c r="Y34" s="6" t="str">
        <f t="shared" si="19"/>
        <v>ниже </v>
      </c>
      <c r="Z34" s="6" t="str">
        <f t="shared" si="20"/>
        <v>Обеспеченность КП ниже среднего по России на 98%</v>
      </c>
      <c r="AA34" s="6" t="str">
        <f t="shared" si="21"/>
        <v>Потребность в КП по данным субъекта 3622 шт. (17% от МНО)</v>
      </c>
      <c r="AB34" s="10" t="str">
        <f t="shared" si="22"/>
        <v>21/17/4 (17%)</v>
      </c>
    </row>
    <row r="35" spans="2:28">
      <c r="B35" s="25" t="s">
        <v>126</v>
      </c>
      <c r="C35" s="22">
        <f t="shared" si="10"/>
        <v>2</v>
      </c>
      <c r="D35" s="42">
        <f t="shared" si="23"/>
        <v>2</v>
      </c>
      <c r="E35" s="22">
        <f t="shared" si="11"/>
        <v>2</v>
      </c>
      <c r="F35" s="22">
        <f t="shared" si="24"/>
        <v>2</v>
      </c>
      <c r="G35" s="22">
        <f t="shared" si="25"/>
        <v>2</v>
      </c>
      <c r="H35" s="24">
        <v>905464</v>
      </c>
      <c r="I35" s="37">
        <v>2337</v>
      </c>
      <c r="J35" s="37">
        <v>1818</v>
      </c>
      <c r="K35" s="37">
        <v>4092</v>
      </c>
      <c r="L35" s="37">
        <v>0</v>
      </c>
      <c r="M35" s="24">
        <f t="shared" si="26"/>
        <v>4092</v>
      </c>
      <c r="N35" s="32">
        <f t="shared" si="13"/>
        <v>2.00781036021311</v>
      </c>
      <c r="O35" s="32">
        <f t="shared" si="14"/>
        <v>4.51922991968758</v>
      </c>
      <c r="P35" s="32">
        <f t="shared" si="6"/>
        <v>4.51922991968758</v>
      </c>
      <c r="Q35" s="24">
        <f t="shared" si="15"/>
        <v>2337</v>
      </c>
      <c r="R35" s="33">
        <f t="shared" si="16"/>
        <v>0</v>
      </c>
      <c r="S35" s="33">
        <f t="shared" si="27"/>
        <v>0.571114369501466</v>
      </c>
      <c r="T35" s="6" t="str">
        <f t="shared" si="28"/>
        <v>Места накопления ТКО (МНО): 2337 по ФГИС УТКО / 4092 по ТС</v>
      </c>
      <c r="U35" s="6" t="str">
        <f t="shared" si="29"/>
        <v>Наполнение ФГИС УТКО 57%</v>
      </c>
      <c r="V35" s="34" t="str">
        <f t="shared" si="30"/>
        <v>Аномальные данные территориальной схемы</v>
      </c>
      <c r="W35" s="6" t="str">
        <f t="shared" si="31"/>
        <v>Контейнерные площадки (КП): 1818 по ФГИС УТКО / 2337,0 на 1000 чел.</v>
      </c>
      <c r="X35" s="6">
        <f t="shared" si="9"/>
        <v>0.998055533367946</v>
      </c>
      <c r="Y35" s="6" t="str">
        <f t="shared" si="19"/>
        <v>ниже </v>
      </c>
      <c r="Z35" s="6" t="str">
        <f t="shared" si="20"/>
        <v>Обеспеченность КП ниже среднего по России на 100%</v>
      </c>
      <c r="AA35" s="6" t="str">
        <f t="shared" si="21"/>
        <v>Потребность в КП не представлена</v>
      </c>
      <c r="AB35" s="10" t="str">
        <f t="shared" si="22"/>
        <v>2/2/0 (0%)</v>
      </c>
    </row>
    <row r="36" spans="2:28">
      <c r="B36" s="25" t="s">
        <v>119</v>
      </c>
      <c r="C36" s="22">
        <f t="shared" si="10"/>
        <v>0</v>
      </c>
      <c r="D36" s="42">
        <f t="shared" si="23"/>
        <v>0</v>
      </c>
      <c r="E36" s="22">
        <f t="shared" si="11"/>
        <v>0</v>
      </c>
      <c r="F36" s="22">
        <f t="shared" si="24"/>
        <v>0</v>
      </c>
      <c r="G36" s="22">
        <f t="shared" si="25"/>
        <v>0</v>
      </c>
      <c r="H36" s="24">
        <v>1033914</v>
      </c>
      <c r="I36" s="37">
        <v>11788</v>
      </c>
      <c r="J36" s="37">
        <v>10857</v>
      </c>
      <c r="K36" s="37">
        <v>13421</v>
      </c>
      <c r="L36" s="37">
        <v>2554</v>
      </c>
      <c r="M36" s="24">
        <f t="shared" si="26"/>
        <v>13421</v>
      </c>
      <c r="N36" s="32">
        <f t="shared" si="13"/>
        <v>10.5008733801844</v>
      </c>
      <c r="O36" s="32">
        <f t="shared" si="14"/>
        <v>12.9807701607677</v>
      </c>
      <c r="P36" s="32">
        <f t="shared" si="6"/>
        <v>12.9807701607677</v>
      </c>
      <c r="Q36" s="24">
        <f t="shared" si="15"/>
        <v>14342</v>
      </c>
      <c r="R36" s="33">
        <f t="shared" si="16"/>
        <v>0.178078371217403</v>
      </c>
      <c r="S36" s="33">
        <f t="shared" si="27"/>
        <v>0.878325013039267</v>
      </c>
      <c r="T36" s="6" t="str">
        <f t="shared" si="28"/>
        <v>Места накопления ТКО (МНО): 11788 по ФГИС УТКО / 13421 по ТС</v>
      </c>
      <c r="U36" s="6" t="str">
        <f t="shared" si="29"/>
        <v>Наполнение ФГИС УТКО 88%</v>
      </c>
      <c r="V36" s="34" t="str">
        <f t="shared" si="30"/>
        <v>Аномальные данные территориальной схемы</v>
      </c>
      <c r="W36" s="6" t="str">
        <f t="shared" si="31"/>
        <v>Контейнерные площадки (КП): 10857 по ФГИС УТКО / 14342,0 на 1000 чел.</v>
      </c>
      <c r="X36" s="6">
        <f t="shared" si="9"/>
        <v>0.98806694889306</v>
      </c>
      <c r="Y36" s="6" t="str">
        <f t="shared" si="19"/>
        <v>ниже </v>
      </c>
      <c r="Z36" s="6" t="str">
        <f t="shared" si="20"/>
        <v>Обеспеченность КП ниже среднего по России на 99%</v>
      </c>
      <c r="AA36" s="6" t="str">
        <f t="shared" si="21"/>
        <v>Потребность в КП по данным субъекта 2554 шт. (18% от МНО)</v>
      </c>
      <c r="AB36" s="10" t="str">
        <f t="shared" si="22"/>
        <v>13/11/3 (18%)</v>
      </c>
    </row>
    <row r="37" spans="2:28">
      <c r="B37" s="25" t="s">
        <v>87</v>
      </c>
      <c r="C37" s="22">
        <f t="shared" si="10"/>
        <v>0</v>
      </c>
      <c r="D37" s="42">
        <f t="shared" si="23"/>
        <v>0</v>
      </c>
      <c r="E37" s="22">
        <f t="shared" si="11"/>
        <v>0</v>
      </c>
      <c r="F37" s="22">
        <f t="shared" si="24"/>
        <v>0</v>
      </c>
      <c r="G37" s="22">
        <f t="shared" si="25"/>
        <v>0</v>
      </c>
      <c r="H37" s="24">
        <v>1068410</v>
      </c>
      <c r="I37" s="37">
        <v>7982</v>
      </c>
      <c r="J37" s="37">
        <v>7942</v>
      </c>
      <c r="K37" s="37">
        <v>8127</v>
      </c>
      <c r="L37" s="37">
        <v>590</v>
      </c>
      <c r="M37" s="24">
        <f t="shared" si="26"/>
        <v>8127</v>
      </c>
      <c r="N37" s="32">
        <f t="shared" si="13"/>
        <v>7.43347591280501</v>
      </c>
      <c r="O37" s="32">
        <f t="shared" si="14"/>
        <v>7.60663041341807</v>
      </c>
      <c r="P37" s="32">
        <f t="shared" si="6"/>
        <v>7.60663041341807</v>
      </c>
      <c r="Q37" s="24">
        <f t="shared" si="15"/>
        <v>8572</v>
      </c>
      <c r="R37" s="33">
        <f t="shared" si="16"/>
        <v>0.06882874475035</v>
      </c>
      <c r="S37" s="33">
        <f t="shared" si="27"/>
        <v>0.982158237972191</v>
      </c>
      <c r="T37" s="6" t="str">
        <f t="shared" si="28"/>
        <v>Места накопления ТКО (МНО): 7982 по ФГИС УТКО / 8127 по ТС</v>
      </c>
      <c r="U37" s="6" t="str">
        <f t="shared" si="29"/>
        <v>Наполнение ФГИС УТКО 98%</v>
      </c>
      <c r="V37" s="34" t="str">
        <f t="shared" si="30"/>
        <v>Аномальные данные территориальной схемы</v>
      </c>
      <c r="W37" s="6" t="str">
        <f t="shared" si="31"/>
        <v>Контейнерные площадки (КП): 7942 по ФГИС УТКО / 8572,0 на 1000 чел.</v>
      </c>
      <c r="X37" s="6">
        <f t="shared" si="9"/>
        <v>0.992867792909727</v>
      </c>
      <c r="Y37" s="6" t="str">
        <f t="shared" si="19"/>
        <v>ниже </v>
      </c>
      <c r="Z37" s="6" t="str">
        <f t="shared" si="20"/>
        <v>Обеспеченность КП ниже среднего по России на 99%</v>
      </c>
      <c r="AA37" s="6" t="str">
        <f t="shared" si="21"/>
        <v>Потребность в КП по данным субъекта 590 шт. (7% от МНО)</v>
      </c>
      <c r="AB37" s="10" t="str">
        <f t="shared" si="22"/>
        <v>9/8/1 (7%)</v>
      </c>
    </row>
    <row r="38" spans="2:28">
      <c r="B38" s="25" t="s">
        <v>134</v>
      </c>
      <c r="C38" s="22">
        <f t="shared" si="10"/>
        <v>0</v>
      </c>
      <c r="D38" s="42">
        <f t="shared" si="23"/>
        <v>0</v>
      </c>
      <c r="E38" s="22">
        <f t="shared" si="11"/>
        <v>1</v>
      </c>
      <c r="F38" s="22">
        <f t="shared" si="24"/>
        <v>2</v>
      </c>
      <c r="G38" s="22">
        <f t="shared" si="25"/>
        <v>0</v>
      </c>
      <c r="H38" s="24">
        <v>288947</v>
      </c>
      <c r="I38" s="37">
        <v>1619</v>
      </c>
      <c r="J38" s="37">
        <v>1507</v>
      </c>
      <c r="K38" s="37">
        <v>2556</v>
      </c>
      <c r="L38" s="37">
        <v>202</v>
      </c>
      <c r="M38" s="24">
        <f t="shared" si="26"/>
        <v>2556</v>
      </c>
      <c r="N38" s="32">
        <f t="shared" si="13"/>
        <v>5.21548934579698</v>
      </c>
      <c r="O38" s="32">
        <f t="shared" si="14"/>
        <v>8.84591291828605</v>
      </c>
      <c r="P38" s="32">
        <f t="shared" si="6"/>
        <v>8.84591291828605</v>
      </c>
      <c r="Q38" s="24">
        <f t="shared" si="15"/>
        <v>1821</v>
      </c>
      <c r="R38" s="33">
        <f t="shared" si="16"/>
        <v>0.110928061504668</v>
      </c>
      <c r="S38" s="33">
        <f t="shared" si="27"/>
        <v>0.633411580594679</v>
      </c>
      <c r="T38" s="6" t="str">
        <f t="shared" si="28"/>
        <v>Места накопления ТКО (МНО): 1619 по ФГИС УТКО / 2556 по ТС</v>
      </c>
      <c r="U38" s="6" t="str">
        <f t="shared" si="29"/>
        <v>Наполнение ФГИС УТКО 63%</v>
      </c>
      <c r="V38" s="34" t="str">
        <f t="shared" si="30"/>
        <v>Аномальные данные территориальной схемы</v>
      </c>
      <c r="W38" s="6" t="str">
        <f t="shared" si="31"/>
        <v>Контейнерные площадки (КП): 1507 по ФГИС УТКО / 1821,0 на 1000 чел.</v>
      </c>
      <c r="X38" s="6">
        <f t="shared" si="9"/>
        <v>0.998484863612764</v>
      </c>
      <c r="Y38" s="6" t="str">
        <f t="shared" si="19"/>
        <v>ниже </v>
      </c>
      <c r="Z38" s="6" t="str">
        <f t="shared" si="20"/>
        <v>Обеспеченность КП ниже среднего по России на 100%</v>
      </c>
      <c r="AA38" s="6" t="str">
        <f t="shared" si="21"/>
        <v>Потребность в КП по данным субъекта 202 шт. (11% от МНО)</v>
      </c>
      <c r="AB38" s="10" t="str">
        <f t="shared" si="22"/>
        <v>2/2/0 (11%)</v>
      </c>
    </row>
    <row r="39" spans="2:28">
      <c r="B39" s="25" t="s">
        <v>138</v>
      </c>
      <c r="C39" s="22">
        <f t="shared" si="10"/>
        <v>2</v>
      </c>
      <c r="D39" s="42">
        <f t="shared" si="23"/>
        <v>2</v>
      </c>
      <c r="E39" s="22">
        <f t="shared" si="11"/>
        <v>2</v>
      </c>
      <c r="F39" s="22">
        <f t="shared" si="24"/>
        <v>1</v>
      </c>
      <c r="G39" s="22">
        <f t="shared" si="25"/>
        <v>2</v>
      </c>
      <c r="H39" s="24">
        <v>468322</v>
      </c>
      <c r="I39" s="37">
        <v>1118</v>
      </c>
      <c r="J39" s="37">
        <v>1103</v>
      </c>
      <c r="K39" s="37">
        <v>1608</v>
      </c>
      <c r="L39" s="37">
        <v>1700</v>
      </c>
      <c r="M39" s="24">
        <f t="shared" si="26"/>
        <v>1608</v>
      </c>
      <c r="N39" s="32">
        <f t="shared" si="13"/>
        <v>2.35521713692716</v>
      </c>
      <c r="O39" s="32">
        <f t="shared" si="14"/>
        <v>3.4335350463997</v>
      </c>
      <c r="P39" s="32">
        <f t="shared" si="6"/>
        <v>3.4335350463997</v>
      </c>
      <c r="Q39" s="24">
        <f t="shared" si="15"/>
        <v>2818</v>
      </c>
      <c r="R39" s="33">
        <f t="shared" si="16"/>
        <v>0.603264726756565</v>
      </c>
      <c r="S39" s="33">
        <f t="shared" si="27"/>
        <v>0.695273631840796</v>
      </c>
      <c r="T39" s="6" t="str">
        <f t="shared" si="28"/>
        <v>Места накопления ТКО (МНО): 1118 по ФГИС УТКО / 1608 по ТС</v>
      </c>
      <c r="U39" s="6" t="str">
        <f t="shared" si="29"/>
        <v>Наполнение ФГИС УТКО 70%</v>
      </c>
      <c r="V39" s="34" t="str">
        <f t="shared" si="30"/>
        <v>Аномальные данные территориальной схемы</v>
      </c>
      <c r="W39" s="6" t="str">
        <f t="shared" si="31"/>
        <v>Контейнерные площадки (КП): 1103 по ФГИС УТКО / 2818,0 на 1000 чел.</v>
      </c>
      <c r="X39" s="6">
        <f t="shared" si="9"/>
        <v>0.997655324360664</v>
      </c>
      <c r="Y39" s="6" t="str">
        <f t="shared" si="19"/>
        <v>ниже </v>
      </c>
      <c r="Z39" s="6" t="str">
        <f t="shared" si="20"/>
        <v>Обеспеченность КП ниже среднего по России на 100%</v>
      </c>
      <c r="AA39" s="6" t="str">
        <f t="shared" si="21"/>
        <v>Потребность в КП по данным субъекта 1700 шт. (60% от МНО)</v>
      </c>
      <c r="AB39" s="10" t="str">
        <f t="shared" si="22"/>
        <v>3/1/2 (60%)</v>
      </c>
    </row>
    <row r="40" spans="2:28">
      <c r="B40" s="25" t="s">
        <v>109</v>
      </c>
      <c r="C40" s="22">
        <f t="shared" si="10"/>
        <v>2</v>
      </c>
      <c r="D40" s="42">
        <f t="shared" si="23"/>
        <v>2</v>
      </c>
      <c r="E40" s="22">
        <f t="shared" si="11"/>
        <v>0</v>
      </c>
      <c r="F40" s="22">
        <f t="shared" si="24"/>
        <v>0</v>
      </c>
      <c r="G40" s="22">
        <f t="shared" si="25"/>
        <v>2</v>
      </c>
      <c r="H40" s="24">
        <v>2547684</v>
      </c>
      <c r="I40" s="37">
        <v>44859</v>
      </c>
      <c r="J40" s="37">
        <v>42880</v>
      </c>
      <c r="K40" s="37">
        <v>46188</v>
      </c>
      <c r="L40" s="37">
        <v>0</v>
      </c>
      <c r="M40" s="24">
        <f t="shared" si="26"/>
        <v>46188</v>
      </c>
      <c r="N40" s="32">
        <f t="shared" si="13"/>
        <v>16.830972758003</v>
      </c>
      <c r="O40" s="32">
        <f t="shared" si="14"/>
        <v>18.1294069437183</v>
      </c>
      <c r="P40" s="32">
        <f t="shared" si="6"/>
        <v>18.1294069437183</v>
      </c>
      <c r="Q40" s="24">
        <f t="shared" si="15"/>
        <v>44859</v>
      </c>
      <c r="R40" s="33">
        <f t="shared" si="16"/>
        <v>0</v>
      </c>
      <c r="S40" s="33">
        <f t="shared" si="27"/>
        <v>0.971226292543518</v>
      </c>
      <c r="T40" s="6" t="str">
        <f t="shared" si="28"/>
        <v>Места накопления ТКО (МНО): 44859 по ФГИС УТКО / 46188 по ТС</v>
      </c>
      <c r="U40" s="6" t="str">
        <f t="shared" si="29"/>
        <v>Наполнение ФГИС УТКО 97%</v>
      </c>
      <c r="V40" s="34" t="str">
        <f t="shared" si="30"/>
        <v>Аномальные данные территориальной схемы</v>
      </c>
      <c r="W40" s="6" t="str">
        <f t="shared" si="31"/>
        <v>Контейнерные площадки (КП): 42880 по ФГИС УТКО / 44859,0 на 1000 чел.</v>
      </c>
      <c r="X40" s="6">
        <f t="shared" si="9"/>
        <v>0.962675725867646</v>
      </c>
      <c r="Y40" s="6" t="str">
        <f t="shared" si="19"/>
        <v>ниже </v>
      </c>
      <c r="Z40" s="6" t="str">
        <f t="shared" si="20"/>
        <v>Обеспеченность КП ниже среднего по России на 96%</v>
      </c>
      <c r="AA40" s="6" t="str">
        <f t="shared" si="21"/>
        <v>Потребность в КП не представлена</v>
      </c>
      <c r="AB40" s="10" t="str">
        <f t="shared" si="22"/>
        <v>43/43/0 (0%)</v>
      </c>
    </row>
    <row r="41" spans="2:28">
      <c r="B41" s="25" t="s">
        <v>76</v>
      </c>
      <c r="C41" s="22">
        <f t="shared" si="10"/>
        <v>0</v>
      </c>
      <c r="D41" s="42">
        <f t="shared" si="23"/>
        <v>0</v>
      </c>
      <c r="E41" s="22">
        <f t="shared" si="11"/>
        <v>0</v>
      </c>
      <c r="F41" s="22">
        <f t="shared" si="24"/>
        <v>2</v>
      </c>
      <c r="G41" s="22">
        <f t="shared" si="25"/>
        <v>0</v>
      </c>
      <c r="H41" s="24">
        <v>1129935</v>
      </c>
      <c r="I41" s="37">
        <v>12185</v>
      </c>
      <c r="J41" s="37">
        <v>11495</v>
      </c>
      <c r="K41" s="37">
        <v>18142</v>
      </c>
      <c r="L41" s="37">
        <v>2028</v>
      </c>
      <c r="M41" s="24">
        <f t="shared" si="26"/>
        <v>18142</v>
      </c>
      <c r="N41" s="32">
        <f t="shared" si="13"/>
        <v>10.1731515529654</v>
      </c>
      <c r="O41" s="32">
        <f t="shared" si="14"/>
        <v>16.0557908198259</v>
      </c>
      <c r="P41" s="32">
        <f t="shared" si="6"/>
        <v>16.0557908198259</v>
      </c>
      <c r="Q41" s="24">
        <f t="shared" si="15"/>
        <v>14213</v>
      </c>
      <c r="R41" s="33">
        <f t="shared" si="16"/>
        <v>0.142686273130233</v>
      </c>
      <c r="S41" s="33">
        <f t="shared" si="27"/>
        <v>0.671645904530923</v>
      </c>
      <c r="T41" s="6" t="str">
        <f t="shared" si="28"/>
        <v>Места накопления ТКО (МНО): 12185 по ФГИС УТКО / 18142 по ТС</v>
      </c>
      <c r="U41" s="6" t="str">
        <f t="shared" si="29"/>
        <v>Наполнение ФГИС УТКО 67%</v>
      </c>
      <c r="V41" s="34" t="str">
        <f t="shared" si="30"/>
        <v>Аномальные данные территориальной схемы</v>
      </c>
      <c r="W41" s="6" t="str">
        <f t="shared" si="31"/>
        <v>Контейнерные площадки (КП): 11495 по ФГИС УТКО / 14213,0 на 1000 чел.</v>
      </c>
      <c r="X41" s="6">
        <f t="shared" si="9"/>
        <v>0.988174281454265</v>
      </c>
      <c r="Y41" s="6" t="str">
        <f t="shared" si="19"/>
        <v>ниже </v>
      </c>
      <c r="Z41" s="6" t="str">
        <f t="shared" si="20"/>
        <v>Обеспеченность КП ниже среднего по России на 99%</v>
      </c>
      <c r="AA41" s="6" t="str">
        <f t="shared" si="21"/>
        <v>Потребность в КП по данным субъекта 2028 шт. (14% от МНО)</v>
      </c>
      <c r="AB41" s="10" t="str">
        <f t="shared" si="22"/>
        <v>14/11/2 (14%)</v>
      </c>
    </row>
    <row r="42" spans="2:28">
      <c r="B42" s="25" t="s">
        <v>89</v>
      </c>
      <c r="C42" s="22">
        <f t="shared" si="10"/>
        <v>0</v>
      </c>
      <c r="D42" s="42">
        <f t="shared" si="23"/>
        <v>0</v>
      </c>
      <c r="E42" s="22">
        <f t="shared" si="11"/>
        <v>0</v>
      </c>
      <c r="F42" s="22">
        <f t="shared" si="24"/>
        <v>1</v>
      </c>
      <c r="G42" s="22">
        <f t="shared" si="25"/>
        <v>0</v>
      </c>
      <c r="H42" s="24">
        <v>566266</v>
      </c>
      <c r="I42" s="37">
        <v>4920</v>
      </c>
      <c r="J42" s="37">
        <v>4772</v>
      </c>
      <c r="K42" s="37">
        <v>6638</v>
      </c>
      <c r="L42" s="37">
        <v>173</v>
      </c>
      <c r="M42" s="24">
        <f t="shared" si="26"/>
        <v>6638</v>
      </c>
      <c r="N42" s="32">
        <f t="shared" si="13"/>
        <v>8.42713495071221</v>
      </c>
      <c r="O42" s="32">
        <f t="shared" si="14"/>
        <v>11.7224060777091</v>
      </c>
      <c r="P42" s="32">
        <f t="shared" si="6"/>
        <v>11.7224060777091</v>
      </c>
      <c r="Q42" s="24">
        <f t="shared" si="15"/>
        <v>5093</v>
      </c>
      <c r="R42" s="33">
        <f t="shared" si="16"/>
        <v>0.0339681916355782</v>
      </c>
      <c r="S42" s="33">
        <f t="shared" si="27"/>
        <v>0.741187104549563</v>
      </c>
      <c r="T42" s="6" t="str">
        <f t="shared" si="28"/>
        <v>Места накопления ТКО (МНО): 4920 по ФГИС УТКО / 6638 по ТС</v>
      </c>
      <c r="U42" s="6" t="str">
        <f t="shared" si="29"/>
        <v>Наполнение ФГИС УТКО 74%</v>
      </c>
      <c r="V42" s="34" t="str">
        <f t="shared" si="30"/>
        <v>Аномальные данные территориальной схемы</v>
      </c>
      <c r="W42" s="6" t="str">
        <f t="shared" si="31"/>
        <v>Контейнерные площадки (КП): 4772 по ФГИС УТКО / 5093,0 на 1000 чел.</v>
      </c>
      <c r="X42" s="6">
        <f t="shared" si="9"/>
        <v>0.995762443920817</v>
      </c>
      <c r="Y42" s="6" t="str">
        <f t="shared" si="19"/>
        <v>ниже </v>
      </c>
      <c r="Z42" s="6" t="str">
        <f t="shared" si="20"/>
        <v>Обеспеченность КП ниже среднего по России на 100%</v>
      </c>
      <c r="AA42" s="6" t="str">
        <f t="shared" si="21"/>
        <v>Потребность в КП по данным субъекта 173 шт. (3% от МНО)</v>
      </c>
      <c r="AB42" s="10" t="str">
        <f t="shared" si="22"/>
        <v>5/5/0 (3%)</v>
      </c>
    </row>
    <row r="43" spans="2:28">
      <c r="B43" s="25" t="s">
        <v>141</v>
      </c>
      <c r="C43" s="22">
        <f t="shared" si="10"/>
        <v>1</v>
      </c>
      <c r="D43" s="42">
        <f t="shared" si="23"/>
        <v>1</v>
      </c>
      <c r="E43" s="22">
        <f t="shared" si="11"/>
        <v>1</v>
      </c>
      <c r="F43" s="22">
        <f t="shared" si="24"/>
        <v>2</v>
      </c>
      <c r="G43" s="22">
        <f t="shared" si="25"/>
        <v>1</v>
      </c>
      <c r="H43" s="24">
        <v>5833002</v>
      </c>
      <c r="I43" s="37">
        <v>21178</v>
      </c>
      <c r="J43" s="37">
        <v>20810</v>
      </c>
      <c r="K43" s="37">
        <v>47868</v>
      </c>
      <c r="L43" s="37">
        <v>7455</v>
      </c>
      <c r="M43" s="24">
        <f t="shared" si="26"/>
        <v>47868</v>
      </c>
      <c r="N43" s="32">
        <f t="shared" si="13"/>
        <v>3.56763121288146</v>
      </c>
      <c r="O43" s="32">
        <f t="shared" si="14"/>
        <v>8.20640898117299</v>
      </c>
      <c r="P43" s="32">
        <f t="shared" si="6"/>
        <v>8.20640898117299</v>
      </c>
      <c r="Q43" s="24">
        <f t="shared" si="15"/>
        <v>28633</v>
      </c>
      <c r="R43" s="33">
        <f t="shared" si="16"/>
        <v>0.260363915761534</v>
      </c>
      <c r="S43" s="33">
        <f t="shared" si="27"/>
        <v>0.442425002089078</v>
      </c>
      <c r="T43" s="6" t="str">
        <f t="shared" si="28"/>
        <v>Места накопления ТКО (МНО): 21178 по ФГИС УТКО / 47868 по ТС</v>
      </c>
      <c r="U43" s="6" t="str">
        <f t="shared" si="29"/>
        <v>Наполнение ФГИС УТКО 44%</v>
      </c>
      <c r="V43" s="34" t="str">
        <f t="shared" si="30"/>
        <v>Аномальные данные территориальной схемы</v>
      </c>
      <c r="W43" s="6" t="str">
        <f t="shared" si="31"/>
        <v>Контейнерные площадки (КП): 20810 по ФГИС УТКО / 28633,0 на 1000 чел.</v>
      </c>
      <c r="X43" s="6">
        <f t="shared" si="9"/>
        <v>0.976176331589387</v>
      </c>
      <c r="Y43" s="6" t="str">
        <f t="shared" si="19"/>
        <v>ниже </v>
      </c>
      <c r="Z43" s="6" t="str">
        <f t="shared" si="20"/>
        <v>Обеспеченность КП ниже среднего по России на 98%</v>
      </c>
      <c r="AA43" s="6" t="str">
        <f t="shared" si="21"/>
        <v>Потребность в КП по данным субъекта 7455 шт. (26% от МНО)</v>
      </c>
      <c r="AB43" s="10" t="str">
        <f t="shared" si="22"/>
        <v>28/21/7 (26%)</v>
      </c>
    </row>
    <row r="44" spans="2:28">
      <c r="B44" s="25" t="s">
        <v>142</v>
      </c>
      <c r="C44" s="22">
        <f t="shared" si="10"/>
        <v>1</v>
      </c>
      <c r="D44" s="42">
        <f t="shared" si="23"/>
        <v>1</v>
      </c>
      <c r="E44" s="22">
        <f t="shared" si="11"/>
        <v>1</v>
      </c>
      <c r="F44" s="22">
        <f t="shared" si="24"/>
        <v>2</v>
      </c>
      <c r="G44" s="22">
        <f t="shared" si="25"/>
        <v>1</v>
      </c>
      <c r="H44" s="24">
        <v>2846120</v>
      </c>
      <c r="I44" s="37">
        <v>23450</v>
      </c>
      <c r="J44" s="37">
        <v>12540</v>
      </c>
      <c r="K44" s="37">
        <v>49398</v>
      </c>
      <c r="L44" s="37">
        <v>5762</v>
      </c>
      <c r="M44" s="24">
        <f t="shared" si="26"/>
        <v>49398</v>
      </c>
      <c r="N44" s="32">
        <f t="shared" si="13"/>
        <v>4.4059983416019</v>
      </c>
      <c r="O44" s="32">
        <f t="shared" si="14"/>
        <v>17.356260452827</v>
      </c>
      <c r="P44" s="32">
        <f t="shared" si="6"/>
        <v>17.356260452827</v>
      </c>
      <c r="Q44" s="24">
        <f t="shared" si="15"/>
        <v>29212</v>
      </c>
      <c r="R44" s="33">
        <f t="shared" si="16"/>
        <v>0.197247706422018</v>
      </c>
      <c r="S44" s="33">
        <f t="shared" si="27"/>
        <v>0.474715575529374</v>
      </c>
      <c r="T44" s="6" t="str">
        <f t="shared" si="28"/>
        <v>Места накопления ТКО (МНО): 23450 по ФГИС УТКО / 49398 по ТС</v>
      </c>
      <c r="U44" s="6" t="str">
        <f t="shared" si="29"/>
        <v>Наполнение ФГИС УТКО 47%</v>
      </c>
      <c r="V44" s="34" t="str">
        <f t="shared" si="30"/>
        <v>Аномальные данные территориальной схемы</v>
      </c>
      <c r="W44" s="6" t="str">
        <f t="shared" si="31"/>
        <v>Контейнерные площадки (КП): 12540 по ФГИС УТКО / 29212,0 на 1000 чел.</v>
      </c>
      <c r="X44" s="6">
        <f t="shared" si="9"/>
        <v>0.975694583117004</v>
      </c>
      <c r="Y44" s="6" t="str">
        <f t="shared" si="19"/>
        <v>ниже </v>
      </c>
      <c r="Z44" s="6" t="str">
        <f t="shared" si="20"/>
        <v>Обеспеченность КП ниже среднего по России на 98%</v>
      </c>
      <c r="AA44" s="6" t="str">
        <f t="shared" si="21"/>
        <v>Потребность в КП по данным субъекта 5762 шт. (20% от МНО)</v>
      </c>
      <c r="AB44" s="10" t="str">
        <f t="shared" si="22"/>
        <v>18/13/6 (20%)</v>
      </c>
    </row>
    <row r="45" spans="2:28">
      <c r="B45" s="25" t="s">
        <v>132</v>
      </c>
      <c r="C45" s="22">
        <f t="shared" si="10"/>
        <v>2</v>
      </c>
      <c r="D45" s="42">
        <f t="shared" si="23"/>
        <v>2</v>
      </c>
      <c r="E45" s="22">
        <f t="shared" si="11"/>
        <v>0</v>
      </c>
      <c r="F45" s="22">
        <f t="shared" si="24"/>
        <v>2</v>
      </c>
      <c r="G45" s="22">
        <f t="shared" si="25"/>
        <v>2</v>
      </c>
      <c r="H45" s="24">
        <v>753002</v>
      </c>
      <c r="I45" s="37">
        <v>8593</v>
      </c>
      <c r="J45" s="37">
        <v>8588</v>
      </c>
      <c r="K45" s="37">
        <v>13021</v>
      </c>
      <c r="L45" s="37">
        <v>0</v>
      </c>
      <c r="M45" s="24">
        <f t="shared" si="26"/>
        <v>13021</v>
      </c>
      <c r="N45" s="32">
        <f t="shared" si="13"/>
        <v>11.405016188536</v>
      </c>
      <c r="O45" s="32">
        <f t="shared" si="14"/>
        <v>17.2921187460325</v>
      </c>
      <c r="P45" s="32">
        <f t="shared" si="6"/>
        <v>17.2921187460325</v>
      </c>
      <c r="Q45" s="24">
        <f t="shared" si="15"/>
        <v>8593</v>
      </c>
      <c r="R45" s="33">
        <f t="shared" si="16"/>
        <v>0</v>
      </c>
      <c r="S45" s="33">
        <f t="shared" si="27"/>
        <v>0.659933952845404</v>
      </c>
      <c r="T45" s="6" t="str">
        <f t="shared" si="28"/>
        <v>Места накопления ТКО (МНО): 8593 по ФГИС УТКО / 13021 по ТС</v>
      </c>
      <c r="U45" s="6" t="str">
        <f t="shared" si="29"/>
        <v>Наполнение ФГИС УТКО 66%</v>
      </c>
      <c r="V45" s="34" t="str">
        <f t="shared" si="30"/>
        <v>Аномальные данные территориальной схемы</v>
      </c>
      <c r="W45" s="6" t="str">
        <f t="shared" si="31"/>
        <v>Контейнерные площадки (КП): 8588 по ФГИС УТКО / 8593,0 на 1000 чел.</v>
      </c>
      <c r="X45" s="6">
        <f t="shared" si="9"/>
        <v>0.992850320167206</v>
      </c>
      <c r="Y45" s="6" t="str">
        <f t="shared" si="19"/>
        <v>ниже </v>
      </c>
      <c r="Z45" s="6" t="str">
        <f t="shared" si="20"/>
        <v>Обеспеченность КП ниже среднего по России на 99%</v>
      </c>
      <c r="AA45" s="6" t="str">
        <f t="shared" si="21"/>
        <v>Потребность в КП не представлена</v>
      </c>
      <c r="AB45" s="10" t="str">
        <f t="shared" si="22"/>
        <v>9/9/0 (0%)</v>
      </c>
    </row>
    <row r="46" spans="2:28">
      <c r="B46" s="25" t="s">
        <v>77</v>
      </c>
      <c r="C46" s="22">
        <f t="shared" si="10"/>
        <v>1</v>
      </c>
      <c r="D46" s="42">
        <f t="shared" si="23"/>
        <v>1</v>
      </c>
      <c r="E46" s="22">
        <f t="shared" si="11"/>
        <v>0</v>
      </c>
      <c r="F46" s="22">
        <f t="shared" si="24"/>
        <v>0</v>
      </c>
      <c r="G46" s="22">
        <f t="shared" si="25"/>
        <v>1</v>
      </c>
      <c r="H46" s="24">
        <v>1060892</v>
      </c>
      <c r="I46" s="37">
        <v>7506</v>
      </c>
      <c r="J46" s="37">
        <v>7335</v>
      </c>
      <c r="K46" s="37">
        <v>7471</v>
      </c>
      <c r="L46" s="37">
        <v>2937</v>
      </c>
      <c r="M46" s="24">
        <f t="shared" si="26"/>
        <v>7506</v>
      </c>
      <c r="N46" s="32">
        <f t="shared" si="13"/>
        <v>6.91399313030921</v>
      </c>
      <c r="O46" s="32">
        <f t="shared" si="14"/>
        <v>7.0421871406326</v>
      </c>
      <c r="P46" s="32">
        <f t="shared" si="6"/>
        <v>7.0421871406326</v>
      </c>
      <c r="Q46" s="24">
        <f t="shared" si="15"/>
        <v>10443</v>
      </c>
      <c r="R46" s="33">
        <f t="shared" si="16"/>
        <v>0.281241022694628</v>
      </c>
      <c r="S46" s="33">
        <f t="shared" si="27"/>
        <v>1</v>
      </c>
      <c r="T46" s="6" t="str">
        <f t="shared" si="28"/>
        <v>Места накопления ТКО (МНО): 7506 по ФГИС УТКО / 7471 по ТС</v>
      </c>
      <c r="U46" s="6" t="str">
        <f t="shared" si="29"/>
        <v>Наполнение ФГИС УТКО более 100%</v>
      </c>
      <c r="V46" s="34" t="str">
        <f t="shared" si="30"/>
        <v>Аномальные данные территориальной схемы</v>
      </c>
      <c r="W46" s="6" t="str">
        <f t="shared" si="31"/>
        <v>Контейнерные площадки (КП): 7335 по ФГИС УТКО / 10443,0 на 1000 чел.</v>
      </c>
      <c r="X46" s="6">
        <f t="shared" si="9"/>
        <v>0.991311054754583</v>
      </c>
      <c r="Y46" s="6" t="str">
        <f t="shared" si="19"/>
        <v>ниже </v>
      </c>
      <c r="Z46" s="6" t="str">
        <f t="shared" si="20"/>
        <v>Обеспеченность КП ниже среднего по России на 99%</v>
      </c>
      <c r="AA46" s="6" t="str">
        <f t="shared" si="21"/>
        <v>Потребность в КП по данным субъекта 2937 шт. (28% от МНО)</v>
      </c>
      <c r="AB46" s="10" t="str">
        <f t="shared" si="22"/>
        <v>10/7/3 (28%)</v>
      </c>
    </row>
    <row r="47" spans="2:28">
      <c r="B47" s="25" t="s">
        <v>92</v>
      </c>
      <c r="C47" s="22">
        <f t="shared" si="10"/>
        <v>0</v>
      </c>
      <c r="D47" s="42">
        <f t="shared" si="23"/>
        <v>0</v>
      </c>
      <c r="E47" s="22">
        <f t="shared" si="11"/>
        <v>1</v>
      </c>
      <c r="F47" s="22">
        <f t="shared" si="24"/>
        <v>2</v>
      </c>
      <c r="G47" s="22">
        <f t="shared" si="25"/>
        <v>0</v>
      </c>
      <c r="H47" s="24">
        <v>2035762</v>
      </c>
      <c r="I47" s="37">
        <v>10166</v>
      </c>
      <c r="J47" s="37">
        <v>9819</v>
      </c>
      <c r="K47" s="37">
        <v>21971</v>
      </c>
      <c r="L47" s="37">
        <v>619</v>
      </c>
      <c r="M47" s="24">
        <f t="shared" si="26"/>
        <v>21971</v>
      </c>
      <c r="N47" s="32">
        <f t="shared" si="13"/>
        <v>4.82325537071622</v>
      </c>
      <c r="O47" s="32">
        <f t="shared" si="14"/>
        <v>10.7925189683273</v>
      </c>
      <c r="P47" s="32">
        <f t="shared" si="6"/>
        <v>10.7925189683273</v>
      </c>
      <c r="Q47" s="24">
        <f t="shared" si="15"/>
        <v>10785</v>
      </c>
      <c r="R47" s="33">
        <f t="shared" si="16"/>
        <v>0.0573945294390357</v>
      </c>
      <c r="S47" s="33">
        <f t="shared" si="27"/>
        <v>0.462700832916117</v>
      </c>
      <c r="T47" s="6" t="str">
        <f t="shared" si="28"/>
        <v>Места накопления ТКО (МНО): 10166 по ФГИС УТКО / 21971 по ТС</v>
      </c>
      <c r="U47" s="6" t="str">
        <f t="shared" si="29"/>
        <v>Наполнение ФГИС УТКО 46%</v>
      </c>
      <c r="V47" s="34" t="str">
        <f t="shared" si="30"/>
        <v>Аномальные данные территориальной схемы</v>
      </c>
      <c r="W47" s="6" t="str">
        <f t="shared" si="31"/>
        <v>Контейнерные площадки (КП): 9819 по ФГИС УТКО / 10785,0 на 1000 чел.</v>
      </c>
      <c r="X47" s="6">
        <f t="shared" si="9"/>
        <v>0.991026498662087</v>
      </c>
      <c r="Y47" s="6" t="str">
        <f t="shared" si="19"/>
        <v>ниже </v>
      </c>
      <c r="Z47" s="6" t="str">
        <f t="shared" si="20"/>
        <v>Обеспеченность КП ниже среднего по России на 99%</v>
      </c>
      <c r="AA47" s="6" t="str">
        <f t="shared" si="21"/>
        <v>Потребность в КП по данным субъекта 619 шт. (6% от МНО)</v>
      </c>
      <c r="AB47" s="10" t="str">
        <f t="shared" si="22"/>
        <v>10/10/1 (6%)</v>
      </c>
    </row>
    <row r="48" spans="2:28">
      <c r="B48" s="25" t="s">
        <v>101</v>
      </c>
      <c r="C48" s="22">
        <f t="shared" si="10"/>
        <v>1</v>
      </c>
      <c r="D48" s="42">
        <f t="shared" si="23"/>
        <v>1</v>
      </c>
      <c r="E48" s="22">
        <f t="shared" si="11"/>
        <v>0</v>
      </c>
      <c r="F48" s="22">
        <f t="shared" si="24"/>
        <v>0</v>
      </c>
      <c r="G48" s="22">
        <f t="shared" si="25"/>
        <v>1</v>
      </c>
      <c r="H48" s="24">
        <v>1116265</v>
      </c>
      <c r="I48" s="37">
        <v>17046</v>
      </c>
      <c r="J48" s="37">
        <v>17039</v>
      </c>
      <c r="K48" s="37">
        <v>15798</v>
      </c>
      <c r="L48" s="37">
        <v>5833</v>
      </c>
      <c r="M48" s="24">
        <f t="shared" si="26"/>
        <v>17046</v>
      </c>
      <c r="N48" s="32">
        <f t="shared" si="13"/>
        <v>15.2642965604046</v>
      </c>
      <c r="O48" s="32">
        <f t="shared" si="14"/>
        <v>14.1525533811416</v>
      </c>
      <c r="P48" s="32">
        <f t="shared" si="6"/>
        <v>15.2642965604046</v>
      </c>
      <c r="Q48" s="24">
        <f t="shared" si="15"/>
        <v>22879</v>
      </c>
      <c r="R48" s="33">
        <f t="shared" si="16"/>
        <v>0.254949954106386</v>
      </c>
      <c r="S48" s="33">
        <f t="shared" si="27"/>
        <v>1</v>
      </c>
      <c r="T48" s="6" t="str">
        <f t="shared" si="28"/>
        <v>Места накопления ТКО (МНО): 17046 по ФГИС УТКО / 15798 по ТС</v>
      </c>
      <c r="U48" s="6" t="str">
        <f t="shared" si="29"/>
        <v>Наполнение ФГИС УТКО более 100%</v>
      </c>
      <c r="V48" s="34" t="str">
        <f t="shared" si="30"/>
        <v>Аномальные данные территориальной схемы</v>
      </c>
      <c r="W48" s="6" t="str">
        <f t="shared" si="31"/>
        <v>Контейнерные площадки (КП): 17039 по ФГИС УТКО / 22879,0 на 1000 чел.</v>
      </c>
      <c r="X48" s="6">
        <f t="shared" si="9"/>
        <v>0.980963863040324</v>
      </c>
      <c r="Y48" s="6" t="str">
        <f t="shared" si="19"/>
        <v>ниже </v>
      </c>
      <c r="Z48" s="6" t="str">
        <f t="shared" si="20"/>
        <v>Обеспеченность КП ниже среднего по России на 98%</v>
      </c>
      <c r="AA48" s="6" t="str">
        <f t="shared" si="21"/>
        <v>Потребность в КП по данным субъекта 5833 шт. (25% от МНО)</v>
      </c>
      <c r="AB48" s="10" t="str">
        <f t="shared" si="22"/>
        <v>23/17/6 (25%)</v>
      </c>
    </row>
    <row r="49" spans="2:22">
      <c r="B49" s="25" t="s">
        <v>162</v>
      </c>
      <c r="C49" s="64">
        <v>0</v>
      </c>
      <c r="D49" s="64">
        <v>0</v>
      </c>
      <c r="E49" s="64">
        <v>0</v>
      </c>
      <c r="F49" s="64">
        <v>0</v>
      </c>
      <c r="G49" s="64">
        <v>0</v>
      </c>
      <c r="H49" s="24"/>
      <c r="I49" s="37"/>
      <c r="J49" s="37"/>
      <c r="K49" s="37">
        <v>2058</v>
      </c>
      <c r="L49" s="37">
        <v>5695</v>
      </c>
      <c r="M49" s="24"/>
      <c r="N49" s="32"/>
      <c r="O49" s="32"/>
      <c r="P49" s="32"/>
      <c r="Q49" s="24">
        <f t="shared" si="15"/>
        <v>5695</v>
      </c>
      <c r="R49" s="33"/>
      <c r="S49" s="33"/>
      <c r="T49" s="6"/>
      <c r="V49" s="34"/>
    </row>
    <row r="50" spans="2:28">
      <c r="B50" s="25" t="s">
        <v>153</v>
      </c>
      <c r="C50" s="22">
        <f t="shared" si="10"/>
        <v>2</v>
      </c>
      <c r="D50" s="42">
        <f t="shared" si="23"/>
        <v>2</v>
      </c>
      <c r="E50" s="22">
        <f t="shared" si="11"/>
        <v>0</v>
      </c>
      <c r="F50" s="22">
        <f t="shared" si="24"/>
        <v>0</v>
      </c>
      <c r="G50" s="22">
        <f t="shared" si="25"/>
        <v>2</v>
      </c>
      <c r="H50" s="24">
        <v>133387</v>
      </c>
      <c r="I50" s="37">
        <v>954</v>
      </c>
      <c r="J50" s="37">
        <v>916</v>
      </c>
      <c r="K50" s="37">
        <v>746</v>
      </c>
      <c r="L50" s="37">
        <v>0</v>
      </c>
      <c r="M50" s="24">
        <f t="shared" ref="M50:M97" si="32">MAX(I50,K50)</f>
        <v>954</v>
      </c>
      <c r="N50" s="32">
        <f t="shared" si="13"/>
        <v>6.86723593753514</v>
      </c>
      <c r="O50" s="32">
        <f t="shared" si="14"/>
        <v>5.59274891856028</v>
      </c>
      <c r="P50" s="32">
        <f t="shared" si="6"/>
        <v>6.86723593753514</v>
      </c>
      <c r="Q50" s="24">
        <f t="shared" si="15"/>
        <v>954</v>
      </c>
      <c r="R50" s="33">
        <f t="shared" si="16"/>
        <v>0</v>
      </c>
      <c r="S50" s="33">
        <f t="shared" ref="S50:S97" si="33">I50/MAX(I50,K50)</f>
        <v>1</v>
      </c>
      <c r="T50" s="6" t="str">
        <f t="shared" ref="T50:T97" si="34">_xlfn.TEXTJOIN(,0,"Места накопления ТКО (МНО): ",I50," по ФГИС УТКО / ",K50," по ТС")</f>
        <v>Места накопления ТКО (МНО): 954 по ФГИС УТКО / 746 по ТС</v>
      </c>
      <c r="U50" s="6" t="str">
        <f t="shared" ref="U50:U97" si="35">_xlfn.TEXTJOIN(,0,"Наполнение ФГИС УТКО"," ",IF(I50&lt;=K50,TEXT(S50,"0%"),"более 100%"))</f>
        <v>Наполнение ФГИС УТКО более 100%</v>
      </c>
      <c r="V50" s="34" t="str">
        <f t="shared" ref="V50:V97" si="36">IF(O50&gt;$O$8,$V$107,IF(Q50&gt;$Q$10,$V$108,IF(I50&gt;K50*(1+$K$10),$V$109,"")))</f>
        <v>Аномальные данные территориальной схемы</v>
      </c>
      <c r="W50" s="6" t="str">
        <f t="shared" ref="W50:W97" si="37">_xlfn.TEXTJOIN(,0,"Контейнерные площадки (КП): ",J50," по ФГИС УТКО / ",TEXT(Q50,"0,0")," на 1000 чел.")</f>
        <v>Контейнерные площадки (КП): 916 по ФГИС УТКО / 954,0 на 1000 чел.</v>
      </c>
      <c r="X50" s="6">
        <f t="shared" si="9"/>
        <v>0.999206238268301</v>
      </c>
      <c r="Y50" s="6" t="str">
        <f t="shared" si="19"/>
        <v>ниже </v>
      </c>
      <c r="Z50" s="6" t="str">
        <f t="shared" si="20"/>
        <v>Обеспеченность КП ниже среднего по России на 100%</v>
      </c>
      <c r="AA50" s="6" t="str">
        <f t="shared" si="21"/>
        <v>Потребность в КП не представлена</v>
      </c>
      <c r="AB50" s="10" t="str">
        <f t="shared" si="22"/>
        <v>1/1/0 (0%)</v>
      </c>
    </row>
    <row r="51" spans="2:28">
      <c r="B51" s="25" t="s">
        <v>69</v>
      </c>
      <c r="C51" s="22">
        <f t="shared" si="10"/>
        <v>0</v>
      </c>
      <c r="D51" s="42">
        <f t="shared" si="23"/>
        <v>0</v>
      </c>
      <c r="E51" s="22">
        <f t="shared" si="11"/>
        <v>0</v>
      </c>
      <c r="F51" s="22">
        <f t="shared" si="24"/>
        <v>0</v>
      </c>
      <c r="G51" s="22">
        <f t="shared" si="25"/>
        <v>0</v>
      </c>
      <c r="H51" s="24">
        <v>8651260</v>
      </c>
      <c r="I51" s="37">
        <v>79870</v>
      </c>
      <c r="J51" s="37">
        <v>66442</v>
      </c>
      <c r="K51" s="37">
        <v>77053</v>
      </c>
      <c r="L51" s="37">
        <v>179</v>
      </c>
      <c r="M51" s="24">
        <f t="shared" si="32"/>
        <v>79870</v>
      </c>
      <c r="N51" s="32">
        <f t="shared" si="13"/>
        <v>7.68003735872</v>
      </c>
      <c r="O51" s="32">
        <f t="shared" si="14"/>
        <v>8.90656389936264</v>
      </c>
      <c r="P51" s="32">
        <f t="shared" si="6"/>
        <v>8.90656389936264</v>
      </c>
      <c r="Q51" s="24">
        <f t="shared" si="15"/>
        <v>80049</v>
      </c>
      <c r="R51" s="33">
        <f t="shared" si="16"/>
        <v>0.00223613037014828</v>
      </c>
      <c r="S51" s="33">
        <f t="shared" si="33"/>
        <v>1</v>
      </c>
      <c r="T51" s="6" t="str">
        <f t="shared" si="34"/>
        <v>Места накопления ТКО (МНО): 79870 по ФГИС УТКО / 77053 по ТС</v>
      </c>
      <c r="U51" s="6" t="str">
        <f t="shared" si="35"/>
        <v>Наполнение ФГИС УТКО более 100%</v>
      </c>
      <c r="V51" s="34" t="str">
        <f t="shared" si="36"/>
        <v>Аномальные данные территориальной схемы</v>
      </c>
      <c r="W51" s="6" t="str">
        <f t="shared" si="37"/>
        <v>Контейнерные площадки (КП): 66442 по ФГИС УТКО / 80049,0 на 1000 чел.</v>
      </c>
      <c r="X51" s="6">
        <f t="shared" ref="X51:X82" si="38">IF(Q51&gt;=$Q$15,Q51/$Q$15-1,1-Q51/$Q$15)</f>
        <v>0.933396401613483</v>
      </c>
      <c r="Y51" s="6" t="str">
        <f t="shared" si="19"/>
        <v>ниже </v>
      </c>
      <c r="Z51" s="6" t="str">
        <f t="shared" si="20"/>
        <v>Обеспеченность КП ниже среднего по России на 93%</v>
      </c>
      <c r="AA51" s="6" t="str">
        <f t="shared" si="21"/>
        <v>Потребность в КП по данным субъекта 179 шт. (0% от МНО)</v>
      </c>
      <c r="AB51" s="10" t="str">
        <f t="shared" si="22"/>
        <v>67/66/0 (0%)</v>
      </c>
    </row>
    <row r="52" spans="2:28">
      <c r="B52" s="25" t="s">
        <v>72</v>
      </c>
      <c r="C52" s="22">
        <f t="shared" si="10"/>
        <v>0</v>
      </c>
      <c r="D52" s="42">
        <f t="shared" si="23"/>
        <v>0</v>
      </c>
      <c r="E52" s="22">
        <f t="shared" si="11"/>
        <v>0</v>
      </c>
      <c r="F52" s="22">
        <f t="shared" si="24"/>
        <v>0</v>
      </c>
      <c r="G52" s="22">
        <f t="shared" si="25"/>
        <v>0</v>
      </c>
      <c r="H52" s="24">
        <v>656438</v>
      </c>
      <c r="I52" s="37">
        <v>4920</v>
      </c>
      <c r="J52" s="37">
        <v>4287</v>
      </c>
      <c r="K52" s="37">
        <v>4534</v>
      </c>
      <c r="L52" s="37">
        <v>50</v>
      </c>
      <c r="M52" s="24">
        <f t="shared" si="32"/>
        <v>4920</v>
      </c>
      <c r="N52" s="32">
        <f t="shared" si="13"/>
        <v>6.53070053836006</v>
      </c>
      <c r="O52" s="32">
        <f t="shared" si="14"/>
        <v>6.90697369743982</v>
      </c>
      <c r="P52" s="32">
        <f t="shared" si="6"/>
        <v>6.90697369743982</v>
      </c>
      <c r="Q52" s="24">
        <f t="shared" si="15"/>
        <v>4970</v>
      </c>
      <c r="R52" s="33">
        <f t="shared" si="16"/>
        <v>0.0100603621730382</v>
      </c>
      <c r="S52" s="33">
        <f t="shared" si="33"/>
        <v>1</v>
      </c>
      <c r="T52" s="6" t="str">
        <f t="shared" si="34"/>
        <v>Места накопления ТКО (МНО): 4920 по ФГИС УТКО / 4534 по ТС</v>
      </c>
      <c r="U52" s="6" t="str">
        <f t="shared" si="35"/>
        <v>Наполнение ФГИС УТКО более 100%</v>
      </c>
      <c r="V52" s="34" t="str">
        <f t="shared" si="36"/>
        <v>Аномальные данные территориальной схемы</v>
      </c>
      <c r="W52" s="6" t="str">
        <f t="shared" si="37"/>
        <v>Контейнерные площадки (КП): 4287 по ФГИС УТКО / 4970,0 на 1000 чел.</v>
      </c>
      <c r="X52" s="6">
        <f t="shared" si="38"/>
        <v>0.995864784269872</v>
      </c>
      <c r="Y52" s="6" t="str">
        <f t="shared" si="19"/>
        <v>ниже </v>
      </c>
      <c r="Z52" s="6" t="str">
        <f t="shared" si="20"/>
        <v>Обеспеченность КП ниже среднего по России на 100%</v>
      </c>
      <c r="AA52" s="6" t="str">
        <f t="shared" si="21"/>
        <v>Потребность в КП по данным субъекта 50 шт. (1% от МНО)</v>
      </c>
      <c r="AB52" s="10" t="str">
        <f t="shared" si="22"/>
        <v>4/4/0 (1%)</v>
      </c>
    </row>
    <row r="53" spans="2:28">
      <c r="B53" s="25" t="s">
        <v>127</v>
      </c>
      <c r="C53" s="22">
        <f t="shared" si="10"/>
        <v>0</v>
      </c>
      <c r="D53" s="42">
        <f t="shared" si="23"/>
        <v>0</v>
      </c>
      <c r="E53" s="22">
        <f t="shared" si="11"/>
        <v>0</v>
      </c>
      <c r="F53" s="22">
        <f t="shared" si="24"/>
        <v>0</v>
      </c>
      <c r="G53" s="22">
        <f t="shared" si="25"/>
        <v>0</v>
      </c>
      <c r="H53" s="24">
        <v>42224</v>
      </c>
      <c r="I53" s="37">
        <v>826</v>
      </c>
      <c r="J53" s="37">
        <v>788</v>
      </c>
      <c r="K53" s="37">
        <v>826</v>
      </c>
      <c r="L53" s="37">
        <v>78</v>
      </c>
      <c r="M53" s="24">
        <f t="shared" si="32"/>
        <v>826</v>
      </c>
      <c r="N53" s="32">
        <f t="shared" si="13"/>
        <v>18.662372110648</v>
      </c>
      <c r="O53" s="32">
        <f t="shared" si="14"/>
        <v>19.5623342175066</v>
      </c>
      <c r="P53" s="32">
        <f t="shared" si="6"/>
        <v>19.5623342175066</v>
      </c>
      <c r="Q53" s="24">
        <f t="shared" si="15"/>
        <v>904</v>
      </c>
      <c r="R53" s="33">
        <f t="shared" si="16"/>
        <v>0.086283185840708</v>
      </c>
      <c r="S53" s="33">
        <f t="shared" si="33"/>
        <v>1</v>
      </c>
      <c r="T53" s="6" t="str">
        <f t="shared" si="34"/>
        <v>Места накопления ТКО (МНО): 826 по ФГИС УТКО / 826 по ТС</v>
      </c>
      <c r="U53" s="6" t="str">
        <f t="shared" si="35"/>
        <v>Наполнение ФГИС УТКО 100%</v>
      </c>
      <c r="V53" s="34" t="str">
        <f t="shared" si="36"/>
        <v>Аномальные данные территориальной схемы</v>
      </c>
      <c r="W53" s="6" t="str">
        <f t="shared" si="37"/>
        <v>Контейнерные площадки (КП): 788 по ФГИС УТКО / 904,0 на 1000 чел.</v>
      </c>
      <c r="X53" s="6">
        <f t="shared" si="38"/>
        <v>0.99924784003621</v>
      </c>
      <c r="Y53" s="6" t="str">
        <f t="shared" si="19"/>
        <v>ниже </v>
      </c>
      <c r="Z53" s="6" t="str">
        <f t="shared" si="20"/>
        <v>Обеспеченность КП ниже среднего по России на 100%</v>
      </c>
      <c r="AA53" s="6" t="str">
        <f t="shared" si="21"/>
        <v>Потребность в КП по данным субъекта 78 шт. (9% от МНО)</v>
      </c>
      <c r="AB53" s="10" t="str">
        <f t="shared" si="22"/>
        <v>1/1/0 (9%)</v>
      </c>
    </row>
    <row r="54" spans="2:28">
      <c r="B54" s="25" t="s">
        <v>93</v>
      </c>
      <c r="C54" s="22">
        <f t="shared" si="10"/>
        <v>1</v>
      </c>
      <c r="D54" s="42">
        <f t="shared" si="23"/>
        <v>1</v>
      </c>
      <c r="E54" s="22">
        <f t="shared" si="11"/>
        <v>0</v>
      </c>
      <c r="F54" s="22">
        <f t="shared" si="24"/>
        <v>0</v>
      </c>
      <c r="G54" s="22">
        <f t="shared" si="25"/>
        <v>1</v>
      </c>
      <c r="H54" s="24">
        <v>3060335</v>
      </c>
      <c r="I54" s="37">
        <v>28895</v>
      </c>
      <c r="J54" s="37">
        <v>26472</v>
      </c>
      <c r="K54" s="37">
        <v>30995</v>
      </c>
      <c r="L54" s="37">
        <v>8267</v>
      </c>
      <c r="M54" s="24">
        <f t="shared" si="32"/>
        <v>30995</v>
      </c>
      <c r="N54" s="32">
        <f t="shared" si="13"/>
        <v>8.6500334113749</v>
      </c>
      <c r="O54" s="32">
        <f t="shared" si="14"/>
        <v>10.1279761856137</v>
      </c>
      <c r="P54" s="32">
        <f t="shared" si="6"/>
        <v>10.1279761856137</v>
      </c>
      <c r="Q54" s="24">
        <f t="shared" si="15"/>
        <v>37162</v>
      </c>
      <c r="R54" s="33">
        <f t="shared" si="16"/>
        <v>0.222458425273128</v>
      </c>
      <c r="S54" s="33">
        <f t="shared" si="33"/>
        <v>0.932247136634941</v>
      </c>
      <c r="T54" s="6" t="str">
        <f t="shared" si="34"/>
        <v>Места накопления ТКО (МНО): 28895 по ФГИС УТКО / 30995 по ТС</v>
      </c>
      <c r="U54" s="6" t="str">
        <f t="shared" si="35"/>
        <v>Наполнение ФГИС УТКО 93%</v>
      </c>
      <c r="V54" s="34" t="str">
        <f t="shared" si="36"/>
        <v>Аномальные данные территориальной схемы</v>
      </c>
      <c r="W54" s="6" t="str">
        <f t="shared" si="37"/>
        <v>Контейнерные площадки (КП): 26472 по ФГИС УТКО / 37162,0 на 1000 чел.</v>
      </c>
      <c r="X54" s="6">
        <f t="shared" si="38"/>
        <v>0.969079902019516</v>
      </c>
      <c r="Y54" s="6" t="str">
        <f t="shared" si="19"/>
        <v>ниже </v>
      </c>
      <c r="Z54" s="6" t="str">
        <f t="shared" si="20"/>
        <v>Обеспеченность КП ниже среднего по России на 97%</v>
      </c>
      <c r="AA54" s="6" t="str">
        <f t="shared" si="21"/>
        <v>Потребность в КП по данным субъекта 8267 шт. (22% от МНО)</v>
      </c>
      <c r="AB54" s="10" t="str">
        <f t="shared" si="22"/>
        <v>35/26/8 (22%)</v>
      </c>
    </row>
    <row r="55" spans="2:28">
      <c r="B55" s="25" t="s">
        <v>90</v>
      </c>
      <c r="C55" s="22">
        <f t="shared" si="10"/>
        <v>0</v>
      </c>
      <c r="D55" s="42">
        <f t="shared" si="23"/>
        <v>0</v>
      </c>
      <c r="E55" s="22">
        <f t="shared" si="11"/>
        <v>0</v>
      </c>
      <c r="F55" s="22">
        <f t="shared" si="24"/>
        <v>0</v>
      </c>
      <c r="G55" s="22">
        <f t="shared" si="25"/>
        <v>0</v>
      </c>
      <c r="H55" s="24">
        <v>571447</v>
      </c>
      <c r="I55" s="37">
        <v>4932</v>
      </c>
      <c r="J55" s="37">
        <v>4714</v>
      </c>
      <c r="K55" s="37">
        <v>4309</v>
      </c>
      <c r="L55" s="37">
        <v>21</v>
      </c>
      <c r="M55" s="24">
        <f t="shared" si="32"/>
        <v>4932</v>
      </c>
      <c r="N55" s="32">
        <f t="shared" si="13"/>
        <v>8.24923396220472</v>
      </c>
      <c r="O55" s="32">
        <f t="shared" si="14"/>
        <v>7.5405068186551</v>
      </c>
      <c r="P55" s="32">
        <f t="shared" si="6"/>
        <v>8.24923396220472</v>
      </c>
      <c r="Q55" s="24">
        <f t="shared" si="15"/>
        <v>4953</v>
      </c>
      <c r="R55" s="33">
        <f t="shared" si="16"/>
        <v>0.00423985463355542</v>
      </c>
      <c r="S55" s="33">
        <f t="shared" si="33"/>
        <v>1</v>
      </c>
      <c r="T55" s="6" t="str">
        <f t="shared" si="34"/>
        <v>Места накопления ТКО (МНО): 4932 по ФГИС УТКО / 4309 по ТС</v>
      </c>
      <c r="U55" s="6" t="str">
        <f t="shared" si="35"/>
        <v>Наполнение ФГИС УТКО более 100%</v>
      </c>
      <c r="V55" s="34" t="str">
        <f t="shared" si="36"/>
        <v>Аномальные данные территориальной схемы</v>
      </c>
      <c r="W55" s="6" t="str">
        <f t="shared" si="37"/>
        <v>Контейнерные площадки (КП): 4714 по ФГИС УТКО / 4953,0 на 1000 чел.</v>
      </c>
      <c r="X55" s="6">
        <f t="shared" si="38"/>
        <v>0.995878928870961</v>
      </c>
      <c r="Y55" s="6" t="str">
        <f t="shared" si="19"/>
        <v>ниже </v>
      </c>
      <c r="Z55" s="6" t="str">
        <f t="shared" si="20"/>
        <v>Обеспеченность КП ниже среднего по России на 100%</v>
      </c>
      <c r="AA55" s="6" t="str">
        <f t="shared" si="21"/>
        <v>Потребность в КП по данным субъекта 21 шт. (0% от МНО)</v>
      </c>
      <c r="AB55" s="10" t="str">
        <f t="shared" si="22"/>
        <v>5/5/0 (0%)</v>
      </c>
    </row>
    <row r="56" spans="2:28">
      <c r="B56" s="25" t="s">
        <v>123</v>
      </c>
      <c r="C56" s="22">
        <f t="shared" si="10"/>
        <v>0</v>
      </c>
      <c r="D56" s="42">
        <f t="shared" si="23"/>
        <v>0</v>
      </c>
      <c r="E56" s="22">
        <f t="shared" si="11"/>
        <v>1</v>
      </c>
      <c r="F56" s="22">
        <f t="shared" si="24"/>
        <v>0</v>
      </c>
      <c r="G56" s="22">
        <f t="shared" si="25"/>
        <v>0</v>
      </c>
      <c r="H56" s="24">
        <v>2789532</v>
      </c>
      <c r="I56" s="37">
        <v>16196</v>
      </c>
      <c r="J56" s="37">
        <v>10079</v>
      </c>
      <c r="K56" s="37">
        <v>14801</v>
      </c>
      <c r="L56" s="37">
        <v>1835</v>
      </c>
      <c r="M56" s="24">
        <f t="shared" si="32"/>
        <v>16196</v>
      </c>
      <c r="N56" s="32">
        <f t="shared" si="13"/>
        <v>3.61315087978915</v>
      </c>
      <c r="O56" s="32">
        <f t="shared" si="14"/>
        <v>5.30590794441505</v>
      </c>
      <c r="P56" s="32">
        <f t="shared" si="6"/>
        <v>5.30590794441505</v>
      </c>
      <c r="Q56" s="24">
        <f t="shared" si="15"/>
        <v>18031</v>
      </c>
      <c r="R56" s="33">
        <f t="shared" si="16"/>
        <v>0.10176917530919</v>
      </c>
      <c r="S56" s="33">
        <f t="shared" si="33"/>
        <v>1</v>
      </c>
      <c r="T56" s="6" t="str">
        <f t="shared" si="34"/>
        <v>Места накопления ТКО (МНО): 16196 по ФГИС УТКО / 14801 по ТС</v>
      </c>
      <c r="U56" s="6" t="str">
        <f t="shared" si="35"/>
        <v>Наполнение ФГИС УТКО более 100%</v>
      </c>
      <c r="V56" s="34" t="str">
        <f t="shared" si="36"/>
        <v>Аномальные данные территориальной схемы</v>
      </c>
      <c r="W56" s="6" t="str">
        <f t="shared" si="37"/>
        <v>Контейнерные площадки (КП): 10079 по ФГИС УТКО / 18031,0 на 1000 чел.</v>
      </c>
      <c r="X56" s="6">
        <f t="shared" si="38"/>
        <v>0.984997570456754</v>
      </c>
      <c r="Y56" s="6" t="str">
        <f t="shared" si="19"/>
        <v>ниже </v>
      </c>
      <c r="Z56" s="6" t="str">
        <f t="shared" si="20"/>
        <v>Обеспеченность КП ниже среднего по России на 98%</v>
      </c>
      <c r="AA56" s="6" t="str">
        <f t="shared" si="21"/>
        <v>Потребность в КП по данным субъекта 1835 шт. (10% от МНО)</v>
      </c>
      <c r="AB56" s="10" t="str">
        <f t="shared" si="22"/>
        <v>12/10/2 (10%)</v>
      </c>
    </row>
    <row r="57" spans="2:28">
      <c r="B57" s="25" t="s">
        <v>139</v>
      </c>
      <c r="C57" s="22">
        <f t="shared" si="10"/>
        <v>0</v>
      </c>
      <c r="D57" s="42">
        <f t="shared" si="23"/>
        <v>0</v>
      </c>
      <c r="E57" s="22">
        <f t="shared" si="11"/>
        <v>0</v>
      </c>
      <c r="F57" s="22">
        <f t="shared" si="24"/>
        <v>0</v>
      </c>
      <c r="G57" s="22">
        <f t="shared" si="25"/>
        <v>0</v>
      </c>
      <c r="H57" s="24">
        <v>1818093</v>
      </c>
      <c r="I57" s="37">
        <v>19250</v>
      </c>
      <c r="J57" s="37">
        <v>18263</v>
      </c>
      <c r="K57" s="37">
        <v>18942</v>
      </c>
      <c r="L57" s="37">
        <v>2648</v>
      </c>
      <c r="M57" s="24">
        <f t="shared" si="32"/>
        <v>19250</v>
      </c>
      <c r="N57" s="32">
        <f t="shared" si="13"/>
        <v>10.0451407051234</v>
      </c>
      <c r="O57" s="32">
        <f t="shared" si="14"/>
        <v>10.4186089490472</v>
      </c>
      <c r="P57" s="32">
        <f t="shared" si="6"/>
        <v>10.4186089490472</v>
      </c>
      <c r="Q57" s="24">
        <f t="shared" si="15"/>
        <v>21898</v>
      </c>
      <c r="R57" s="33">
        <f t="shared" si="16"/>
        <v>0.120924285322861</v>
      </c>
      <c r="S57" s="33">
        <f t="shared" si="33"/>
        <v>1</v>
      </c>
      <c r="T57" s="6" t="str">
        <f t="shared" si="34"/>
        <v>Места накопления ТКО (МНО): 19250 по ФГИС УТКО / 18942 по ТС</v>
      </c>
      <c r="U57" s="6" t="str">
        <f t="shared" si="35"/>
        <v>Наполнение ФГИС УТКО более 100%</v>
      </c>
      <c r="V57" s="34" t="str">
        <f t="shared" si="36"/>
        <v>Аномальные данные территориальной схемы</v>
      </c>
      <c r="W57" s="6" t="str">
        <f t="shared" si="37"/>
        <v>Контейнерные площадки (КП): 18263 по ФГИС УТКО / 21898,0 на 1000 чел.</v>
      </c>
      <c r="X57" s="6">
        <f t="shared" si="38"/>
        <v>0.981780089726693</v>
      </c>
      <c r="Y57" s="6" t="str">
        <f t="shared" si="19"/>
        <v>ниже </v>
      </c>
      <c r="Z57" s="6" t="str">
        <f t="shared" si="20"/>
        <v>Обеспеченность КП ниже среднего по России на 98%</v>
      </c>
      <c r="AA57" s="6" t="str">
        <f t="shared" si="21"/>
        <v>Потребность в КП по данным субъекта 2648 шт. (12% от МНО)</v>
      </c>
      <c r="AB57" s="10" t="str">
        <f t="shared" si="22"/>
        <v>21/18/3 (12%)</v>
      </c>
    </row>
    <row r="58" spans="2:28">
      <c r="B58" s="25" t="s">
        <v>94</v>
      </c>
      <c r="C58" s="22">
        <f t="shared" si="10"/>
        <v>1</v>
      </c>
      <c r="D58" s="42">
        <f t="shared" si="23"/>
        <v>1</v>
      </c>
      <c r="E58" s="22">
        <f t="shared" si="11"/>
        <v>0</v>
      </c>
      <c r="F58" s="22">
        <f t="shared" si="24"/>
        <v>0</v>
      </c>
      <c r="G58" s="22">
        <f t="shared" si="25"/>
        <v>1</v>
      </c>
      <c r="H58" s="24">
        <v>1828656</v>
      </c>
      <c r="I58" s="37">
        <v>12551</v>
      </c>
      <c r="J58" s="37">
        <v>12177</v>
      </c>
      <c r="K58" s="37">
        <v>9780</v>
      </c>
      <c r="L58" s="37">
        <v>3679</v>
      </c>
      <c r="M58" s="24">
        <f t="shared" si="32"/>
        <v>12551</v>
      </c>
      <c r="N58" s="32">
        <f t="shared" si="13"/>
        <v>6.65898889676352</v>
      </c>
      <c r="O58" s="32">
        <f t="shared" si="14"/>
        <v>5.34819014620574</v>
      </c>
      <c r="P58" s="32">
        <f t="shared" si="6"/>
        <v>6.65898889676352</v>
      </c>
      <c r="Q58" s="24">
        <f t="shared" si="15"/>
        <v>16230</v>
      </c>
      <c r="R58" s="33">
        <f t="shared" si="16"/>
        <v>0.22667898952557</v>
      </c>
      <c r="S58" s="33">
        <f t="shared" si="33"/>
        <v>1</v>
      </c>
      <c r="T58" s="6" t="str">
        <f t="shared" si="34"/>
        <v>Места накопления ТКО (МНО): 12551 по ФГИС УТКО / 9780 по ТС</v>
      </c>
      <c r="U58" s="6" t="str">
        <f t="shared" si="35"/>
        <v>Наполнение ФГИС УТКО более 100%</v>
      </c>
      <c r="V58" s="34" t="str">
        <f t="shared" si="36"/>
        <v>Аномальные данные территориальной схемы</v>
      </c>
      <c r="W58" s="6" t="str">
        <f t="shared" si="37"/>
        <v>Контейнерные площадки (КП): 12177 по ФГИС УТКО / 16230,0 на 1000 чел.</v>
      </c>
      <c r="X58" s="6">
        <f t="shared" si="38"/>
        <v>0.986496066136826</v>
      </c>
      <c r="Y58" s="6" t="str">
        <f t="shared" si="19"/>
        <v>ниже </v>
      </c>
      <c r="Z58" s="6" t="str">
        <f t="shared" si="20"/>
        <v>Обеспеченность КП ниже среднего по России на 99%</v>
      </c>
      <c r="AA58" s="6" t="str">
        <f t="shared" si="21"/>
        <v>Потребность в КП по данным субъекта 3679 шт. (23% от МНО)</v>
      </c>
      <c r="AB58" s="10" t="str">
        <f t="shared" si="22"/>
        <v>16/12/4 (23%)</v>
      </c>
    </row>
    <row r="59" spans="2:28">
      <c r="B59" s="25" t="s">
        <v>111</v>
      </c>
      <c r="C59" s="22">
        <f t="shared" si="10"/>
        <v>1</v>
      </c>
      <c r="D59" s="42">
        <f t="shared" si="23"/>
        <v>1</v>
      </c>
      <c r="E59" s="22">
        <f t="shared" si="11"/>
        <v>0</v>
      </c>
      <c r="F59" s="22">
        <f t="shared" si="24"/>
        <v>0</v>
      </c>
      <c r="G59" s="22">
        <f t="shared" si="25"/>
        <v>1</v>
      </c>
      <c r="H59" s="24">
        <v>692486</v>
      </c>
      <c r="I59" s="37">
        <v>9385</v>
      </c>
      <c r="J59" s="37">
        <v>8428</v>
      </c>
      <c r="K59" s="37">
        <v>8676</v>
      </c>
      <c r="L59" s="37">
        <v>2710</v>
      </c>
      <c r="M59" s="24">
        <f t="shared" si="32"/>
        <v>9385</v>
      </c>
      <c r="N59" s="32">
        <f t="shared" si="13"/>
        <v>12.170643161017</v>
      </c>
      <c r="O59" s="32">
        <f t="shared" si="14"/>
        <v>12.5287731448722</v>
      </c>
      <c r="P59" s="32">
        <f t="shared" si="6"/>
        <v>12.5287731448722</v>
      </c>
      <c r="Q59" s="24">
        <f t="shared" si="15"/>
        <v>12095</v>
      </c>
      <c r="R59" s="33">
        <f t="shared" si="16"/>
        <v>0.224059528730881</v>
      </c>
      <c r="S59" s="33">
        <f t="shared" si="33"/>
        <v>1</v>
      </c>
      <c r="T59" s="6" t="str">
        <f t="shared" si="34"/>
        <v>Места накопления ТКО (МНО): 9385 по ФГИС УТКО / 8676 по ТС</v>
      </c>
      <c r="U59" s="6" t="str">
        <f t="shared" si="35"/>
        <v>Наполнение ФГИС УТКО более 100%</v>
      </c>
      <c r="V59" s="34" t="str">
        <f t="shared" si="36"/>
        <v>Аномальные данные территориальной схемы</v>
      </c>
      <c r="W59" s="6" t="str">
        <f t="shared" si="37"/>
        <v>Контейнерные площадки (КП): 8428 по ФГИС УТКО / 12095,0 на 1000 чел.</v>
      </c>
      <c r="X59" s="6">
        <f t="shared" si="38"/>
        <v>0.989936532342878</v>
      </c>
      <c r="Y59" s="6" t="str">
        <f t="shared" si="19"/>
        <v>ниже </v>
      </c>
      <c r="Z59" s="6" t="str">
        <f t="shared" si="20"/>
        <v>Обеспеченность КП ниже среднего по России на 99%</v>
      </c>
      <c r="AA59" s="6" t="str">
        <f t="shared" si="21"/>
        <v>Потребность в КП по данным субъекта 2710 шт. (22% от МНО)</v>
      </c>
      <c r="AB59" s="10" t="str">
        <f t="shared" si="22"/>
        <v>11/8/3 (22%)</v>
      </c>
    </row>
    <row r="60" spans="2:28">
      <c r="B60" s="25" t="s">
        <v>124</v>
      </c>
      <c r="C60" s="22">
        <f t="shared" si="10"/>
        <v>0</v>
      </c>
      <c r="D60" s="42">
        <f t="shared" si="23"/>
        <v>0</v>
      </c>
      <c r="E60" s="22">
        <f t="shared" si="11"/>
        <v>0</v>
      </c>
      <c r="F60" s="22">
        <f t="shared" si="24"/>
        <v>0</v>
      </c>
      <c r="G60" s="22">
        <f t="shared" si="25"/>
        <v>0</v>
      </c>
      <c r="H60" s="24">
        <v>1236113</v>
      </c>
      <c r="I60" s="37">
        <v>11623</v>
      </c>
      <c r="J60" s="37">
        <v>8910</v>
      </c>
      <c r="K60" s="37">
        <v>11420</v>
      </c>
      <c r="L60" s="37">
        <v>224</v>
      </c>
      <c r="M60" s="24">
        <f t="shared" si="32"/>
        <v>11623</v>
      </c>
      <c r="N60" s="32">
        <f t="shared" si="13"/>
        <v>7.20807887304801</v>
      </c>
      <c r="O60" s="32">
        <f t="shared" si="14"/>
        <v>9.23863756792461</v>
      </c>
      <c r="P60" s="32">
        <f t="shared" si="6"/>
        <v>9.23863756792461</v>
      </c>
      <c r="Q60" s="24">
        <f t="shared" si="15"/>
        <v>11847</v>
      </c>
      <c r="R60" s="33">
        <f t="shared" si="16"/>
        <v>0.0189077403562083</v>
      </c>
      <c r="S60" s="33">
        <f t="shared" si="33"/>
        <v>1</v>
      </c>
      <c r="T60" s="6" t="str">
        <f t="shared" si="34"/>
        <v>Места накопления ТКО (МНО): 11623 по ФГИС УТКО / 11420 по ТС</v>
      </c>
      <c r="U60" s="6" t="str">
        <f t="shared" si="35"/>
        <v>Наполнение ФГИС УТКО более 100%</v>
      </c>
      <c r="V60" s="34" t="str">
        <f t="shared" si="36"/>
        <v>Аномальные данные территориальной схемы</v>
      </c>
      <c r="W60" s="6" t="str">
        <f t="shared" si="37"/>
        <v>Контейнерные площадки (КП): 8910 по ФГИС УТКО / 11847,0 на 1000 чел.</v>
      </c>
      <c r="X60" s="6">
        <f t="shared" si="38"/>
        <v>0.990142877111706</v>
      </c>
      <c r="Y60" s="6" t="str">
        <f t="shared" si="19"/>
        <v>ниже </v>
      </c>
      <c r="Z60" s="6" t="str">
        <f t="shared" si="20"/>
        <v>Обеспеченность КП ниже среднего по России на 99%</v>
      </c>
      <c r="AA60" s="6" t="str">
        <f t="shared" si="21"/>
        <v>Потребность в КП по данным субъекта 224 шт. (2% от МНО)</v>
      </c>
      <c r="AB60" s="10" t="str">
        <f t="shared" si="22"/>
        <v>9/9/0 (2%)</v>
      </c>
    </row>
    <row r="61" spans="2:28">
      <c r="B61" s="25" t="s">
        <v>143</v>
      </c>
      <c r="C61" s="22">
        <f t="shared" si="10"/>
        <v>0</v>
      </c>
      <c r="D61" s="42">
        <f t="shared" si="23"/>
        <v>0</v>
      </c>
      <c r="E61" s="22">
        <f t="shared" si="11"/>
        <v>0</v>
      </c>
      <c r="F61" s="22">
        <f t="shared" si="24"/>
        <v>0</v>
      </c>
      <c r="G61" s="22">
        <f t="shared" si="25"/>
        <v>0</v>
      </c>
      <c r="H61" s="24">
        <v>2495266</v>
      </c>
      <c r="I61" s="37">
        <v>19449</v>
      </c>
      <c r="J61" s="37">
        <v>17891</v>
      </c>
      <c r="K61" s="37">
        <v>17831</v>
      </c>
      <c r="L61" s="37">
        <v>4219</v>
      </c>
      <c r="M61" s="24">
        <f t="shared" si="32"/>
        <v>19449</v>
      </c>
      <c r="N61" s="32">
        <f t="shared" si="13"/>
        <v>7.16997706857706</v>
      </c>
      <c r="O61" s="32">
        <f t="shared" si="14"/>
        <v>7.14593153595649</v>
      </c>
      <c r="P61" s="32">
        <f t="shared" si="6"/>
        <v>7.16997706857706</v>
      </c>
      <c r="Q61" s="24">
        <f t="shared" si="15"/>
        <v>23668</v>
      </c>
      <c r="R61" s="33">
        <f t="shared" si="16"/>
        <v>0.1782575629542</v>
      </c>
      <c r="S61" s="33">
        <f t="shared" si="33"/>
        <v>1</v>
      </c>
      <c r="T61" s="6" t="str">
        <f t="shared" si="34"/>
        <v>Места накопления ТКО (МНО): 19449 по ФГИС УТКО / 17831 по ТС</v>
      </c>
      <c r="U61" s="6" t="str">
        <f t="shared" si="35"/>
        <v>Наполнение ФГИС УТКО более 100%</v>
      </c>
      <c r="V61" s="34" t="str">
        <f t="shared" si="36"/>
        <v>Аномальные данные территориальной схемы</v>
      </c>
      <c r="W61" s="6" t="str">
        <f t="shared" si="37"/>
        <v>Контейнерные площадки (КП): 17891 по ФГИС УТКО / 23668,0 на 1000 чел.</v>
      </c>
      <c r="X61" s="6">
        <f t="shared" si="38"/>
        <v>0.980307387142724</v>
      </c>
      <c r="Y61" s="6" t="str">
        <f t="shared" si="19"/>
        <v>ниже </v>
      </c>
      <c r="Z61" s="6" t="str">
        <f t="shared" si="20"/>
        <v>Обеспеченность КП ниже среднего по России на 98%</v>
      </c>
      <c r="AA61" s="6" t="str">
        <f t="shared" si="21"/>
        <v>Потребность в КП по данным субъекта 4219 шт. (18% от МНО)</v>
      </c>
      <c r="AB61" s="10" t="str">
        <f t="shared" si="22"/>
        <v>22/18/4 (18%)</v>
      </c>
    </row>
    <row r="62" spans="2:28">
      <c r="B62" s="25" t="s">
        <v>144</v>
      </c>
      <c r="C62" s="22">
        <f t="shared" si="10"/>
        <v>2</v>
      </c>
      <c r="D62" s="42">
        <f t="shared" si="23"/>
        <v>2</v>
      </c>
      <c r="E62" s="22">
        <f t="shared" si="11"/>
        <v>2</v>
      </c>
      <c r="F62" s="22">
        <f t="shared" si="24"/>
        <v>2</v>
      </c>
      <c r="G62" s="22">
        <f t="shared" si="25"/>
        <v>2</v>
      </c>
      <c r="H62" s="24">
        <v>1806393</v>
      </c>
      <c r="I62" s="37">
        <v>3917</v>
      </c>
      <c r="J62" s="37">
        <v>3713</v>
      </c>
      <c r="K62" s="37">
        <v>219657</v>
      </c>
      <c r="L62" s="37">
        <v>20108</v>
      </c>
      <c r="M62" s="24">
        <f t="shared" si="32"/>
        <v>219657</v>
      </c>
      <c r="N62" s="32">
        <f t="shared" si="13"/>
        <v>2.05547740718659</v>
      </c>
      <c r="O62" s="32">
        <f t="shared" si="14"/>
        <v>121.599784764445</v>
      </c>
      <c r="P62" s="32">
        <f t="shared" si="6"/>
        <v>121.599784764445</v>
      </c>
      <c r="Q62" s="24">
        <f t="shared" si="15"/>
        <v>24025</v>
      </c>
      <c r="R62" s="33">
        <f t="shared" si="16"/>
        <v>0.836961498439126</v>
      </c>
      <c r="S62" s="33">
        <f t="shared" si="33"/>
        <v>0.0178323477057412</v>
      </c>
      <c r="T62" s="6" t="str">
        <f t="shared" si="34"/>
        <v>Места накопления ТКО (МНО): 3917 по ФГИС УТКО / 219657 по ТС</v>
      </c>
      <c r="U62" s="6" t="str">
        <f t="shared" si="35"/>
        <v>Наполнение ФГИС УТКО 2%</v>
      </c>
      <c r="V62" s="34" t="str">
        <f t="shared" si="36"/>
        <v>Аномальные данные территориальной схемы</v>
      </c>
      <c r="W62" s="6" t="str">
        <f t="shared" si="37"/>
        <v>Контейнерные площадки (КП): 3713 по ФГИС УТКО / 24025,0 на 1000 чел.</v>
      </c>
      <c r="X62" s="6">
        <f t="shared" si="38"/>
        <v>0.980010350519856</v>
      </c>
      <c r="Y62" s="6" t="str">
        <f t="shared" si="19"/>
        <v>ниже </v>
      </c>
      <c r="Z62" s="6" t="str">
        <f t="shared" si="20"/>
        <v>Обеспеченность КП ниже среднего по России на 98%</v>
      </c>
      <c r="AA62" s="6" t="str">
        <f t="shared" si="21"/>
        <v>Потребность в КП по данным субъекта 20108 шт. (84% от МНО)</v>
      </c>
      <c r="AB62" s="10" t="str">
        <f t="shared" si="22"/>
        <v>24/4/20 (84%)</v>
      </c>
    </row>
    <row r="63" spans="2:28">
      <c r="B63" s="25" t="s">
        <v>95</v>
      </c>
      <c r="C63" s="22">
        <f t="shared" si="10"/>
        <v>1</v>
      </c>
      <c r="D63" s="42">
        <f t="shared" si="23"/>
        <v>1</v>
      </c>
      <c r="E63" s="22">
        <f t="shared" si="11"/>
        <v>0</v>
      </c>
      <c r="F63" s="22">
        <f t="shared" si="24"/>
        <v>0</v>
      </c>
      <c r="G63" s="22">
        <f t="shared" si="25"/>
        <v>1</v>
      </c>
      <c r="H63" s="24">
        <v>581147</v>
      </c>
      <c r="I63" s="37">
        <v>4417</v>
      </c>
      <c r="J63" s="37">
        <v>3486</v>
      </c>
      <c r="K63" s="37">
        <v>4929</v>
      </c>
      <c r="L63" s="37">
        <v>1314</v>
      </c>
      <c r="M63" s="24">
        <f t="shared" si="32"/>
        <v>4929</v>
      </c>
      <c r="N63" s="32">
        <f t="shared" si="13"/>
        <v>5.99848231170427</v>
      </c>
      <c r="O63" s="32">
        <f t="shared" si="14"/>
        <v>8.48150295880388</v>
      </c>
      <c r="P63" s="32">
        <f t="shared" si="6"/>
        <v>8.48150295880388</v>
      </c>
      <c r="Q63" s="24">
        <f t="shared" si="15"/>
        <v>5731</v>
      </c>
      <c r="R63" s="33">
        <f t="shared" si="16"/>
        <v>0.229279357878206</v>
      </c>
      <c r="S63" s="33">
        <f t="shared" si="33"/>
        <v>0.896124974639886</v>
      </c>
      <c r="T63" s="6" t="str">
        <f t="shared" si="34"/>
        <v>Места накопления ТКО (МНО): 4417 по ФГИС УТКО / 4929 по ТС</v>
      </c>
      <c r="U63" s="6" t="str">
        <f t="shared" si="35"/>
        <v>Наполнение ФГИС УТКО 90%</v>
      </c>
      <c r="V63" s="34" t="str">
        <f t="shared" si="36"/>
        <v>Аномальные данные территориальной схемы</v>
      </c>
      <c r="W63" s="6" t="str">
        <f t="shared" si="37"/>
        <v>Контейнерные площадки (КП): 3486 по ФГИС УТКО / 5731,0 на 1000 чел.</v>
      </c>
      <c r="X63" s="6">
        <f t="shared" si="38"/>
        <v>0.995231605362301</v>
      </c>
      <c r="Y63" s="6" t="str">
        <f t="shared" si="19"/>
        <v>ниже </v>
      </c>
      <c r="Z63" s="6" t="str">
        <f t="shared" si="20"/>
        <v>Обеспеченность КП ниже среднего по России на 100%</v>
      </c>
      <c r="AA63" s="6" t="str">
        <f t="shared" si="21"/>
        <v>Потребность в КП по данным субъекта 1314 шт. (23% от МНО)</v>
      </c>
      <c r="AB63" s="10" t="str">
        <f t="shared" si="22"/>
        <v>5/3/1 (23%)</v>
      </c>
    </row>
    <row r="64" spans="2:28">
      <c r="B64" s="25" t="s">
        <v>96</v>
      </c>
      <c r="C64" s="22">
        <f t="shared" si="10"/>
        <v>2</v>
      </c>
      <c r="D64" s="42">
        <f t="shared" si="23"/>
        <v>2</v>
      </c>
      <c r="E64" s="22">
        <f t="shared" si="11"/>
        <v>1</v>
      </c>
      <c r="F64" s="22">
        <f t="shared" si="24"/>
        <v>2</v>
      </c>
      <c r="G64" s="22">
        <f t="shared" si="25"/>
        <v>2</v>
      </c>
      <c r="H64" s="24">
        <v>500591</v>
      </c>
      <c r="I64" s="37">
        <v>2026</v>
      </c>
      <c r="J64" s="37">
        <v>1807</v>
      </c>
      <c r="K64" s="37">
        <v>3025</v>
      </c>
      <c r="L64" s="37">
        <v>2425</v>
      </c>
      <c r="M64" s="24">
        <f t="shared" si="32"/>
        <v>3025</v>
      </c>
      <c r="N64" s="32">
        <f t="shared" si="13"/>
        <v>3.60973329524502</v>
      </c>
      <c r="O64" s="32">
        <f t="shared" si="14"/>
        <v>6.04285734262102</v>
      </c>
      <c r="P64" s="32">
        <f t="shared" si="6"/>
        <v>6.04285734262102</v>
      </c>
      <c r="Q64" s="24">
        <f t="shared" si="15"/>
        <v>4451</v>
      </c>
      <c r="R64" s="33">
        <f t="shared" si="16"/>
        <v>0.544821388452033</v>
      </c>
      <c r="S64" s="33">
        <f t="shared" si="33"/>
        <v>0.669752066115702</v>
      </c>
      <c r="T64" s="6" t="str">
        <f t="shared" si="34"/>
        <v>Места накопления ТКО (МНО): 2026 по ФГИС УТКО / 3025 по ТС</v>
      </c>
      <c r="U64" s="6" t="str">
        <f t="shared" si="35"/>
        <v>Наполнение ФГИС УТКО 67%</v>
      </c>
      <c r="V64" s="34" t="str">
        <f t="shared" si="36"/>
        <v>Аномальные данные территориальной схемы</v>
      </c>
      <c r="W64" s="6" t="str">
        <f t="shared" si="37"/>
        <v>Контейнерные площадки (КП): 1807 по ФГИС УТКО / 4451,0 на 1000 чел.</v>
      </c>
      <c r="X64" s="6">
        <f t="shared" si="38"/>
        <v>0.996296610620765</v>
      </c>
      <c r="Y64" s="6" t="str">
        <f t="shared" si="19"/>
        <v>ниже </v>
      </c>
      <c r="Z64" s="6" t="str">
        <f t="shared" si="20"/>
        <v>Обеспеченность КП ниже среднего по России на 100%</v>
      </c>
      <c r="AA64" s="6" t="str">
        <f t="shared" si="21"/>
        <v>Потребность в КП по данным субъекта 2425 шт. (54% от МНО)</v>
      </c>
      <c r="AB64" s="10" t="str">
        <f t="shared" si="22"/>
        <v>4/2/2 (54%)</v>
      </c>
    </row>
    <row r="65" spans="2:28">
      <c r="B65" s="25" t="s">
        <v>147</v>
      </c>
      <c r="C65" s="22">
        <f t="shared" si="10"/>
        <v>1</v>
      </c>
      <c r="D65" s="42">
        <f t="shared" si="23"/>
        <v>1</v>
      </c>
      <c r="E65" s="22">
        <f t="shared" si="11"/>
        <v>1</v>
      </c>
      <c r="F65" s="22">
        <f t="shared" si="24"/>
        <v>0</v>
      </c>
      <c r="G65" s="22">
        <f t="shared" si="25"/>
        <v>1</v>
      </c>
      <c r="H65" s="24">
        <v>210765</v>
      </c>
      <c r="I65" s="37">
        <v>1206</v>
      </c>
      <c r="J65" s="37">
        <v>1204</v>
      </c>
      <c r="K65" s="37">
        <v>1289</v>
      </c>
      <c r="L65" s="37">
        <v>400</v>
      </c>
      <c r="M65" s="24">
        <f t="shared" si="32"/>
        <v>1289</v>
      </c>
      <c r="N65" s="32">
        <f t="shared" si="13"/>
        <v>5.71252342656513</v>
      </c>
      <c r="O65" s="32">
        <f t="shared" si="14"/>
        <v>6.11581619339074</v>
      </c>
      <c r="P65" s="32">
        <f t="shared" si="6"/>
        <v>6.11581619339074</v>
      </c>
      <c r="Q65" s="24">
        <f t="shared" si="15"/>
        <v>1606</v>
      </c>
      <c r="R65" s="33">
        <f t="shared" si="16"/>
        <v>0.24906600249066</v>
      </c>
      <c r="S65" s="33">
        <f t="shared" si="33"/>
        <v>0.935608999224205</v>
      </c>
      <c r="T65" s="6" t="str">
        <f t="shared" si="34"/>
        <v>Места накопления ТКО (МНО): 1206 по ФГИС УТКО / 1289 по ТС</v>
      </c>
      <c r="U65" s="6" t="str">
        <f t="shared" si="35"/>
        <v>Наполнение ФГИС УТКО 94%</v>
      </c>
      <c r="V65" s="34" t="str">
        <f t="shared" si="36"/>
        <v>Аномальные данные территориальной схемы</v>
      </c>
      <c r="W65" s="6" t="str">
        <f t="shared" si="37"/>
        <v>Контейнерные площадки (КП): 1204 по ФГИС УТКО / 1606,0 на 1000 чел.</v>
      </c>
      <c r="X65" s="6">
        <f t="shared" si="38"/>
        <v>0.998663751214772</v>
      </c>
      <c r="Y65" s="6" t="str">
        <f t="shared" si="19"/>
        <v>ниже </v>
      </c>
      <c r="Z65" s="6" t="str">
        <f t="shared" si="20"/>
        <v>Обеспеченность КП ниже среднего по России на 100%</v>
      </c>
      <c r="AA65" s="6" t="str">
        <f t="shared" si="21"/>
        <v>Потребность в КП по данным субъекта 400 шт. (25% от МНО)</v>
      </c>
      <c r="AB65" s="10" t="str">
        <f t="shared" si="22"/>
        <v>2/1/0 (25%)</v>
      </c>
    </row>
    <row r="66" spans="2:28">
      <c r="B66" s="25" t="s">
        <v>88</v>
      </c>
      <c r="C66" s="22">
        <f t="shared" si="10"/>
        <v>0</v>
      </c>
      <c r="D66" s="42">
        <f t="shared" si="23"/>
        <v>0</v>
      </c>
      <c r="E66" s="22">
        <f t="shared" si="11"/>
        <v>0</v>
      </c>
      <c r="F66" s="22">
        <f t="shared" si="24"/>
        <v>0</v>
      </c>
      <c r="G66" s="22">
        <f t="shared" si="25"/>
        <v>0</v>
      </c>
      <c r="H66" s="24">
        <v>4064361</v>
      </c>
      <c r="I66" s="37">
        <v>43337</v>
      </c>
      <c r="J66" s="37">
        <v>38125</v>
      </c>
      <c r="K66" s="37">
        <v>37171</v>
      </c>
      <c r="L66" s="37">
        <v>2682</v>
      </c>
      <c r="M66" s="24">
        <f t="shared" si="32"/>
        <v>43337</v>
      </c>
      <c r="N66" s="32">
        <f t="shared" si="13"/>
        <v>9.38031833294336</v>
      </c>
      <c r="O66" s="32">
        <f t="shared" si="14"/>
        <v>9.14559508862525</v>
      </c>
      <c r="P66" s="32">
        <f t="shared" si="6"/>
        <v>9.38031833294336</v>
      </c>
      <c r="Q66" s="24">
        <f t="shared" si="15"/>
        <v>46019</v>
      </c>
      <c r="R66" s="33">
        <f t="shared" si="16"/>
        <v>0.0582802755383646</v>
      </c>
      <c r="S66" s="33">
        <f t="shared" si="33"/>
        <v>1</v>
      </c>
      <c r="T66" s="6" t="str">
        <f t="shared" si="34"/>
        <v>Места накопления ТКО (МНО): 43337 по ФГИС УТКО / 37171 по ТС</v>
      </c>
      <c r="U66" s="6" t="str">
        <f t="shared" si="35"/>
        <v>Наполнение ФГИС УТКО более 100%</v>
      </c>
      <c r="V66" s="34" t="str">
        <f t="shared" si="36"/>
        <v>Аномальные данные территориальной схемы</v>
      </c>
      <c r="W66" s="6" t="str">
        <f t="shared" si="37"/>
        <v>Контейнерные площадки (КП): 38125 по ФГИС УТКО / 46019,0 на 1000 чел.</v>
      </c>
      <c r="X66" s="6">
        <f t="shared" si="38"/>
        <v>0.961710564852164</v>
      </c>
      <c r="Y66" s="6" t="str">
        <f t="shared" si="19"/>
        <v>ниже </v>
      </c>
      <c r="Z66" s="6" t="str">
        <f t="shared" si="20"/>
        <v>Обеспеченность КП ниже среднего по России на 96%</v>
      </c>
      <c r="AA66" s="6" t="str">
        <f t="shared" si="21"/>
        <v>Потребность в КП по данным субъекта 2682 шт. (6% от МНО)</v>
      </c>
      <c r="AB66" s="10" t="str">
        <f t="shared" si="22"/>
        <v>41/38/3 (6%)</v>
      </c>
    </row>
    <row r="67" spans="2:28">
      <c r="B67" s="25" t="s">
        <v>157</v>
      </c>
      <c r="C67" s="22">
        <f t="shared" si="10"/>
        <v>2</v>
      </c>
      <c r="D67" s="42">
        <f t="shared" si="23"/>
        <v>2</v>
      </c>
      <c r="E67" s="22">
        <f t="shared" si="11"/>
        <v>1</v>
      </c>
      <c r="F67" s="22">
        <f t="shared" si="24"/>
        <v>0</v>
      </c>
      <c r="G67" s="22">
        <f t="shared" si="25"/>
        <v>2</v>
      </c>
      <c r="H67" s="24">
        <v>971922</v>
      </c>
      <c r="I67" s="37">
        <v>3807</v>
      </c>
      <c r="J67" s="37">
        <v>3736</v>
      </c>
      <c r="K67" s="37">
        <v>3521</v>
      </c>
      <c r="L67" s="37">
        <v>6972</v>
      </c>
      <c r="M67" s="24">
        <f t="shared" si="32"/>
        <v>3807</v>
      </c>
      <c r="N67" s="32">
        <f t="shared" si="13"/>
        <v>3.84392986268445</v>
      </c>
      <c r="O67" s="32">
        <f t="shared" si="14"/>
        <v>3.62271869553318</v>
      </c>
      <c r="P67" s="32">
        <f t="shared" si="6"/>
        <v>3.84392986268445</v>
      </c>
      <c r="Q67" s="24">
        <f t="shared" si="15"/>
        <v>10779</v>
      </c>
      <c r="R67" s="33">
        <f t="shared" si="16"/>
        <v>0.646813247982188</v>
      </c>
      <c r="S67" s="33">
        <f t="shared" si="33"/>
        <v>1</v>
      </c>
      <c r="T67" s="6" t="str">
        <f t="shared" si="34"/>
        <v>Места накопления ТКО (МНО): 3807 по ФГИС УТКО / 3521 по ТС</v>
      </c>
      <c r="U67" s="6" t="str">
        <f t="shared" si="35"/>
        <v>Наполнение ФГИС УТКО более 100%</v>
      </c>
      <c r="V67" s="34" t="str">
        <f t="shared" si="36"/>
        <v>Аномальные данные территориальной схемы</v>
      </c>
      <c r="W67" s="6" t="str">
        <f t="shared" si="37"/>
        <v>Контейнерные площадки (КП): 3736 по ФГИС УТКО / 10779,0 на 1000 чел.</v>
      </c>
      <c r="X67" s="6">
        <f t="shared" si="38"/>
        <v>0.991031490874236</v>
      </c>
      <c r="Y67" s="6" t="str">
        <f t="shared" si="19"/>
        <v>ниже </v>
      </c>
      <c r="Z67" s="6" t="str">
        <f t="shared" si="20"/>
        <v>Обеспеченность КП ниже среднего по России на 99%</v>
      </c>
      <c r="AA67" s="6" t="str">
        <f t="shared" si="21"/>
        <v>Потребность в КП по данным субъекта 6972 шт. (65% от МНО)</v>
      </c>
      <c r="AB67" s="10" t="str">
        <f t="shared" si="22"/>
        <v>11/4/7 (65%)</v>
      </c>
    </row>
    <row r="68" spans="2:28">
      <c r="B68" s="25" t="s">
        <v>136</v>
      </c>
      <c r="C68" s="22">
        <f t="shared" si="10"/>
        <v>2</v>
      </c>
      <c r="D68" s="42">
        <f t="shared" si="23"/>
        <v>2</v>
      </c>
      <c r="E68" s="22">
        <f t="shared" si="11"/>
        <v>2</v>
      </c>
      <c r="F68" s="22">
        <f t="shared" si="24"/>
        <v>0</v>
      </c>
      <c r="G68" s="22">
        <f t="shared" si="25"/>
        <v>2</v>
      </c>
      <c r="H68" s="24">
        <v>3232224</v>
      </c>
      <c r="I68" s="37">
        <v>6173</v>
      </c>
      <c r="J68" s="37">
        <v>5897</v>
      </c>
      <c r="K68" s="37">
        <v>5239</v>
      </c>
      <c r="L68" s="37">
        <v>5286</v>
      </c>
      <c r="M68" s="24">
        <f t="shared" si="32"/>
        <v>6173</v>
      </c>
      <c r="N68" s="32">
        <f t="shared" si="13"/>
        <v>1.82444038531983</v>
      </c>
      <c r="O68" s="32">
        <f t="shared" si="14"/>
        <v>1.62086538556734</v>
      </c>
      <c r="P68" s="32">
        <f t="shared" si="6"/>
        <v>1.82444038531983</v>
      </c>
      <c r="Q68" s="24">
        <f t="shared" si="15"/>
        <v>11459</v>
      </c>
      <c r="R68" s="33">
        <f t="shared" si="16"/>
        <v>0.461296797277249</v>
      </c>
      <c r="S68" s="33">
        <f t="shared" si="33"/>
        <v>1</v>
      </c>
      <c r="T68" s="6" t="str">
        <f t="shared" si="34"/>
        <v>Места накопления ТКО (МНО): 6173 по ФГИС УТКО / 5239 по ТС</v>
      </c>
      <c r="U68" s="6" t="str">
        <f t="shared" si="35"/>
        <v>Наполнение ФГИС УТКО более 100%</v>
      </c>
      <c r="V68" s="34" t="str">
        <f t="shared" si="36"/>
        <v>Аномальные данные территориальной схемы</v>
      </c>
      <c r="W68" s="6" t="str">
        <f t="shared" si="37"/>
        <v>Контейнерные площадки (КП): 5897 по ФГИС УТКО / 11459,0 на 1000 чел.</v>
      </c>
      <c r="X68" s="6">
        <f t="shared" si="38"/>
        <v>0.990465706830677</v>
      </c>
      <c r="Y68" s="6" t="str">
        <f t="shared" si="19"/>
        <v>ниже </v>
      </c>
      <c r="Z68" s="6" t="str">
        <f t="shared" si="20"/>
        <v>Обеспеченность КП ниже среднего по России на 99%</v>
      </c>
      <c r="AA68" s="6" t="str">
        <f t="shared" si="21"/>
        <v>Потребность в КП по данным субъекта 5286 шт. (46% от МНО)</v>
      </c>
      <c r="AB68" s="10" t="str">
        <f t="shared" si="22"/>
        <v>11/6/5 (46%)</v>
      </c>
    </row>
    <row r="69" spans="2:28">
      <c r="B69" s="25" t="s">
        <v>158</v>
      </c>
      <c r="C69" s="22">
        <f t="shared" si="10"/>
        <v>2</v>
      </c>
      <c r="D69" s="42">
        <f t="shared" si="23"/>
        <v>2</v>
      </c>
      <c r="E69" s="22">
        <f t="shared" si="11"/>
        <v>2</v>
      </c>
      <c r="F69" s="22">
        <f t="shared" si="24"/>
        <v>2</v>
      </c>
      <c r="G69" s="22">
        <f t="shared" si="25"/>
        <v>2</v>
      </c>
      <c r="H69" s="24">
        <v>527220</v>
      </c>
      <c r="I69" s="37">
        <v>58</v>
      </c>
      <c r="J69" s="37">
        <v>58</v>
      </c>
      <c r="K69" s="37">
        <v>271</v>
      </c>
      <c r="L69" s="37">
        <v>322</v>
      </c>
      <c r="M69" s="24">
        <f t="shared" si="32"/>
        <v>271</v>
      </c>
      <c r="N69" s="32">
        <f t="shared" si="13"/>
        <v>0.11001100110011</v>
      </c>
      <c r="O69" s="32">
        <f t="shared" si="14"/>
        <v>0.514016918933273</v>
      </c>
      <c r="P69" s="32">
        <f t="shared" si="6"/>
        <v>0.514016918933273</v>
      </c>
      <c r="Q69" s="24">
        <f t="shared" si="15"/>
        <v>380</v>
      </c>
      <c r="R69" s="33">
        <f t="shared" si="16"/>
        <v>0.847368421052632</v>
      </c>
      <c r="S69" s="33">
        <f t="shared" si="33"/>
        <v>0.214022140221402</v>
      </c>
      <c r="T69" s="6" t="str">
        <f t="shared" si="34"/>
        <v>Места накопления ТКО (МНО): 58 по ФГИС УТКО / 271 по ТС</v>
      </c>
      <c r="U69" s="6" t="str">
        <f t="shared" si="35"/>
        <v>Наполнение ФГИС УТКО 21%</v>
      </c>
      <c r="V69" s="34" t="str">
        <f t="shared" si="36"/>
        <v>Аномальные данные территориальной схемы</v>
      </c>
      <c r="W69" s="6" t="str">
        <f t="shared" si="37"/>
        <v>Контейнерные площадки (КП): 58 по ФГИС УТКО / 380,0 на 1000 чел.</v>
      </c>
      <c r="X69" s="6">
        <f t="shared" si="38"/>
        <v>0.999683826563894</v>
      </c>
      <c r="Y69" s="6" t="str">
        <f t="shared" si="19"/>
        <v>ниже </v>
      </c>
      <c r="Z69" s="6" t="str">
        <f t="shared" si="20"/>
        <v>Обеспеченность КП ниже среднего по России на 100%</v>
      </c>
      <c r="AA69" s="6" t="str">
        <f t="shared" si="21"/>
        <v>Потребность в КП по данным субъекта 322 шт. (85% от МНО)</v>
      </c>
      <c r="AB69" s="10" t="str">
        <f t="shared" si="22"/>
        <v>0/0/0 (85%)</v>
      </c>
    </row>
    <row r="70" spans="2:28">
      <c r="B70" s="25" t="s">
        <v>120</v>
      </c>
      <c r="C70" s="22">
        <f t="shared" si="10"/>
        <v>1</v>
      </c>
      <c r="D70" s="42">
        <f t="shared" si="23"/>
        <v>1</v>
      </c>
      <c r="E70" s="22">
        <f t="shared" si="11"/>
        <v>1</v>
      </c>
      <c r="F70" s="22">
        <f t="shared" si="24"/>
        <v>0</v>
      </c>
      <c r="G70" s="22">
        <f t="shared" si="25"/>
        <v>1</v>
      </c>
      <c r="H70" s="24">
        <v>266770</v>
      </c>
      <c r="I70" s="37">
        <v>1047</v>
      </c>
      <c r="J70" s="37">
        <v>1043</v>
      </c>
      <c r="K70" s="37">
        <v>919</v>
      </c>
      <c r="L70" s="37">
        <v>286</v>
      </c>
      <c r="M70" s="24">
        <f t="shared" si="32"/>
        <v>1047</v>
      </c>
      <c r="N70" s="32">
        <f t="shared" si="13"/>
        <v>3.90973497769614</v>
      </c>
      <c r="O70" s="32">
        <f t="shared" si="14"/>
        <v>3.44491509540053</v>
      </c>
      <c r="P70" s="32">
        <f t="shared" si="6"/>
        <v>3.90973497769614</v>
      </c>
      <c r="Q70" s="24">
        <f t="shared" si="15"/>
        <v>1333</v>
      </c>
      <c r="R70" s="33">
        <f t="shared" si="16"/>
        <v>0.214553638409602</v>
      </c>
      <c r="S70" s="33">
        <f t="shared" si="33"/>
        <v>1</v>
      </c>
      <c r="T70" s="6" t="str">
        <f t="shared" si="34"/>
        <v>Места накопления ТКО (МНО): 1047 по ФГИС УТКО / 919 по ТС</v>
      </c>
      <c r="U70" s="6" t="str">
        <f t="shared" si="35"/>
        <v>Наполнение ФГИС УТКО более 100%</v>
      </c>
      <c r="V70" s="34" t="str">
        <f t="shared" si="36"/>
        <v>Аномальные данные территориальной схемы</v>
      </c>
      <c r="W70" s="6" t="str">
        <f t="shared" si="37"/>
        <v>Контейнерные площадки (КП): 1043 по ФГИС УТКО / 1333,0 на 1000 чел.</v>
      </c>
      <c r="X70" s="6">
        <f t="shared" si="38"/>
        <v>0.998890896867553</v>
      </c>
      <c r="Y70" s="6" t="str">
        <f t="shared" si="19"/>
        <v>ниже </v>
      </c>
      <c r="Z70" s="6" t="str">
        <f t="shared" si="20"/>
        <v>Обеспеченность КП ниже среднего по России на 100%</v>
      </c>
      <c r="AA70" s="6" t="str">
        <f t="shared" si="21"/>
        <v>Потребность в КП по данным субъекта 286 шт. (21% от МНО)</v>
      </c>
      <c r="AB70" s="10" t="str">
        <f t="shared" si="22"/>
        <v>1/1/0 (21%)</v>
      </c>
    </row>
    <row r="71" spans="2:28">
      <c r="B71" s="25" t="s">
        <v>112</v>
      </c>
      <c r="C71" s="22">
        <f t="shared" si="10"/>
        <v>2</v>
      </c>
      <c r="D71" s="42">
        <f t="shared" si="23"/>
        <v>2</v>
      </c>
      <c r="E71" s="22">
        <f t="shared" si="11"/>
        <v>1</v>
      </c>
      <c r="F71" s="22">
        <f t="shared" si="24"/>
        <v>0</v>
      </c>
      <c r="G71" s="22">
        <f t="shared" si="25"/>
        <v>2</v>
      </c>
      <c r="H71" s="24">
        <v>523856</v>
      </c>
      <c r="I71" s="37">
        <v>3580</v>
      </c>
      <c r="J71" s="37">
        <v>2943</v>
      </c>
      <c r="K71" s="37">
        <v>3785</v>
      </c>
      <c r="L71" s="37">
        <v>0</v>
      </c>
      <c r="M71" s="24">
        <f t="shared" si="32"/>
        <v>3785</v>
      </c>
      <c r="N71" s="32">
        <f t="shared" si="13"/>
        <v>5.61795607953331</v>
      </c>
      <c r="O71" s="32">
        <f t="shared" si="14"/>
        <v>7.22526801258361</v>
      </c>
      <c r="P71" s="32">
        <f t="shared" si="6"/>
        <v>7.22526801258361</v>
      </c>
      <c r="Q71" s="24">
        <f t="shared" si="15"/>
        <v>3580</v>
      </c>
      <c r="R71" s="33">
        <f t="shared" si="16"/>
        <v>0</v>
      </c>
      <c r="S71" s="33">
        <f t="shared" si="33"/>
        <v>0.945838837516513</v>
      </c>
      <c r="T71" s="6" t="str">
        <f t="shared" si="34"/>
        <v>Места накопления ТКО (МНО): 3580 по ФГИС УТКО / 3785 по ТС</v>
      </c>
      <c r="U71" s="6" t="str">
        <f t="shared" si="35"/>
        <v>Наполнение ФГИС УТКО 95%</v>
      </c>
      <c r="V71" s="34" t="str">
        <f t="shared" si="36"/>
        <v>Аномальные данные территориальной схемы</v>
      </c>
      <c r="W71" s="6" t="str">
        <f t="shared" si="37"/>
        <v>Контейнерные площадки (КП): 2943 по ФГИС УТКО / 3580,0 на 1000 чел.</v>
      </c>
      <c r="X71" s="6">
        <f t="shared" si="38"/>
        <v>0.997021313417735</v>
      </c>
      <c r="Y71" s="6" t="str">
        <f t="shared" si="19"/>
        <v>ниже </v>
      </c>
      <c r="Z71" s="6" t="str">
        <f t="shared" si="20"/>
        <v>Обеспеченность КП ниже среднего по России на 100%</v>
      </c>
      <c r="AA71" s="6" t="str">
        <f t="shared" si="21"/>
        <v>Потребность в КП не представлена</v>
      </c>
      <c r="AB71" s="10" t="str">
        <f t="shared" si="22"/>
        <v>3/3/0 (0%)</v>
      </c>
    </row>
    <row r="72" spans="2:28">
      <c r="B72" s="25" t="s">
        <v>97</v>
      </c>
      <c r="C72" s="22">
        <f t="shared" si="10"/>
        <v>0</v>
      </c>
      <c r="D72" s="42">
        <f t="shared" si="23"/>
        <v>0</v>
      </c>
      <c r="E72" s="22">
        <f t="shared" si="11"/>
        <v>0</v>
      </c>
      <c r="F72" s="22">
        <f t="shared" si="24"/>
        <v>0</v>
      </c>
      <c r="G72" s="22">
        <f t="shared" si="25"/>
        <v>0</v>
      </c>
      <c r="H72" s="24">
        <v>720610</v>
      </c>
      <c r="I72" s="37">
        <v>7233</v>
      </c>
      <c r="J72" s="37">
        <v>6616</v>
      </c>
      <c r="K72" s="37">
        <v>5980</v>
      </c>
      <c r="L72" s="37">
        <v>396</v>
      </c>
      <c r="M72" s="24">
        <f t="shared" si="32"/>
        <v>7233</v>
      </c>
      <c r="N72" s="32">
        <f t="shared" si="13"/>
        <v>9.18111044809259</v>
      </c>
      <c r="O72" s="32">
        <f t="shared" si="14"/>
        <v>8.29852486088175</v>
      </c>
      <c r="P72" s="32">
        <f t="shared" si="6"/>
        <v>9.18111044809259</v>
      </c>
      <c r="Q72" s="24">
        <f t="shared" si="15"/>
        <v>7629</v>
      </c>
      <c r="R72" s="33">
        <f t="shared" si="16"/>
        <v>0.0519071962249312</v>
      </c>
      <c r="S72" s="33">
        <f t="shared" si="33"/>
        <v>1</v>
      </c>
      <c r="T72" s="6" t="str">
        <f t="shared" si="34"/>
        <v>Места накопления ТКО (МНО): 7233 по ФГИС УТКО / 5980 по ТС</v>
      </c>
      <c r="U72" s="6" t="str">
        <f t="shared" si="35"/>
        <v>Наполнение ФГИС УТКО более 100%</v>
      </c>
      <c r="V72" s="34" t="str">
        <f t="shared" si="36"/>
        <v>Аномальные данные территориальной схемы</v>
      </c>
      <c r="W72" s="6" t="str">
        <f t="shared" si="37"/>
        <v>Контейнерные площадки (КП): 6616 по ФГИС УТКО / 7629,0 на 1000 чел.</v>
      </c>
      <c r="X72" s="6">
        <f t="shared" si="38"/>
        <v>0.993652402252486</v>
      </c>
      <c r="Y72" s="6" t="str">
        <f t="shared" si="19"/>
        <v>ниже </v>
      </c>
      <c r="Z72" s="6" t="str">
        <f t="shared" si="20"/>
        <v>Обеспеченность КП ниже среднего по России на 99%</v>
      </c>
      <c r="AA72" s="6" t="str">
        <f t="shared" si="21"/>
        <v>Потребность в КП по данным субъекта 396 шт. (5% от МНО)</v>
      </c>
      <c r="AB72" s="10" t="str">
        <f t="shared" si="22"/>
        <v>7/7/0 (5%)</v>
      </c>
    </row>
    <row r="73" spans="2:28">
      <c r="B73" s="25" t="s">
        <v>98</v>
      </c>
      <c r="C73" s="22">
        <f t="shared" si="10"/>
        <v>0</v>
      </c>
      <c r="D73" s="42">
        <f t="shared" si="23"/>
        <v>0</v>
      </c>
      <c r="E73" s="22">
        <f t="shared" si="11"/>
        <v>1</v>
      </c>
      <c r="F73" s="22">
        <f t="shared" si="24"/>
        <v>0</v>
      </c>
      <c r="G73" s="22">
        <f t="shared" si="25"/>
        <v>0</v>
      </c>
      <c r="H73" s="24">
        <v>1909499</v>
      </c>
      <c r="I73" s="37">
        <v>9558</v>
      </c>
      <c r="J73" s="37">
        <v>8226</v>
      </c>
      <c r="K73" s="37">
        <v>8438</v>
      </c>
      <c r="L73" s="37">
        <v>466</v>
      </c>
      <c r="M73" s="24">
        <f t="shared" si="32"/>
        <v>9558</v>
      </c>
      <c r="N73" s="32">
        <f t="shared" si="13"/>
        <v>4.30793627019443</v>
      </c>
      <c r="O73" s="32">
        <f t="shared" si="14"/>
        <v>4.41896015656463</v>
      </c>
      <c r="P73" s="32">
        <f t="shared" si="6"/>
        <v>4.41896015656463</v>
      </c>
      <c r="Q73" s="24">
        <f t="shared" si="15"/>
        <v>10024</v>
      </c>
      <c r="R73" s="33">
        <f t="shared" si="16"/>
        <v>0.046488427773344</v>
      </c>
      <c r="S73" s="33">
        <f t="shared" si="33"/>
        <v>1</v>
      </c>
      <c r="T73" s="6" t="str">
        <f t="shared" si="34"/>
        <v>Места накопления ТКО (МНО): 9558 по ФГИС УТКО / 8438 по ТС</v>
      </c>
      <c r="U73" s="6" t="str">
        <f t="shared" si="35"/>
        <v>Наполнение ФГИС УТКО более 100%</v>
      </c>
      <c r="V73" s="34" t="str">
        <f t="shared" si="36"/>
        <v>Аномальные данные территориальной схемы</v>
      </c>
      <c r="W73" s="6" t="str">
        <f t="shared" si="37"/>
        <v>Контейнерные площадки (КП): 8226 по ФГИС УТКО / 10024,0 на 1000 чел.</v>
      </c>
      <c r="X73" s="6">
        <f t="shared" si="38"/>
        <v>0.991659677569658</v>
      </c>
      <c r="Y73" s="6" t="str">
        <f t="shared" si="19"/>
        <v>ниже </v>
      </c>
      <c r="Z73" s="6" t="str">
        <f t="shared" si="20"/>
        <v>Обеспеченность КП ниже среднего по России на 99%</v>
      </c>
      <c r="AA73" s="6" t="str">
        <f t="shared" si="21"/>
        <v>Потребность в КП по данным субъекта 466 шт. (5% от МНО)</v>
      </c>
      <c r="AB73" s="10" t="str">
        <f t="shared" si="22"/>
        <v>9/8/0 (5%)</v>
      </c>
    </row>
    <row r="74" spans="2:28">
      <c r="B74" s="25" t="s">
        <v>110</v>
      </c>
      <c r="C74" s="22">
        <f t="shared" si="10"/>
        <v>0</v>
      </c>
      <c r="D74" s="42">
        <f t="shared" si="23"/>
        <v>0</v>
      </c>
      <c r="E74" s="22">
        <f t="shared" si="11"/>
        <v>0</v>
      </c>
      <c r="F74" s="22">
        <f t="shared" si="24"/>
        <v>0</v>
      </c>
      <c r="G74" s="22">
        <f t="shared" si="25"/>
        <v>0</v>
      </c>
      <c r="H74" s="24">
        <v>669854</v>
      </c>
      <c r="I74" s="37">
        <v>4950</v>
      </c>
      <c r="J74" s="37">
        <v>4760</v>
      </c>
      <c r="K74" s="37">
        <v>4417</v>
      </c>
      <c r="L74" s="37">
        <v>145</v>
      </c>
      <c r="M74" s="24">
        <f t="shared" si="32"/>
        <v>4950</v>
      </c>
      <c r="N74" s="32">
        <f t="shared" si="13"/>
        <v>7.10602608926721</v>
      </c>
      <c r="O74" s="32">
        <f t="shared" si="14"/>
        <v>6.59397420930531</v>
      </c>
      <c r="P74" s="32">
        <f t="shared" si="6"/>
        <v>7.10602608926721</v>
      </c>
      <c r="Q74" s="24">
        <f t="shared" si="15"/>
        <v>5095</v>
      </c>
      <c r="R74" s="33">
        <f t="shared" si="16"/>
        <v>0.028459273797841</v>
      </c>
      <c r="S74" s="33">
        <f t="shared" si="33"/>
        <v>1</v>
      </c>
      <c r="T74" s="6" t="str">
        <f t="shared" si="34"/>
        <v>Места накопления ТКО (МНО): 4950 по ФГИС УТКО / 4417 по ТС</v>
      </c>
      <c r="U74" s="6" t="str">
        <f t="shared" si="35"/>
        <v>Наполнение ФГИС УТКО более 100%</v>
      </c>
      <c r="V74" s="34" t="str">
        <f t="shared" si="36"/>
        <v>Аномальные данные территориальной схемы</v>
      </c>
      <c r="W74" s="6" t="str">
        <f t="shared" si="37"/>
        <v>Контейнерные площадки (КП): 4760 по ФГИС УТКО / 5095,0 на 1000 чел.</v>
      </c>
      <c r="X74" s="6">
        <f t="shared" si="38"/>
        <v>0.9957607798501</v>
      </c>
      <c r="Y74" s="6" t="str">
        <f t="shared" si="19"/>
        <v>ниже </v>
      </c>
      <c r="Z74" s="6" t="str">
        <f t="shared" si="20"/>
        <v>Обеспеченность КП ниже среднего по России на 100%</v>
      </c>
      <c r="AA74" s="6" t="str">
        <f t="shared" si="21"/>
        <v>Потребность в КП по данным субъекта 145 шт. (3% от МНО)</v>
      </c>
      <c r="AB74" s="10" t="str">
        <f t="shared" si="22"/>
        <v>5/5/0 (3%)</v>
      </c>
    </row>
    <row r="75" spans="2:28">
      <c r="B75" s="25" t="s">
        <v>115</v>
      </c>
      <c r="C75" s="22">
        <f t="shared" si="10"/>
        <v>2</v>
      </c>
      <c r="D75" s="42">
        <f t="shared" si="23"/>
        <v>2</v>
      </c>
      <c r="E75" s="22">
        <f t="shared" si="11"/>
        <v>0</v>
      </c>
      <c r="F75" s="22">
        <f t="shared" si="24"/>
        <v>1</v>
      </c>
      <c r="G75" s="22">
        <f t="shared" si="25"/>
        <v>2</v>
      </c>
      <c r="H75" s="24">
        <v>765891</v>
      </c>
      <c r="I75" s="37">
        <v>8691</v>
      </c>
      <c r="J75" s="37">
        <v>8059</v>
      </c>
      <c r="K75" s="37">
        <v>11769</v>
      </c>
      <c r="L75" s="37">
        <v>0</v>
      </c>
      <c r="M75" s="24">
        <f t="shared" si="32"/>
        <v>11769</v>
      </c>
      <c r="N75" s="32">
        <f t="shared" si="13"/>
        <v>10.5223850391244</v>
      </c>
      <c r="O75" s="32">
        <f t="shared" si="14"/>
        <v>15.3664163699534</v>
      </c>
      <c r="P75" s="32">
        <f t="shared" si="6"/>
        <v>15.3664163699534</v>
      </c>
      <c r="Q75" s="24">
        <f t="shared" si="15"/>
        <v>8691</v>
      </c>
      <c r="R75" s="33">
        <f t="shared" si="16"/>
        <v>0</v>
      </c>
      <c r="S75" s="33">
        <f t="shared" si="33"/>
        <v>0.738465460107061</v>
      </c>
      <c r="T75" s="6" t="str">
        <f t="shared" si="34"/>
        <v>Места накопления ТКО (МНО): 8691 по ФГИС УТКО / 11769 по ТС</v>
      </c>
      <c r="U75" s="6" t="str">
        <f t="shared" si="35"/>
        <v>Наполнение ФГИС УТКО 74%</v>
      </c>
      <c r="V75" s="34" t="str">
        <f t="shared" si="36"/>
        <v>Аномальные данные территориальной схемы</v>
      </c>
      <c r="W75" s="6" t="str">
        <f t="shared" si="37"/>
        <v>Контейнерные площадки (КП): 8059 по ФГИС УТКО / 8691,0 на 1000 чел.</v>
      </c>
      <c r="X75" s="6">
        <f t="shared" si="38"/>
        <v>0.992768780702105</v>
      </c>
      <c r="Y75" s="6" t="str">
        <f t="shared" si="19"/>
        <v>ниже </v>
      </c>
      <c r="Z75" s="6" t="str">
        <f t="shared" si="20"/>
        <v>Обеспеченность КП ниже среднего по России на 99%</v>
      </c>
      <c r="AA75" s="6" t="str">
        <f t="shared" si="21"/>
        <v>Потребность в КП не представлена</v>
      </c>
      <c r="AB75" s="10" t="str">
        <f t="shared" si="22"/>
        <v>8/8/0 (0%)</v>
      </c>
    </row>
    <row r="76" spans="2:28">
      <c r="B76" s="25" t="s">
        <v>159</v>
      </c>
      <c r="C76" s="22">
        <f t="shared" si="10"/>
        <v>2</v>
      </c>
      <c r="D76" s="42">
        <f t="shared" si="23"/>
        <v>2</v>
      </c>
      <c r="E76" s="22">
        <f t="shared" si="11"/>
        <v>1</v>
      </c>
      <c r="F76" s="22">
        <f t="shared" si="24"/>
        <v>1</v>
      </c>
      <c r="G76" s="22">
        <f t="shared" si="25"/>
        <v>2</v>
      </c>
      <c r="H76" s="24">
        <v>1001664</v>
      </c>
      <c r="I76" s="37">
        <v>4707</v>
      </c>
      <c r="J76" s="37">
        <v>3663</v>
      </c>
      <c r="K76" s="37">
        <v>6310</v>
      </c>
      <c r="L76" s="37">
        <v>5204</v>
      </c>
      <c r="M76" s="24">
        <f t="shared" si="32"/>
        <v>6310</v>
      </c>
      <c r="N76" s="32">
        <f t="shared" si="13"/>
        <v>3.65691489361702</v>
      </c>
      <c r="O76" s="32">
        <f t="shared" si="14"/>
        <v>6.29951760270909</v>
      </c>
      <c r="P76" s="32">
        <f t="shared" si="6"/>
        <v>6.29951760270909</v>
      </c>
      <c r="Q76" s="24">
        <f t="shared" si="15"/>
        <v>9911</v>
      </c>
      <c r="R76" s="33">
        <f t="shared" si="16"/>
        <v>0.525073151044294</v>
      </c>
      <c r="S76" s="33">
        <f t="shared" si="33"/>
        <v>0.745958795562599</v>
      </c>
      <c r="T76" s="6" t="str">
        <f t="shared" si="34"/>
        <v>Места накопления ТКО (МНО): 4707 по ФГИС УТКО / 6310 по ТС</v>
      </c>
      <c r="U76" s="6" t="str">
        <f t="shared" si="35"/>
        <v>Наполнение ФГИС УТКО 75%</v>
      </c>
      <c r="V76" s="34" t="str">
        <f t="shared" si="36"/>
        <v>Аномальные данные территориальной схемы</v>
      </c>
      <c r="W76" s="6" t="str">
        <f t="shared" si="37"/>
        <v>Контейнерные площадки (КП): 3663 по ФГИС УТКО / 9911,0 на 1000 чел.</v>
      </c>
      <c r="X76" s="6">
        <f t="shared" si="38"/>
        <v>0.991753697565132</v>
      </c>
      <c r="Y76" s="6" t="str">
        <f t="shared" si="19"/>
        <v>ниже </v>
      </c>
      <c r="Z76" s="6" t="str">
        <f t="shared" si="20"/>
        <v>Обеспеченность КП ниже среднего по России на 99%</v>
      </c>
      <c r="AA76" s="6" t="str">
        <f t="shared" si="21"/>
        <v>Потребность в КП по данным субъекта 5204 шт. (53% от МНО)</v>
      </c>
      <c r="AB76" s="10" t="str">
        <f t="shared" si="22"/>
        <v>9/4/5 (53%)</v>
      </c>
    </row>
    <row r="77" spans="2:28">
      <c r="B77" s="25" t="s">
        <v>151</v>
      </c>
      <c r="C77" s="22">
        <f t="shared" si="10"/>
        <v>0</v>
      </c>
      <c r="D77" s="42">
        <f t="shared" si="23"/>
        <v>0</v>
      </c>
      <c r="E77" s="22">
        <f t="shared" si="11"/>
        <v>1</v>
      </c>
      <c r="F77" s="22">
        <f t="shared" si="24"/>
        <v>0</v>
      </c>
      <c r="G77" s="22">
        <f t="shared" si="25"/>
        <v>0</v>
      </c>
      <c r="H77" s="24">
        <v>678879</v>
      </c>
      <c r="I77" s="37">
        <v>2989</v>
      </c>
      <c r="J77" s="37">
        <v>2666</v>
      </c>
      <c r="K77" s="37">
        <v>2848</v>
      </c>
      <c r="L77" s="37">
        <v>600</v>
      </c>
      <c r="M77" s="24">
        <f t="shared" si="32"/>
        <v>2989</v>
      </c>
      <c r="N77" s="32">
        <f t="shared" si="13"/>
        <v>3.92706211268871</v>
      </c>
      <c r="O77" s="32">
        <f t="shared" si="14"/>
        <v>4.19515112413258</v>
      </c>
      <c r="P77" s="32">
        <f t="shared" si="6"/>
        <v>4.19515112413258</v>
      </c>
      <c r="Q77" s="24">
        <f t="shared" si="15"/>
        <v>3589</v>
      </c>
      <c r="R77" s="33">
        <f t="shared" si="16"/>
        <v>0.167177486765116</v>
      </c>
      <c r="S77" s="33">
        <f t="shared" si="33"/>
        <v>1</v>
      </c>
      <c r="T77" s="6" t="str">
        <f t="shared" si="34"/>
        <v>Места накопления ТКО (МНО): 2989 по ФГИС УТКО / 2848 по ТС</v>
      </c>
      <c r="U77" s="6" t="str">
        <f t="shared" si="35"/>
        <v>Наполнение ФГИС УТКО более 100%</v>
      </c>
      <c r="V77" s="34" t="str">
        <f t="shared" si="36"/>
        <v>Аномальные данные территориальной схемы</v>
      </c>
      <c r="W77" s="6" t="str">
        <f t="shared" si="37"/>
        <v>Контейнерные площадки (КП): 2666 по ФГИС УТКО / 3589,0 на 1000 чел.</v>
      </c>
      <c r="X77" s="6">
        <f t="shared" si="38"/>
        <v>0.997013825099511</v>
      </c>
      <c r="Y77" s="6" t="str">
        <f t="shared" si="19"/>
        <v>ниже </v>
      </c>
      <c r="Z77" s="6" t="str">
        <f t="shared" si="20"/>
        <v>Обеспеченность КП ниже среднего по России на 100%</v>
      </c>
      <c r="AA77" s="6" t="str">
        <f t="shared" si="21"/>
        <v>Потребность в КП по данным субъекта 600 шт. (17% от МНО)</v>
      </c>
      <c r="AB77" s="10" t="str">
        <f t="shared" si="22"/>
        <v>3/3/1 (17%)</v>
      </c>
    </row>
    <row r="78" spans="2:28">
      <c r="B78" s="25" t="s">
        <v>75</v>
      </c>
      <c r="C78" s="22">
        <f t="shared" si="10"/>
        <v>1</v>
      </c>
      <c r="D78" s="42">
        <f t="shared" si="23"/>
        <v>1</v>
      </c>
      <c r="E78" s="22">
        <f t="shared" si="11"/>
        <v>1</v>
      </c>
      <c r="F78" s="22">
        <f t="shared" si="24"/>
        <v>0</v>
      </c>
      <c r="G78" s="22">
        <f t="shared" si="25"/>
        <v>1</v>
      </c>
      <c r="H78" s="24">
        <v>4003016</v>
      </c>
      <c r="I78" s="37">
        <v>15259</v>
      </c>
      <c r="J78" s="37">
        <v>12479</v>
      </c>
      <c r="K78" s="37">
        <v>12758</v>
      </c>
      <c r="L78" s="37">
        <v>4067</v>
      </c>
      <c r="M78" s="24">
        <f t="shared" si="32"/>
        <v>15259</v>
      </c>
      <c r="N78" s="32">
        <f t="shared" si="13"/>
        <v>3.11739948079148</v>
      </c>
      <c r="O78" s="32">
        <f t="shared" si="14"/>
        <v>3.1870969289156</v>
      </c>
      <c r="P78" s="32">
        <f t="shared" si="6"/>
        <v>3.1870969289156</v>
      </c>
      <c r="Q78" s="24">
        <f t="shared" si="15"/>
        <v>19326</v>
      </c>
      <c r="R78" s="33">
        <f t="shared" si="16"/>
        <v>0.210441891752044</v>
      </c>
      <c r="S78" s="33">
        <f t="shared" si="33"/>
        <v>1</v>
      </c>
      <c r="T78" s="6" t="str">
        <f t="shared" si="34"/>
        <v>Места накопления ТКО (МНО): 15259 по ФГИС УТКО / 12758 по ТС</v>
      </c>
      <c r="U78" s="6" t="str">
        <f t="shared" si="35"/>
        <v>Наполнение ФГИС УТКО более 100%</v>
      </c>
      <c r="V78" s="34" t="str">
        <f t="shared" si="36"/>
        <v>Аномальные данные территориальной схемы</v>
      </c>
      <c r="W78" s="6" t="str">
        <f t="shared" si="37"/>
        <v>Контейнерные площадки (КП): 12479 по ФГИС УТКО / 19326,0 на 1000 чел.</v>
      </c>
      <c r="X78" s="6">
        <f t="shared" si="38"/>
        <v>0.983920084667918</v>
      </c>
      <c r="Y78" s="6" t="str">
        <f t="shared" si="19"/>
        <v>ниже </v>
      </c>
      <c r="Z78" s="6" t="str">
        <f t="shared" si="20"/>
        <v>Обеспеченность КП ниже среднего по России на 98%</v>
      </c>
      <c r="AA78" s="6" t="str">
        <f t="shared" si="21"/>
        <v>Потребность в КП по данным субъекта 4067 шт. (21% от МНО)</v>
      </c>
      <c r="AB78" s="10" t="str">
        <f t="shared" si="22"/>
        <v>17/12/4 (21%)</v>
      </c>
    </row>
    <row r="79" spans="2:28">
      <c r="B79" s="25" t="s">
        <v>154</v>
      </c>
      <c r="C79" s="22">
        <f t="shared" si="10"/>
        <v>2</v>
      </c>
      <c r="D79" s="42">
        <f t="shared" si="23"/>
        <v>2</v>
      </c>
      <c r="E79" s="22">
        <f t="shared" si="11"/>
        <v>2</v>
      </c>
      <c r="F79" s="22">
        <f t="shared" si="24"/>
        <v>2</v>
      </c>
      <c r="G79" s="22">
        <f t="shared" si="25"/>
        <v>2</v>
      </c>
      <c r="H79" s="24">
        <v>337544</v>
      </c>
      <c r="I79" s="37">
        <v>637</v>
      </c>
      <c r="J79" s="37">
        <v>586</v>
      </c>
      <c r="K79" s="37">
        <v>1405</v>
      </c>
      <c r="L79" s="37">
        <v>1110</v>
      </c>
      <c r="M79" s="24">
        <f t="shared" si="32"/>
        <v>1405</v>
      </c>
      <c r="N79" s="32">
        <f t="shared" si="13"/>
        <v>1.73606996421207</v>
      </c>
      <c r="O79" s="32">
        <f t="shared" si="14"/>
        <v>4.16242030668594</v>
      </c>
      <c r="P79" s="32">
        <f t="shared" si="6"/>
        <v>4.16242030668594</v>
      </c>
      <c r="Q79" s="24">
        <f t="shared" si="15"/>
        <v>1747</v>
      </c>
      <c r="R79" s="33">
        <f t="shared" si="16"/>
        <v>0.635374928448769</v>
      </c>
      <c r="S79" s="33">
        <f t="shared" si="33"/>
        <v>0.453380782918149</v>
      </c>
      <c r="T79" s="6" t="str">
        <f t="shared" si="34"/>
        <v>Места накопления ТКО (МНО): 637 по ФГИС УТКО / 1405 по ТС</v>
      </c>
      <c r="U79" s="6" t="str">
        <f t="shared" si="35"/>
        <v>Наполнение ФГИС УТКО 45%</v>
      </c>
      <c r="V79" s="34" t="str">
        <f t="shared" si="36"/>
        <v>Аномальные данные территориальной схемы</v>
      </c>
      <c r="W79" s="6" t="str">
        <f t="shared" si="37"/>
        <v>Контейнерные площадки (КП): 586 по ФГИС УТКО / 1747,0 на 1000 чел.</v>
      </c>
      <c r="X79" s="6">
        <f t="shared" si="38"/>
        <v>0.998546434229269</v>
      </c>
      <c r="Y79" s="6" t="str">
        <f t="shared" si="19"/>
        <v>ниже </v>
      </c>
      <c r="Z79" s="6" t="str">
        <f t="shared" si="20"/>
        <v>Обеспеченность КП ниже среднего по России на 100%</v>
      </c>
      <c r="AA79" s="6" t="str">
        <f t="shared" si="21"/>
        <v>Потребность в КП по данным субъекта 1110 шт. (64% от МНО)</v>
      </c>
      <c r="AB79" s="10" t="str">
        <f t="shared" si="22"/>
        <v>2/1/1 (64%)</v>
      </c>
    </row>
    <row r="80" spans="2:28">
      <c r="B80" s="25" t="s">
        <v>152</v>
      </c>
      <c r="C80" s="22">
        <f t="shared" si="10"/>
        <v>2</v>
      </c>
      <c r="D80" s="42">
        <f t="shared" si="23"/>
        <v>2</v>
      </c>
      <c r="E80" s="22">
        <f t="shared" si="11"/>
        <v>1</v>
      </c>
      <c r="F80" s="22">
        <f t="shared" si="24"/>
        <v>2</v>
      </c>
      <c r="G80" s="22">
        <f t="shared" si="25"/>
        <v>2</v>
      </c>
      <c r="H80" s="24">
        <v>528175</v>
      </c>
      <c r="I80" s="37">
        <v>2585</v>
      </c>
      <c r="J80" s="37">
        <v>1956</v>
      </c>
      <c r="K80" s="37">
        <v>5640</v>
      </c>
      <c r="L80" s="37">
        <v>5586</v>
      </c>
      <c r="M80" s="24">
        <f t="shared" si="32"/>
        <v>5640</v>
      </c>
      <c r="N80" s="32">
        <f t="shared" si="13"/>
        <v>3.70331802906234</v>
      </c>
      <c r="O80" s="32">
        <f t="shared" si="14"/>
        <v>10.6782789795049</v>
      </c>
      <c r="P80" s="32">
        <f t="shared" si="6"/>
        <v>10.6782789795049</v>
      </c>
      <c r="Q80" s="24">
        <f t="shared" si="15"/>
        <v>8171</v>
      </c>
      <c r="R80" s="33">
        <f t="shared" si="16"/>
        <v>0.683637253702117</v>
      </c>
      <c r="S80" s="33">
        <f t="shared" si="33"/>
        <v>0.458333333333333</v>
      </c>
      <c r="T80" s="6" t="str">
        <f t="shared" si="34"/>
        <v>Места накопления ТКО (МНО): 2585 по ФГИС УТКО / 5640 по ТС</v>
      </c>
      <c r="U80" s="6" t="str">
        <f t="shared" si="35"/>
        <v>Наполнение ФГИС УТКО 46%</v>
      </c>
      <c r="V80" s="34" t="str">
        <f t="shared" si="36"/>
        <v>Аномальные данные территориальной схемы</v>
      </c>
      <c r="W80" s="6" t="str">
        <f t="shared" si="37"/>
        <v>Контейнерные площадки (КП): 1956 по ФГИС УТКО / 8171,0 на 1000 чел.</v>
      </c>
      <c r="X80" s="6">
        <f t="shared" si="38"/>
        <v>0.993201439088355</v>
      </c>
      <c r="Y80" s="6" t="str">
        <f t="shared" si="19"/>
        <v>ниже </v>
      </c>
      <c r="Z80" s="6" t="str">
        <f t="shared" si="20"/>
        <v>Обеспеченность КП ниже среднего по России на 99%</v>
      </c>
      <c r="AA80" s="6" t="str">
        <f t="shared" si="21"/>
        <v>Потребность в КП по данным субъекта 5586 шт. (68% от МНО)</v>
      </c>
      <c r="AB80" s="10" t="str">
        <f t="shared" si="22"/>
        <v>8/2/6 (68%)</v>
      </c>
    </row>
    <row r="81" spans="2:28">
      <c r="B81" s="25" t="s">
        <v>140</v>
      </c>
      <c r="C81" s="22">
        <f t="shared" ref="C81:C104" si="39">IF(D81&gt;$D$8,2,IF(D81&gt;$D$9,1,0))</f>
        <v>0</v>
      </c>
      <c r="D81" s="42">
        <f t="shared" si="23"/>
        <v>0</v>
      </c>
      <c r="E81" s="22">
        <f t="shared" ref="E81:E104" si="40">IF(N81&lt;$N$7,2,IF(AND(N81&lt;$N$9,N81&gt;=$N$7),1,0))</f>
        <v>1</v>
      </c>
      <c r="F81" s="22">
        <f t="shared" si="24"/>
        <v>0</v>
      </c>
      <c r="G81" s="22">
        <f t="shared" si="25"/>
        <v>0</v>
      </c>
      <c r="H81" s="24">
        <v>4152518</v>
      </c>
      <c r="I81" s="37">
        <v>21719</v>
      </c>
      <c r="J81" s="37">
        <v>20380</v>
      </c>
      <c r="K81" s="37">
        <v>24735</v>
      </c>
      <c r="L81" s="37">
        <v>2409</v>
      </c>
      <c r="M81" s="24">
        <f t="shared" si="32"/>
        <v>24735</v>
      </c>
      <c r="N81" s="32">
        <f t="shared" ref="N81:N104" si="41">J81/$H81*1000</f>
        <v>4.90786554085979</v>
      </c>
      <c r="O81" s="32">
        <f t="shared" si="14"/>
        <v>5.95662679848709</v>
      </c>
      <c r="P81" s="32">
        <f t="shared" si="6"/>
        <v>5.95662679848709</v>
      </c>
      <c r="Q81" s="24">
        <f t="shared" ref="Q81:Q104" si="42">I81+L81</f>
        <v>24128</v>
      </c>
      <c r="R81" s="33">
        <f t="shared" ref="R81:R104" si="43">L81/(I81+L81)</f>
        <v>0.0998425066312997</v>
      </c>
      <c r="S81" s="33">
        <f t="shared" si="33"/>
        <v>0.87806751566606</v>
      </c>
      <c r="T81" s="6" t="str">
        <f t="shared" si="34"/>
        <v>Места накопления ТКО (МНО): 21719 по ФГИС УТКО / 24735 по ТС</v>
      </c>
      <c r="U81" s="6" t="str">
        <f t="shared" si="35"/>
        <v>Наполнение ФГИС УТКО 88%</v>
      </c>
      <c r="V81" s="34" t="str">
        <f t="shared" si="36"/>
        <v>Аномальные данные территориальной схемы</v>
      </c>
      <c r="W81" s="6" t="str">
        <f t="shared" si="37"/>
        <v>Контейнерные площадки (КП): 20380 по ФГИС УТКО / 24128,0 на 1000 чел.</v>
      </c>
      <c r="X81" s="6">
        <f t="shared" si="38"/>
        <v>0.979924650877964</v>
      </c>
      <c r="Y81" s="6" t="str">
        <f t="shared" si="19"/>
        <v>ниже </v>
      </c>
      <c r="Z81" s="6" t="str">
        <f t="shared" si="20"/>
        <v>Обеспеченность КП ниже среднего по России на 98%</v>
      </c>
      <c r="AA81" s="6" t="str">
        <f t="shared" si="21"/>
        <v>Потребность в КП по данным субъекта 2409 шт. (10% от МНО)</v>
      </c>
      <c r="AB81" s="10" t="str">
        <f t="shared" ref="AB81:AB104" si="44">_xlfn.TEXTJOIN(,0,ROUND((J81+L81)/1000,0),"/",ROUND(J81/1000,0),"/",ROUND(L81/1000,0)," (",TEXT(R81,"0%"),")")</f>
        <v>23/20/2 (10%)</v>
      </c>
    </row>
    <row r="82" spans="2:28">
      <c r="B82" s="25" t="s">
        <v>135</v>
      </c>
      <c r="C82" s="22">
        <f t="shared" si="39"/>
        <v>0</v>
      </c>
      <c r="D82" s="42">
        <f t="shared" si="23"/>
        <v>0</v>
      </c>
      <c r="E82" s="22">
        <f t="shared" si="40"/>
        <v>0</v>
      </c>
      <c r="F82" s="22">
        <f t="shared" si="24"/>
        <v>0</v>
      </c>
      <c r="G82" s="22">
        <f t="shared" si="25"/>
        <v>0</v>
      </c>
      <c r="H82" s="24">
        <v>1082231</v>
      </c>
      <c r="I82" s="37">
        <v>13511</v>
      </c>
      <c r="J82" s="37">
        <v>13045</v>
      </c>
      <c r="K82" s="37">
        <v>13057</v>
      </c>
      <c r="L82" s="37">
        <v>2376</v>
      </c>
      <c r="M82" s="24">
        <f t="shared" si="32"/>
        <v>13511</v>
      </c>
      <c r="N82" s="32">
        <f t="shared" si="41"/>
        <v>12.0538036703809</v>
      </c>
      <c r="O82" s="32">
        <f t="shared" si="14"/>
        <v>12.0648918761337</v>
      </c>
      <c r="P82" s="32">
        <f t="shared" si="6"/>
        <v>12.0648918761337</v>
      </c>
      <c r="Q82" s="24">
        <f t="shared" si="42"/>
        <v>15887</v>
      </c>
      <c r="R82" s="33">
        <f t="shared" si="43"/>
        <v>0.149556240951722</v>
      </c>
      <c r="S82" s="33">
        <f t="shared" si="33"/>
        <v>1</v>
      </c>
      <c r="T82" s="6" t="str">
        <f t="shared" si="34"/>
        <v>Места накопления ТКО (МНО): 13511 по ФГИС УТКО / 13057 по ТС</v>
      </c>
      <c r="U82" s="6" t="str">
        <f t="shared" si="35"/>
        <v>Наполнение ФГИС УТКО более 100%</v>
      </c>
      <c r="V82" s="34" t="str">
        <f t="shared" si="36"/>
        <v>Аномальные данные территориальной схемы</v>
      </c>
      <c r="W82" s="6" t="str">
        <f t="shared" si="37"/>
        <v>Контейнерные площадки (КП): 13045 по ФГИС УТКО / 15887,0 на 1000 чел.</v>
      </c>
      <c r="X82" s="6">
        <f t="shared" si="38"/>
        <v>0.98678145426468</v>
      </c>
      <c r="Y82" s="6" t="str">
        <f t="shared" si="19"/>
        <v>ниже </v>
      </c>
      <c r="Z82" s="6" t="str">
        <f t="shared" si="20"/>
        <v>Обеспеченность КП ниже среднего по России на 99%</v>
      </c>
      <c r="AA82" s="6" t="str">
        <f t="shared" si="21"/>
        <v>Потребность в КП по данным субъекта 2376 шт. (15% от МНО)</v>
      </c>
      <c r="AB82" s="10" t="str">
        <f t="shared" si="44"/>
        <v>15/13/2 (15%)</v>
      </c>
    </row>
    <row r="83" spans="2:28">
      <c r="B83" s="25" t="s">
        <v>100</v>
      </c>
      <c r="C83" s="22">
        <f t="shared" si="39"/>
        <v>0</v>
      </c>
      <c r="D83" s="42">
        <f t="shared" si="23"/>
        <v>0</v>
      </c>
      <c r="E83" s="22">
        <f t="shared" si="40"/>
        <v>1</v>
      </c>
      <c r="F83" s="22">
        <f t="shared" si="24"/>
        <v>0</v>
      </c>
      <c r="G83" s="22">
        <f t="shared" si="25"/>
        <v>0</v>
      </c>
      <c r="H83" s="24">
        <v>3127842</v>
      </c>
      <c r="I83" s="37">
        <v>18901</v>
      </c>
      <c r="J83" s="37">
        <v>18359</v>
      </c>
      <c r="K83" s="37">
        <v>21694</v>
      </c>
      <c r="L83" s="37">
        <v>3230</v>
      </c>
      <c r="M83" s="24">
        <f t="shared" si="32"/>
        <v>21694</v>
      </c>
      <c r="N83" s="32">
        <f t="shared" si="41"/>
        <v>5.86954200372014</v>
      </c>
      <c r="O83" s="32">
        <f t="shared" si="14"/>
        <v>6.9357723312111</v>
      </c>
      <c r="P83" s="32">
        <f t="shared" ref="P83:P84" si="45">MAX(N83,O83)</f>
        <v>6.9357723312111</v>
      </c>
      <c r="Q83" s="24">
        <f t="shared" si="42"/>
        <v>22131</v>
      </c>
      <c r="R83" s="33">
        <f t="shared" si="43"/>
        <v>0.145949121142289</v>
      </c>
      <c r="S83" s="33">
        <f t="shared" si="33"/>
        <v>0.871254724808703</v>
      </c>
      <c r="T83" s="6" t="str">
        <f t="shared" si="34"/>
        <v>Места накопления ТКО (МНО): 18901 по ФГИС УТКО / 21694 по ТС</v>
      </c>
      <c r="U83" s="6" t="str">
        <f t="shared" si="35"/>
        <v>Наполнение ФГИС УТКО 87%</v>
      </c>
      <c r="V83" s="34" t="str">
        <f t="shared" si="36"/>
        <v>Аномальные данные территориальной схемы</v>
      </c>
      <c r="W83" s="6" t="str">
        <f t="shared" si="37"/>
        <v>Контейнерные площадки (КП): 18359 по ФГИС УТКО / 22131,0 на 1000 чел.</v>
      </c>
      <c r="X83" s="6">
        <f t="shared" ref="X83:X104" si="46">IF(Q83&gt;=$Q$15,Q83/$Q$15-1,1-Q83/$Q$15)</f>
        <v>0.981586225488238</v>
      </c>
      <c r="Y83" s="6" t="str">
        <f t="shared" si="19"/>
        <v>ниже </v>
      </c>
      <c r="Z83" s="6" t="str">
        <f t="shared" si="20"/>
        <v>Обеспеченность КП ниже среднего по России на 98%</v>
      </c>
      <c r="AA83" s="6" t="str">
        <f t="shared" si="21"/>
        <v>Потребность в КП по данным субъекта 3230 шт. (15% от МНО)</v>
      </c>
      <c r="AB83" s="10" t="str">
        <f t="shared" si="44"/>
        <v>22/18/3 (15%)</v>
      </c>
    </row>
    <row r="84" spans="2:28">
      <c r="B84" s="25" t="s">
        <v>102</v>
      </c>
      <c r="C84" s="22">
        <f t="shared" si="39"/>
        <v>1</v>
      </c>
      <c r="D84" s="42">
        <f t="shared" si="23"/>
        <v>1</v>
      </c>
      <c r="E84" s="22">
        <f t="shared" si="40"/>
        <v>1</v>
      </c>
      <c r="F84" s="22">
        <f t="shared" si="24"/>
        <v>2</v>
      </c>
      <c r="G84" s="22">
        <f t="shared" si="25"/>
        <v>1</v>
      </c>
      <c r="H84" s="24">
        <v>2385163</v>
      </c>
      <c r="I84" s="37">
        <v>12577</v>
      </c>
      <c r="J84" s="37">
        <v>11186</v>
      </c>
      <c r="K84" s="37">
        <v>19459</v>
      </c>
      <c r="L84" s="37">
        <v>3000</v>
      </c>
      <c r="M84" s="24">
        <f t="shared" si="32"/>
        <v>19459</v>
      </c>
      <c r="N84" s="32">
        <f t="shared" si="41"/>
        <v>4.68982622990546</v>
      </c>
      <c r="O84" s="32">
        <f t="shared" ref="O84:O104" si="47">K84/$H84*1000</f>
        <v>8.15835228032633</v>
      </c>
      <c r="P84" s="32">
        <f t="shared" si="45"/>
        <v>8.15835228032633</v>
      </c>
      <c r="Q84" s="24">
        <f t="shared" si="42"/>
        <v>15577</v>
      </c>
      <c r="R84" s="33">
        <f t="shared" si="43"/>
        <v>0.192591641522758</v>
      </c>
      <c r="S84" s="33">
        <f t="shared" si="33"/>
        <v>0.646333316203299</v>
      </c>
      <c r="T84" s="6" t="str">
        <f t="shared" si="34"/>
        <v>Места накопления ТКО (МНО): 12577 по ФГИС УТКО / 19459 по ТС</v>
      </c>
      <c r="U84" s="6" t="str">
        <f t="shared" si="35"/>
        <v>Наполнение ФГИС УТКО 65%</v>
      </c>
      <c r="V84" s="34" t="str">
        <f t="shared" si="36"/>
        <v>Аномальные данные территориальной схемы</v>
      </c>
      <c r="W84" s="6" t="str">
        <f t="shared" si="37"/>
        <v>Контейнерные площадки (КП): 11186 по ФГИС УТКО / 15577,0 на 1000 чел.</v>
      </c>
      <c r="X84" s="6">
        <f t="shared" si="46"/>
        <v>0.987039385225715</v>
      </c>
      <c r="Y84" s="6" t="str">
        <f t="shared" ref="Y84:Y104" si="48">IF(Q84&gt;=$Q$15,"выше ","ниже ")</f>
        <v>ниже </v>
      </c>
      <c r="Z84" s="6" t="str">
        <f t="shared" ref="Z84:Z104" si="49">_xlfn.TEXTJOIN(,0,"Обеспеченность КП ",Y84,"среднего по России на ",TEXT(X84,"0%"))</f>
        <v>Обеспеченность КП ниже среднего по России на 99%</v>
      </c>
      <c r="AA84" s="6" t="str">
        <f t="shared" ref="AA84:AA104" si="50">IF(L84&gt;0,_xlfn.TEXTJOIN(,0,"Потребность в КП по данным субъекта ",L84," шт. (",TEXT(R84,"0%")," от МНО)"),"Потребность в КП не представлена")</f>
        <v>Потребность в КП по данным субъекта 3000 шт. (19% от МНО)</v>
      </c>
      <c r="AB84" s="10" t="str">
        <f t="shared" si="44"/>
        <v>14/11/3 (19%)</v>
      </c>
    </row>
    <row r="85" spans="2:28">
      <c r="B85" s="25" t="s">
        <v>130</v>
      </c>
      <c r="C85" s="22">
        <f t="shared" si="39"/>
        <v>0</v>
      </c>
      <c r="D85" s="42">
        <f t="shared" si="23"/>
        <v>0</v>
      </c>
      <c r="E85" s="22">
        <f t="shared" si="40"/>
        <v>0</v>
      </c>
      <c r="F85" s="22">
        <f t="shared" si="24"/>
        <v>0</v>
      </c>
      <c r="G85" s="22">
        <f t="shared" si="25"/>
        <v>0</v>
      </c>
      <c r="H85" s="24">
        <v>457590</v>
      </c>
      <c r="I85" s="37">
        <v>3805</v>
      </c>
      <c r="J85" s="37">
        <v>3666</v>
      </c>
      <c r="K85" s="37">
        <v>3789</v>
      </c>
      <c r="L85" s="37">
        <v>207</v>
      </c>
      <c r="M85" s="24">
        <f t="shared" si="32"/>
        <v>3805</v>
      </c>
      <c r="N85" s="32">
        <f t="shared" si="41"/>
        <v>8.01153871369567</v>
      </c>
      <c r="O85" s="32">
        <f t="shared" si="47"/>
        <v>8.28033829410608</v>
      </c>
      <c r="P85" s="32">
        <f t="shared" ref="P85:P104" si="51">MAX(N85,O85)</f>
        <v>8.28033829410608</v>
      </c>
      <c r="Q85" s="24">
        <f t="shared" si="42"/>
        <v>4012</v>
      </c>
      <c r="R85" s="33">
        <f t="shared" si="43"/>
        <v>0.0515952143569292</v>
      </c>
      <c r="S85" s="33">
        <f t="shared" si="33"/>
        <v>1</v>
      </c>
      <c r="T85" s="6" t="str">
        <f t="shared" si="34"/>
        <v>Места накопления ТКО (МНО): 3805 по ФГИС УТКО / 3789 по ТС</v>
      </c>
      <c r="U85" s="6" t="str">
        <f t="shared" si="35"/>
        <v>Наполнение ФГИС УТКО более 100%</v>
      </c>
      <c r="V85" s="34" t="str">
        <f t="shared" si="36"/>
        <v>Аномальные данные территориальной схемы</v>
      </c>
      <c r="W85" s="6" t="str">
        <f t="shared" si="37"/>
        <v>Контейнерные площадки (КП): 3666 по ФГИС УТКО / 4012,0 на 1000 чел.</v>
      </c>
      <c r="X85" s="6">
        <f t="shared" si="46"/>
        <v>0.996661874143004</v>
      </c>
      <c r="Y85" s="6" t="str">
        <f t="shared" si="48"/>
        <v>ниже </v>
      </c>
      <c r="Z85" s="6" t="str">
        <f t="shared" si="49"/>
        <v>Обеспеченность КП ниже среднего по России на 100%</v>
      </c>
      <c r="AA85" s="6" t="str">
        <f t="shared" si="50"/>
        <v>Потребность в КП по данным субъекта 207 шт. (5% от МНО)</v>
      </c>
      <c r="AB85" s="10" t="str">
        <f t="shared" si="44"/>
        <v>4/4/0 (5%)</v>
      </c>
    </row>
    <row r="86" spans="2:28">
      <c r="B86" s="25" t="s">
        <v>122</v>
      </c>
      <c r="C86" s="22">
        <f t="shared" si="39"/>
        <v>0</v>
      </c>
      <c r="D86" s="42">
        <f t="shared" si="23"/>
        <v>0</v>
      </c>
      <c r="E86" s="22">
        <f t="shared" si="40"/>
        <v>0</v>
      </c>
      <c r="F86" s="22">
        <f t="shared" si="24"/>
        <v>0</v>
      </c>
      <c r="G86" s="22">
        <f t="shared" si="25"/>
        <v>0</v>
      </c>
      <c r="H86" s="24">
        <v>4222695</v>
      </c>
      <c r="I86" s="37">
        <v>37469</v>
      </c>
      <c r="J86" s="37">
        <v>35471</v>
      </c>
      <c r="K86" s="37">
        <v>37989</v>
      </c>
      <c r="L86" s="37">
        <v>4485</v>
      </c>
      <c r="M86" s="24">
        <f t="shared" si="32"/>
        <v>37989</v>
      </c>
      <c r="N86" s="32">
        <f t="shared" si="41"/>
        <v>8.40008572724291</v>
      </c>
      <c r="O86" s="32">
        <f t="shared" si="47"/>
        <v>8.99638737820278</v>
      </c>
      <c r="P86" s="32">
        <f t="shared" si="51"/>
        <v>8.99638737820278</v>
      </c>
      <c r="Q86" s="24">
        <f t="shared" si="42"/>
        <v>41954</v>
      </c>
      <c r="R86" s="33">
        <f t="shared" si="43"/>
        <v>0.106902798302903</v>
      </c>
      <c r="S86" s="33">
        <f t="shared" si="33"/>
        <v>0.986311827107847</v>
      </c>
      <c r="T86" s="6" t="str">
        <f t="shared" si="34"/>
        <v>Места накопления ТКО (МНО): 37469 по ФГИС УТКО / 37989 по ТС</v>
      </c>
      <c r="U86" s="6" t="str">
        <f t="shared" si="35"/>
        <v>Наполнение ФГИС УТКО 99%</v>
      </c>
      <c r="V86" s="34" t="str">
        <f t="shared" si="36"/>
        <v>Аномальные данные территориальной схемы</v>
      </c>
      <c r="W86" s="6" t="str">
        <f t="shared" si="37"/>
        <v>Контейнерные площадки (КП): 35471 по ФГИС УТКО / 41954,0 на 1000 чел.</v>
      </c>
      <c r="X86" s="6">
        <f t="shared" si="46"/>
        <v>0.965092788583144</v>
      </c>
      <c r="Y86" s="6" t="str">
        <f t="shared" si="48"/>
        <v>ниже </v>
      </c>
      <c r="Z86" s="6" t="str">
        <f t="shared" si="49"/>
        <v>Обеспеченность КП ниже среднего по России на 97%</v>
      </c>
      <c r="AA86" s="6" t="str">
        <f t="shared" si="50"/>
        <v>Потребность в КП по данным субъекта 4485 шт. (11% от МНО)</v>
      </c>
      <c r="AB86" s="10" t="str">
        <f t="shared" si="44"/>
        <v>40/35/4 (11%)</v>
      </c>
    </row>
    <row r="87" spans="2:28">
      <c r="B87" s="25" t="s">
        <v>103</v>
      </c>
      <c r="C87" s="22">
        <f t="shared" si="39"/>
        <v>0</v>
      </c>
      <c r="D87" s="42">
        <f t="shared" si="23"/>
        <v>0</v>
      </c>
      <c r="E87" s="22">
        <f t="shared" si="40"/>
        <v>0</v>
      </c>
      <c r="F87" s="22">
        <f t="shared" si="24"/>
        <v>1</v>
      </c>
      <c r="G87" s="22">
        <f t="shared" si="25"/>
        <v>0</v>
      </c>
      <c r="H87" s="24">
        <v>863987</v>
      </c>
      <c r="I87" s="37">
        <v>6089</v>
      </c>
      <c r="J87" s="37">
        <v>5492</v>
      </c>
      <c r="K87" s="37">
        <v>7973</v>
      </c>
      <c r="L87" s="37">
        <v>1320</v>
      </c>
      <c r="M87" s="24">
        <f t="shared" si="32"/>
        <v>7973</v>
      </c>
      <c r="N87" s="32">
        <f t="shared" si="41"/>
        <v>6.35657712442433</v>
      </c>
      <c r="O87" s="32">
        <f t="shared" si="47"/>
        <v>9.22814810870997</v>
      </c>
      <c r="P87" s="32">
        <f t="shared" si="51"/>
        <v>9.22814810870997</v>
      </c>
      <c r="Q87" s="24">
        <f t="shared" si="42"/>
        <v>7409</v>
      </c>
      <c r="R87" s="33">
        <f t="shared" si="43"/>
        <v>0.178161695235524</v>
      </c>
      <c r="S87" s="33">
        <f t="shared" si="33"/>
        <v>0.763702495923743</v>
      </c>
      <c r="T87" s="6" t="str">
        <f t="shared" si="34"/>
        <v>Места накопления ТКО (МНО): 6089 по ФГИС УТКО / 7973 по ТС</v>
      </c>
      <c r="U87" s="6" t="str">
        <f t="shared" si="35"/>
        <v>Наполнение ФГИС УТКО 76%</v>
      </c>
      <c r="V87" s="34" t="str">
        <f t="shared" si="36"/>
        <v>Аномальные данные территориальной схемы</v>
      </c>
      <c r="W87" s="6" t="str">
        <f t="shared" si="37"/>
        <v>Контейнерные площадки (КП): 5492 по ФГИС УТКО / 7409,0 на 1000 чел.</v>
      </c>
      <c r="X87" s="6">
        <f t="shared" si="46"/>
        <v>0.993835450031284</v>
      </c>
      <c r="Y87" s="6" t="str">
        <f t="shared" si="48"/>
        <v>ниже </v>
      </c>
      <c r="Z87" s="6" t="str">
        <f t="shared" si="49"/>
        <v>Обеспеченность КП ниже среднего по России на 99%</v>
      </c>
      <c r="AA87" s="6" t="str">
        <f t="shared" si="50"/>
        <v>Потребность в КП по данным субъекта 1320 шт. (18% от МНО)</v>
      </c>
      <c r="AB87" s="10" t="str">
        <f t="shared" si="44"/>
        <v>7/5/1 (18%)</v>
      </c>
    </row>
    <row r="88" spans="2:28">
      <c r="B88" s="25" t="s">
        <v>105</v>
      </c>
      <c r="C88" s="22">
        <f t="shared" si="39"/>
        <v>0</v>
      </c>
      <c r="D88" s="42">
        <f t="shared" si="23"/>
        <v>0</v>
      </c>
      <c r="E88" s="22">
        <f t="shared" si="40"/>
        <v>1</v>
      </c>
      <c r="F88" s="22">
        <f t="shared" si="24"/>
        <v>1</v>
      </c>
      <c r="G88" s="22">
        <f t="shared" si="25"/>
        <v>0</v>
      </c>
      <c r="H88" s="24">
        <v>2886108</v>
      </c>
      <c r="I88" s="37">
        <v>10544</v>
      </c>
      <c r="J88" s="37">
        <v>10182</v>
      </c>
      <c r="K88" s="37">
        <v>14545</v>
      </c>
      <c r="L88" s="37">
        <v>2054</v>
      </c>
      <c r="M88" s="24">
        <f t="shared" si="32"/>
        <v>14545</v>
      </c>
      <c r="N88" s="32">
        <f t="shared" si="41"/>
        <v>3.52793450556944</v>
      </c>
      <c r="O88" s="32">
        <f t="shared" si="47"/>
        <v>5.03965894554188</v>
      </c>
      <c r="P88" s="32">
        <f t="shared" si="51"/>
        <v>5.03965894554188</v>
      </c>
      <c r="Q88" s="24">
        <f t="shared" si="42"/>
        <v>12598</v>
      </c>
      <c r="R88" s="33">
        <f t="shared" si="43"/>
        <v>0.163041752659152</v>
      </c>
      <c r="S88" s="33">
        <f t="shared" si="33"/>
        <v>0.724922653832932</v>
      </c>
      <c r="T88" s="6" t="str">
        <f t="shared" si="34"/>
        <v>Места накопления ТКО (МНО): 10544 по ФГИС УТКО / 14545 по ТС</v>
      </c>
      <c r="U88" s="6" t="str">
        <f t="shared" si="35"/>
        <v>Наполнение ФГИС УТКО 72%</v>
      </c>
      <c r="V88" s="34" t="str">
        <f t="shared" si="36"/>
        <v>Аномальные данные территориальной схемы</v>
      </c>
      <c r="W88" s="6" t="str">
        <f t="shared" si="37"/>
        <v>Контейнерные площадки (КП): 10182 по ФГИС УТКО / 12598,0 на 1000 чел.</v>
      </c>
      <c r="X88" s="6">
        <f t="shared" si="46"/>
        <v>0.989518018557717</v>
      </c>
      <c r="Y88" s="6" t="str">
        <f t="shared" si="48"/>
        <v>ниже </v>
      </c>
      <c r="Z88" s="6" t="str">
        <f t="shared" si="49"/>
        <v>Обеспеченность КП ниже среднего по России на 99%</v>
      </c>
      <c r="AA88" s="6" t="str">
        <f t="shared" si="50"/>
        <v>Потребность в КП по данным субъекта 2054 шт. (16% от МНО)</v>
      </c>
      <c r="AB88" s="10" t="str">
        <f t="shared" si="44"/>
        <v>12/10/2 (16%)</v>
      </c>
    </row>
    <row r="89" spans="2:28">
      <c r="B89" s="25" t="s">
        <v>125</v>
      </c>
      <c r="C89" s="22">
        <f t="shared" si="39"/>
        <v>2</v>
      </c>
      <c r="D89" s="42">
        <f t="shared" si="23"/>
        <v>2</v>
      </c>
      <c r="E89" s="22">
        <f t="shared" si="40"/>
        <v>1</v>
      </c>
      <c r="F89" s="22">
        <f t="shared" si="24"/>
        <v>0</v>
      </c>
      <c r="G89" s="22">
        <f t="shared" si="25"/>
        <v>2</v>
      </c>
      <c r="H89" s="24">
        <v>956292</v>
      </c>
      <c r="I89" s="37">
        <v>9197</v>
      </c>
      <c r="J89" s="37">
        <v>5590</v>
      </c>
      <c r="K89" s="37">
        <v>7805</v>
      </c>
      <c r="L89" s="37">
        <v>8111</v>
      </c>
      <c r="M89" s="24">
        <f t="shared" si="32"/>
        <v>9197</v>
      </c>
      <c r="N89" s="32">
        <f t="shared" si="41"/>
        <v>5.84549489068193</v>
      </c>
      <c r="O89" s="32">
        <f t="shared" si="47"/>
        <v>8.1617330271507</v>
      </c>
      <c r="P89" s="32">
        <f t="shared" si="51"/>
        <v>8.1617330271507</v>
      </c>
      <c r="Q89" s="24">
        <f t="shared" si="42"/>
        <v>17308</v>
      </c>
      <c r="R89" s="33">
        <f t="shared" si="43"/>
        <v>0.468627224404899</v>
      </c>
      <c r="S89" s="33">
        <f t="shared" si="33"/>
        <v>1</v>
      </c>
      <c r="T89" s="6" t="str">
        <f t="shared" si="34"/>
        <v>Места накопления ТКО (МНО): 9197 по ФГИС УТКО / 7805 по ТС</v>
      </c>
      <c r="U89" s="6" t="str">
        <f t="shared" si="35"/>
        <v>Наполнение ФГИС УТКО более 100%</v>
      </c>
      <c r="V89" s="34" t="str">
        <f t="shared" si="36"/>
        <v>Аномальные данные территориальной схемы</v>
      </c>
      <c r="W89" s="6" t="str">
        <f t="shared" si="37"/>
        <v>Контейнерные площадки (КП): 5590 по ФГИС УТКО / 17308,0 на 1000 чел.</v>
      </c>
      <c r="X89" s="6">
        <f t="shared" si="46"/>
        <v>0.985599132020714</v>
      </c>
      <c r="Y89" s="6" t="str">
        <f t="shared" si="48"/>
        <v>ниже </v>
      </c>
      <c r="Z89" s="6" t="str">
        <f t="shared" si="49"/>
        <v>Обеспеченность КП ниже среднего по России на 99%</v>
      </c>
      <c r="AA89" s="6" t="str">
        <f t="shared" si="50"/>
        <v>Потребность в КП по данным субъекта 8111 шт. (47% от МНО)</v>
      </c>
      <c r="AB89" s="10" t="str">
        <f t="shared" si="44"/>
        <v>14/6/8 (47%)</v>
      </c>
    </row>
    <row r="90" spans="2:28">
      <c r="B90" s="25" t="s">
        <v>156</v>
      </c>
      <c r="C90" s="22">
        <f t="shared" si="39"/>
        <v>0</v>
      </c>
      <c r="D90" s="42">
        <f t="shared" si="23"/>
        <v>0</v>
      </c>
      <c r="E90" s="22">
        <f t="shared" si="40"/>
        <v>0</v>
      </c>
      <c r="F90" s="22">
        <f t="shared" si="24"/>
        <v>0</v>
      </c>
      <c r="G90" s="22">
        <f t="shared" si="25"/>
        <v>0</v>
      </c>
      <c r="H90" s="24">
        <v>1199747</v>
      </c>
      <c r="I90" s="37">
        <v>9718</v>
      </c>
      <c r="J90" s="37">
        <v>7179</v>
      </c>
      <c r="K90" s="37">
        <v>10289</v>
      </c>
      <c r="L90" s="37">
        <v>1235</v>
      </c>
      <c r="M90" s="24">
        <f t="shared" si="32"/>
        <v>10289</v>
      </c>
      <c r="N90" s="32">
        <f t="shared" si="41"/>
        <v>5.98376157639902</v>
      </c>
      <c r="O90" s="32">
        <f t="shared" si="47"/>
        <v>8.57597476801359</v>
      </c>
      <c r="P90" s="32">
        <f t="shared" si="51"/>
        <v>8.57597476801359</v>
      </c>
      <c r="Q90" s="24">
        <f t="shared" si="42"/>
        <v>10953</v>
      </c>
      <c r="R90" s="33">
        <f t="shared" si="43"/>
        <v>0.112754496484981</v>
      </c>
      <c r="S90" s="33">
        <f t="shared" si="33"/>
        <v>0.944503839051414</v>
      </c>
      <c r="T90" s="6" t="str">
        <f t="shared" si="34"/>
        <v>Места накопления ТКО (МНО): 9718 по ФГИС УТКО / 10289 по ТС</v>
      </c>
      <c r="U90" s="6" t="str">
        <f t="shared" si="35"/>
        <v>Наполнение ФГИС УТКО 94%</v>
      </c>
      <c r="V90" s="34" t="str">
        <f t="shared" si="36"/>
        <v>Аномальные данные территориальной схемы</v>
      </c>
      <c r="W90" s="6" t="str">
        <f t="shared" si="37"/>
        <v>Контейнерные площадки (КП): 7179 по ФГИС УТКО / 10953,0 на 1000 чел.</v>
      </c>
      <c r="X90" s="6">
        <f t="shared" si="46"/>
        <v>0.990886716721914</v>
      </c>
      <c r="Y90" s="6" t="str">
        <f t="shared" si="48"/>
        <v>ниже </v>
      </c>
      <c r="Z90" s="6" t="str">
        <f t="shared" si="49"/>
        <v>Обеспеченность КП ниже среднего по России на 99%</v>
      </c>
      <c r="AA90" s="6" t="str">
        <f t="shared" si="50"/>
        <v>Потребность в КП по данным субъекта 1235 шт. (11% от МНО)</v>
      </c>
      <c r="AB90" s="10" t="str">
        <f t="shared" si="44"/>
        <v>8/7/1 (11%)</v>
      </c>
    </row>
    <row r="91" spans="2:28">
      <c r="B91" s="25" t="s">
        <v>116</v>
      </c>
      <c r="C91" s="22">
        <f t="shared" si="39"/>
        <v>1</v>
      </c>
      <c r="D91" s="42">
        <f t="shared" si="23"/>
        <v>1</v>
      </c>
      <c r="E91" s="22">
        <f t="shared" si="40"/>
        <v>0</v>
      </c>
      <c r="F91" s="22">
        <f t="shared" si="24"/>
        <v>0</v>
      </c>
      <c r="G91" s="22">
        <f t="shared" si="25"/>
        <v>1</v>
      </c>
      <c r="H91" s="24">
        <v>1043385</v>
      </c>
      <c r="I91" s="37">
        <v>13268</v>
      </c>
      <c r="J91" s="37">
        <v>12345</v>
      </c>
      <c r="K91" s="37">
        <v>14209</v>
      </c>
      <c r="L91" s="37">
        <v>7565</v>
      </c>
      <c r="M91" s="24">
        <f t="shared" si="32"/>
        <v>14209</v>
      </c>
      <c r="N91" s="32">
        <f t="shared" si="41"/>
        <v>11.8316824566196</v>
      </c>
      <c r="O91" s="32">
        <f t="shared" si="47"/>
        <v>13.6181754577649</v>
      </c>
      <c r="P91" s="32">
        <f t="shared" si="51"/>
        <v>13.6181754577649</v>
      </c>
      <c r="Q91" s="24">
        <f t="shared" si="42"/>
        <v>20833</v>
      </c>
      <c r="R91" s="33">
        <f t="shared" si="43"/>
        <v>0.36312581001296</v>
      </c>
      <c r="S91" s="33">
        <f t="shared" si="33"/>
        <v>0.933774368358083</v>
      </c>
      <c r="T91" s="6" t="str">
        <f t="shared" si="34"/>
        <v>Места накопления ТКО (МНО): 13268 по ФГИС УТКО / 14209 по ТС</v>
      </c>
      <c r="U91" s="6" t="str">
        <f t="shared" si="35"/>
        <v>Наполнение ФГИС УТКО 93%</v>
      </c>
      <c r="V91" s="34" t="str">
        <f t="shared" si="36"/>
        <v>Аномальные данные территориальной схемы</v>
      </c>
      <c r="W91" s="6" t="str">
        <f t="shared" si="37"/>
        <v>Контейнерные площадки (КП): 12345 по ФГИС УТКО / 20833,0 на 1000 чел.</v>
      </c>
      <c r="X91" s="6">
        <f t="shared" si="46"/>
        <v>0.982666207383149</v>
      </c>
      <c r="Y91" s="6" t="str">
        <f t="shared" si="48"/>
        <v>ниже </v>
      </c>
      <c r="Z91" s="6" t="str">
        <f t="shared" si="49"/>
        <v>Обеспеченность КП ниже среднего по России на 98%</v>
      </c>
      <c r="AA91" s="6" t="str">
        <f t="shared" si="50"/>
        <v>Потребность в КП по данным субъекта 7565 шт. (36% от МНО)</v>
      </c>
      <c r="AB91" s="10" t="str">
        <f t="shared" si="44"/>
        <v>20/12/8 (36%)</v>
      </c>
    </row>
    <row r="92" spans="2:28">
      <c r="B92" s="25" t="s">
        <v>73</v>
      </c>
      <c r="C92" s="22">
        <f t="shared" si="39"/>
        <v>0</v>
      </c>
      <c r="D92" s="42">
        <f t="shared" si="23"/>
        <v>0</v>
      </c>
      <c r="E92" s="22">
        <f t="shared" si="40"/>
        <v>1</v>
      </c>
      <c r="F92" s="22">
        <f t="shared" si="24"/>
        <v>0</v>
      </c>
      <c r="G92" s="22">
        <f t="shared" si="25"/>
        <v>0</v>
      </c>
      <c r="H92" s="24">
        <v>1471140</v>
      </c>
      <c r="I92" s="37">
        <v>9955</v>
      </c>
      <c r="J92" s="37">
        <v>8397</v>
      </c>
      <c r="K92" s="37">
        <v>9393</v>
      </c>
      <c r="L92" s="37">
        <v>419</v>
      </c>
      <c r="M92" s="24">
        <f t="shared" si="32"/>
        <v>9955</v>
      </c>
      <c r="N92" s="32">
        <f t="shared" si="41"/>
        <v>5.70781842652637</v>
      </c>
      <c r="O92" s="32">
        <f t="shared" si="47"/>
        <v>6.38484440637873</v>
      </c>
      <c r="P92" s="32">
        <f t="shared" si="51"/>
        <v>6.38484440637873</v>
      </c>
      <c r="Q92" s="24">
        <f t="shared" si="42"/>
        <v>10374</v>
      </c>
      <c r="R92" s="33">
        <f t="shared" si="43"/>
        <v>0.0403894351262772</v>
      </c>
      <c r="S92" s="33">
        <f t="shared" si="33"/>
        <v>1</v>
      </c>
      <c r="T92" s="6" t="str">
        <f t="shared" si="34"/>
        <v>Места накопления ТКО (МНО): 9955 по ФГИС УТКО / 9393 по ТС</v>
      </c>
      <c r="U92" s="6" t="str">
        <f t="shared" si="35"/>
        <v>Наполнение ФГИС УТКО более 100%</v>
      </c>
      <c r="V92" s="34" t="str">
        <f t="shared" si="36"/>
        <v>Аномальные данные территориальной схемы</v>
      </c>
      <c r="W92" s="6" t="str">
        <f t="shared" si="37"/>
        <v>Контейнерные площадки (КП): 8397 по ФГИС УТКО / 10374,0 на 1000 чел.</v>
      </c>
      <c r="X92" s="6">
        <f t="shared" si="46"/>
        <v>0.991368465194297</v>
      </c>
      <c r="Y92" s="6" t="str">
        <f t="shared" si="48"/>
        <v>ниже </v>
      </c>
      <c r="Z92" s="6" t="str">
        <f t="shared" si="49"/>
        <v>Обеспеченность КП ниже среднего по России на 99%</v>
      </c>
      <c r="AA92" s="6" t="str">
        <f t="shared" si="50"/>
        <v>Потребность в КП по данным субъекта 419 шт. (4% от МНО)</v>
      </c>
      <c r="AB92" s="10" t="str">
        <f t="shared" si="44"/>
        <v>9/8/0 (4%)</v>
      </c>
    </row>
    <row r="93" spans="2:28">
      <c r="B93" s="25" t="s">
        <v>83</v>
      </c>
      <c r="C93" s="22">
        <f t="shared" si="39"/>
        <v>2</v>
      </c>
      <c r="D93" s="42">
        <f t="shared" si="23"/>
        <v>2</v>
      </c>
      <c r="E93" s="22">
        <f t="shared" si="40"/>
        <v>0</v>
      </c>
      <c r="F93" s="22">
        <f t="shared" si="24"/>
        <v>0</v>
      </c>
      <c r="G93" s="22">
        <f t="shared" si="25"/>
        <v>2</v>
      </c>
      <c r="H93" s="24">
        <v>1615454</v>
      </c>
      <c r="I93" s="37">
        <v>15786</v>
      </c>
      <c r="J93" s="37">
        <v>15312</v>
      </c>
      <c r="K93" s="37">
        <v>13530</v>
      </c>
      <c r="L93" s="37">
        <v>0</v>
      </c>
      <c r="M93" s="24">
        <f t="shared" si="32"/>
        <v>15786</v>
      </c>
      <c r="N93" s="32">
        <f t="shared" si="41"/>
        <v>9.47845002086101</v>
      </c>
      <c r="O93" s="32">
        <f t="shared" si="47"/>
        <v>8.37535454429529</v>
      </c>
      <c r="P93" s="32">
        <f t="shared" si="51"/>
        <v>9.47845002086101</v>
      </c>
      <c r="Q93" s="24">
        <f t="shared" si="42"/>
        <v>15786</v>
      </c>
      <c r="R93" s="33">
        <f t="shared" si="43"/>
        <v>0</v>
      </c>
      <c r="S93" s="33">
        <f t="shared" si="33"/>
        <v>1</v>
      </c>
      <c r="T93" s="6" t="str">
        <f t="shared" si="34"/>
        <v>Места накопления ТКО (МНО): 15786 по ФГИС УТКО / 13530 по ТС</v>
      </c>
      <c r="U93" s="6" t="str">
        <f t="shared" si="35"/>
        <v>Наполнение ФГИС УТКО более 100%</v>
      </c>
      <c r="V93" s="34" t="str">
        <f t="shared" si="36"/>
        <v>Аномальные данные территориальной схемы</v>
      </c>
      <c r="W93" s="6" t="str">
        <f t="shared" si="37"/>
        <v>Контейнерные площадки (КП): 15312 по ФГИС УТКО / 15786,0 на 1000 чел.</v>
      </c>
      <c r="X93" s="6">
        <f t="shared" si="46"/>
        <v>0.986865489835856</v>
      </c>
      <c r="Y93" s="6" t="str">
        <f t="shared" si="48"/>
        <v>ниже </v>
      </c>
      <c r="Z93" s="6" t="str">
        <f t="shared" si="49"/>
        <v>Обеспеченность КП ниже среднего по России на 99%</v>
      </c>
      <c r="AA93" s="6" t="str">
        <f t="shared" si="50"/>
        <v>Потребность в КП не представлена</v>
      </c>
      <c r="AB93" s="10" t="str">
        <f t="shared" si="44"/>
        <v>15/15/0 (0%)</v>
      </c>
    </row>
    <row r="94" spans="2:28">
      <c r="B94" s="25" t="s">
        <v>99</v>
      </c>
      <c r="C94" s="22">
        <f t="shared" si="39"/>
        <v>1</v>
      </c>
      <c r="D94" s="42">
        <f t="shared" ref="D94:D104" si="52">E94*$E$11+F94*$F$11+G94*$G$11</f>
        <v>1</v>
      </c>
      <c r="E94" s="22">
        <f t="shared" si="40"/>
        <v>1</v>
      </c>
      <c r="F94" s="22">
        <f t="shared" ref="F94:F104" si="53">IF(S94&lt;$S$7,2,IF(S94&lt;$S$9,1,0))</f>
        <v>2</v>
      </c>
      <c r="G94" s="22">
        <f t="shared" ref="G94:G104" si="54">IF(OR(R94&gt;$R$8,R94&lt;=$R$7),2,IF(R94&gt;$R$10,1,0))</f>
        <v>1</v>
      </c>
      <c r="H94" s="24">
        <v>1434557</v>
      </c>
      <c r="I94" s="37">
        <v>8883</v>
      </c>
      <c r="J94" s="37">
        <v>7931</v>
      </c>
      <c r="K94" s="37">
        <v>28071</v>
      </c>
      <c r="L94" s="37">
        <v>3002</v>
      </c>
      <c r="M94" s="24">
        <f t="shared" si="32"/>
        <v>28071</v>
      </c>
      <c r="N94" s="32">
        <f t="shared" si="41"/>
        <v>5.52853598706778</v>
      </c>
      <c r="O94" s="32">
        <f t="shared" si="47"/>
        <v>19.5677132383028</v>
      </c>
      <c r="P94" s="32">
        <f t="shared" si="51"/>
        <v>19.5677132383028</v>
      </c>
      <c r="Q94" s="24">
        <f t="shared" si="42"/>
        <v>11885</v>
      </c>
      <c r="R94" s="33">
        <f t="shared" si="43"/>
        <v>0.25258729490955</v>
      </c>
      <c r="S94" s="33">
        <f t="shared" si="33"/>
        <v>0.316447579352357</v>
      </c>
      <c r="T94" s="6" t="str">
        <f t="shared" si="34"/>
        <v>Места накопления ТКО (МНО): 8883 по ФГИС УТКО / 28071 по ТС</v>
      </c>
      <c r="U94" s="6" t="str">
        <f t="shared" si="35"/>
        <v>Наполнение ФГИС УТКО 32%</v>
      </c>
      <c r="V94" s="34" t="str">
        <f t="shared" si="36"/>
        <v>Аномальные данные территориальной схемы</v>
      </c>
      <c r="W94" s="6" t="str">
        <f t="shared" si="37"/>
        <v>Контейнерные площадки (КП): 7931 по ФГИС УТКО / 11885,0 на 1000 чел.</v>
      </c>
      <c r="X94" s="6">
        <f t="shared" si="46"/>
        <v>0.990111259768095</v>
      </c>
      <c r="Y94" s="6" t="str">
        <f t="shared" si="48"/>
        <v>ниже </v>
      </c>
      <c r="Z94" s="6" t="str">
        <f t="shared" si="49"/>
        <v>Обеспеченность КП ниже среднего по России на 99%</v>
      </c>
      <c r="AA94" s="6" t="str">
        <f t="shared" si="50"/>
        <v>Потребность в КП по данным субъекта 3002 шт. (25% от МНО)</v>
      </c>
      <c r="AB94" s="10" t="str">
        <f t="shared" si="44"/>
        <v>11/8/3 (25%)</v>
      </c>
    </row>
    <row r="95" spans="2:28">
      <c r="B95" s="25" t="s">
        <v>128</v>
      </c>
      <c r="C95" s="22">
        <f t="shared" si="39"/>
        <v>0</v>
      </c>
      <c r="D95" s="42">
        <f t="shared" si="52"/>
        <v>0</v>
      </c>
      <c r="E95" s="22">
        <f t="shared" si="40"/>
        <v>0</v>
      </c>
      <c r="F95" s="22">
        <f t="shared" si="53"/>
        <v>1</v>
      </c>
      <c r="G95" s="22">
        <f t="shared" si="54"/>
        <v>0</v>
      </c>
      <c r="H95" s="24">
        <v>1172782</v>
      </c>
      <c r="I95" s="37">
        <v>10477</v>
      </c>
      <c r="J95" s="37">
        <v>9279</v>
      </c>
      <c r="K95" s="37">
        <v>12581</v>
      </c>
      <c r="L95" s="37">
        <v>50</v>
      </c>
      <c r="M95" s="24">
        <f t="shared" si="32"/>
        <v>12581</v>
      </c>
      <c r="N95" s="32">
        <f t="shared" si="41"/>
        <v>7.91195635676537</v>
      </c>
      <c r="O95" s="32">
        <f t="shared" si="47"/>
        <v>10.7274838802096</v>
      </c>
      <c r="P95" s="32">
        <f t="shared" si="51"/>
        <v>10.7274838802096</v>
      </c>
      <c r="Q95" s="24">
        <f t="shared" si="42"/>
        <v>10527</v>
      </c>
      <c r="R95" s="33">
        <f t="shared" si="43"/>
        <v>0.00474969127006745</v>
      </c>
      <c r="S95" s="33">
        <f t="shared" si="33"/>
        <v>0.832763691280502</v>
      </c>
      <c r="T95" s="6" t="str">
        <f t="shared" si="34"/>
        <v>Места накопления ТКО (МНО): 10477 по ФГИС УТКО / 12581 по ТС</v>
      </c>
      <c r="U95" s="6" t="str">
        <f t="shared" si="35"/>
        <v>Наполнение ФГИС УТКО 83%</v>
      </c>
      <c r="V95" s="34" t="str">
        <f t="shared" si="36"/>
        <v>Аномальные данные территориальной схемы</v>
      </c>
      <c r="W95" s="6" t="str">
        <f t="shared" si="37"/>
        <v>Контейнерные площадки (КП): 9279 по ФГИС УТКО / 10527,0 на 1000 чел.</v>
      </c>
      <c r="X95" s="6">
        <f t="shared" si="46"/>
        <v>0.991241163784496</v>
      </c>
      <c r="Y95" s="6" t="str">
        <f t="shared" si="48"/>
        <v>ниже </v>
      </c>
      <c r="Z95" s="6" t="str">
        <f t="shared" si="49"/>
        <v>Обеспеченность КП ниже среднего по России на 99%</v>
      </c>
      <c r="AA95" s="6" t="str">
        <f t="shared" si="50"/>
        <v>Потребность в КП по данным субъекта 50 шт. (0% от МНО)</v>
      </c>
      <c r="AB95" s="10" t="str">
        <f t="shared" si="44"/>
        <v>9/9/0 (0%)</v>
      </c>
    </row>
    <row r="96" spans="2:28">
      <c r="B96" s="25" t="s">
        <v>145</v>
      </c>
      <c r="C96" s="22">
        <f t="shared" si="39"/>
        <v>0</v>
      </c>
      <c r="D96" s="42">
        <f t="shared" si="52"/>
        <v>0</v>
      </c>
      <c r="E96" s="22">
        <f t="shared" si="40"/>
        <v>0</v>
      </c>
      <c r="F96" s="22">
        <f t="shared" si="53"/>
        <v>2</v>
      </c>
      <c r="G96" s="22">
        <f t="shared" si="54"/>
        <v>0</v>
      </c>
      <c r="H96" s="24">
        <v>1278132</v>
      </c>
      <c r="I96" s="37">
        <v>24620</v>
      </c>
      <c r="J96" s="37">
        <v>10136</v>
      </c>
      <c r="K96" s="37">
        <v>81271</v>
      </c>
      <c r="L96" s="37">
        <v>3878</v>
      </c>
      <c r="M96" s="24">
        <f t="shared" si="32"/>
        <v>81271</v>
      </c>
      <c r="N96" s="32">
        <f t="shared" si="41"/>
        <v>7.93032331558869</v>
      </c>
      <c r="O96" s="32">
        <f t="shared" si="47"/>
        <v>63.5857642246654</v>
      </c>
      <c r="P96" s="32">
        <f t="shared" si="51"/>
        <v>63.5857642246654</v>
      </c>
      <c r="Q96" s="24">
        <f t="shared" si="42"/>
        <v>28498</v>
      </c>
      <c r="R96" s="33">
        <f t="shared" si="43"/>
        <v>0.136079724892975</v>
      </c>
      <c r="S96" s="33">
        <f t="shared" si="33"/>
        <v>0.302937087029814</v>
      </c>
      <c r="T96" s="6" t="str">
        <f t="shared" si="34"/>
        <v>Места накопления ТКО (МНО): 24620 по ФГИС УТКО / 81271 по ТС</v>
      </c>
      <c r="U96" s="6" t="str">
        <f t="shared" si="35"/>
        <v>Наполнение ФГИС УТКО 30%</v>
      </c>
      <c r="V96" s="34" t="str">
        <f t="shared" si="36"/>
        <v>Аномальные данные территориальной схемы</v>
      </c>
      <c r="W96" s="6" t="str">
        <f t="shared" si="37"/>
        <v>Контейнерные площадки (КП): 10136 по ФГИС УТКО / 28498,0 на 1000 чел.</v>
      </c>
      <c r="X96" s="6">
        <f t="shared" si="46"/>
        <v>0.976288656362741</v>
      </c>
      <c r="Y96" s="6" t="str">
        <f t="shared" si="48"/>
        <v>ниже </v>
      </c>
      <c r="Z96" s="6" t="str">
        <f t="shared" si="49"/>
        <v>Обеспеченность КП ниже среднего по России на 98%</v>
      </c>
      <c r="AA96" s="6" t="str">
        <f t="shared" si="50"/>
        <v>Потребность в КП по данным субъекта 3878 шт. (14% от МНО)</v>
      </c>
      <c r="AB96" s="10" t="str">
        <f t="shared" si="44"/>
        <v>14/10/4 (14%)</v>
      </c>
    </row>
    <row r="97" spans="2:28">
      <c r="B97" s="25" t="s">
        <v>84</v>
      </c>
      <c r="C97" s="22">
        <f t="shared" si="39"/>
        <v>0</v>
      </c>
      <c r="D97" s="42">
        <f t="shared" si="52"/>
        <v>0</v>
      </c>
      <c r="E97" s="22">
        <f t="shared" si="40"/>
        <v>0</v>
      </c>
      <c r="F97" s="22">
        <f t="shared" si="53"/>
        <v>0</v>
      </c>
      <c r="G97" s="22">
        <f t="shared" si="54"/>
        <v>0</v>
      </c>
      <c r="H97" s="24">
        <v>1759386</v>
      </c>
      <c r="I97" s="37">
        <v>17823</v>
      </c>
      <c r="J97" s="37">
        <v>16971</v>
      </c>
      <c r="K97" s="37">
        <v>14124</v>
      </c>
      <c r="L97" s="37">
        <v>44</v>
      </c>
      <c r="M97" s="24">
        <f t="shared" si="32"/>
        <v>17823</v>
      </c>
      <c r="N97" s="32">
        <f t="shared" si="41"/>
        <v>9.64597876759279</v>
      </c>
      <c r="O97" s="32">
        <f t="shared" si="47"/>
        <v>8.02780060771201</v>
      </c>
      <c r="P97" s="32">
        <f t="shared" si="51"/>
        <v>9.64597876759279</v>
      </c>
      <c r="Q97" s="24">
        <f t="shared" si="42"/>
        <v>17867</v>
      </c>
      <c r="R97" s="33">
        <f t="shared" si="43"/>
        <v>0.00246264062237645</v>
      </c>
      <c r="S97" s="33">
        <f t="shared" si="33"/>
        <v>1</v>
      </c>
      <c r="T97" s="6" t="str">
        <f t="shared" si="34"/>
        <v>Места накопления ТКО (МНО): 17823 по ФГИС УТКО / 14124 по ТС</v>
      </c>
      <c r="U97" s="6" t="str">
        <f t="shared" si="35"/>
        <v>Наполнение ФГИС УТКО более 100%</v>
      </c>
      <c r="V97" s="34" t="str">
        <f t="shared" si="36"/>
        <v>Аномальные данные территориальной схемы</v>
      </c>
      <c r="W97" s="6" t="str">
        <f t="shared" si="37"/>
        <v>Контейнерные площадки (КП): 16971 по ФГИС УТКО / 17867,0 на 1000 чел.</v>
      </c>
      <c r="X97" s="6">
        <f t="shared" si="46"/>
        <v>0.985134024255495</v>
      </c>
      <c r="Y97" s="6" t="str">
        <f t="shared" si="48"/>
        <v>ниже </v>
      </c>
      <c r="Z97" s="6" t="str">
        <f t="shared" si="49"/>
        <v>Обеспеченность КП ниже среднего по России на 99%</v>
      </c>
      <c r="AA97" s="6" t="str">
        <f t="shared" si="50"/>
        <v>Потребность в КП по данным субъекта 44 шт. (0% от МНО)</v>
      </c>
      <c r="AB97" s="10" t="str">
        <f t="shared" si="44"/>
        <v>17/17/0 (0%)</v>
      </c>
    </row>
    <row r="98" spans="2:22">
      <c r="B98" s="25" t="s">
        <v>163</v>
      </c>
      <c r="C98" s="64">
        <v>0</v>
      </c>
      <c r="D98" s="64">
        <v>0</v>
      </c>
      <c r="E98" s="64">
        <v>0</v>
      </c>
      <c r="F98" s="64">
        <v>0</v>
      </c>
      <c r="G98" s="64">
        <v>0</v>
      </c>
      <c r="H98" s="24"/>
      <c r="I98" s="37"/>
      <c r="J98" s="37"/>
      <c r="K98" s="37">
        <v>0</v>
      </c>
      <c r="L98" s="37">
        <v>0</v>
      </c>
      <c r="M98" s="24"/>
      <c r="N98" s="32"/>
      <c r="O98" s="32"/>
      <c r="P98" s="32"/>
      <c r="Q98" s="24">
        <f t="shared" si="42"/>
        <v>0</v>
      </c>
      <c r="R98" s="33"/>
      <c r="S98" s="33"/>
      <c r="T98" s="6"/>
      <c r="V98" s="34"/>
    </row>
    <row r="99" spans="2:28">
      <c r="B99" s="25" t="s">
        <v>79</v>
      </c>
      <c r="C99" s="22">
        <f t="shared" si="39"/>
        <v>0</v>
      </c>
      <c r="D99" s="42">
        <f t="shared" si="52"/>
        <v>0</v>
      </c>
      <c r="E99" s="22">
        <f t="shared" si="40"/>
        <v>1</v>
      </c>
      <c r="F99" s="22">
        <f t="shared" si="53"/>
        <v>2</v>
      </c>
      <c r="G99" s="22">
        <f t="shared" si="54"/>
        <v>0</v>
      </c>
      <c r="H99" s="24">
        <v>3395798</v>
      </c>
      <c r="I99" s="37">
        <v>18134</v>
      </c>
      <c r="J99" s="37">
        <v>17166</v>
      </c>
      <c r="K99" s="37">
        <v>32937</v>
      </c>
      <c r="L99" s="37">
        <v>1482</v>
      </c>
      <c r="M99" s="24">
        <f t="shared" ref="M99:M104" si="55">MAX(I99,K99)</f>
        <v>32937</v>
      </c>
      <c r="N99" s="32">
        <f t="shared" si="41"/>
        <v>5.05507100245657</v>
      </c>
      <c r="O99" s="32">
        <f t="shared" si="47"/>
        <v>9.69934018454572</v>
      </c>
      <c r="P99" s="32">
        <f t="shared" si="51"/>
        <v>9.69934018454572</v>
      </c>
      <c r="Q99" s="24">
        <f t="shared" si="42"/>
        <v>19616</v>
      </c>
      <c r="R99" s="33">
        <f t="shared" si="43"/>
        <v>0.0755505709624796</v>
      </c>
      <c r="S99" s="33">
        <f t="shared" ref="S99:S104" si="56">I99/MAX(I99,K99)</f>
        <v>0.550566232504478</v>
      </c>
      <c r="T99" s="6" t="str">
        <f t="shared" ref="T99:T104" si="57">_xlfn.TEXTJOIN(,0,"Места накопления ТКО (МНО): ",I99," по ФГИС УТКО / ",K99," по ТС")</f>
        <v>Места накопления ТКО (МНО): 18134 по ФГИС УТКО / 32937 по ТС</v>
      </c>
      <c r="U99" s="6" t="str">
        <f t="shared" ref="U99:U104" si="58">_xlfn.TEXTJOIN(,0,"Наполнение ФГИС УТКО"," ",IF(I99&lt;=K99,TEXT(S99,"0%"),"более 100%"))</f>
        <v>Наполнение ФГИС УТКО 55%</v>
      </c>
      <c r="V99" s="34" t="str">
        <f t="shared" ref="V99:V104" si="59">IF(O99&gt;$O$8,$V$107,IF(Q99&gt;$Q$10,$V$108,IF(I99&gt;K99*(1+$K$10),$V$109,"")))</f>
        <v>Аномальные данные территориальной схемы</v>
      </c>
      <c r="W99" s="6" t="str">
        <f t="shared" ref="W99:W104" si="60">_xlfn.TEXTJOIN(,0,"Контейнерные площадки (КП): ",J99," по ФГИС УТКО / ",TEXT(Q99,"0,0")," на 1000 чел.")</f>
        <v>Контейнерные площадки (КП): 17166 по ФГИС УТКО / 19616,0 на 1000 чел.</v>
      </c>
      <c r="X99" s="6">
        <f t="shared" si="46"/>
        <v>0.983678794414047</v>
      </c>
      <c r="Y99" s="6" t="str">
        <f t="shared" si="48"/>
        <v>ниже </v>
      </c>
      <c r="Z99" s="6" t="str">
        <f t="shared" si="49"/>
        <v>Обеспеченность КП ниже среднего по России на 98%</v>
      </c>
      <c r="AA99" s="6" t="str">
        <f t="shared" si="50"/>
        <v>Потребность в КП по данным субъекта 1482 шт. (8% от МНО)</v>
      </c>
      <c r="AB99" s="10" t="str">
        <f t="shared" si="44"/>
        <v>19/17/1 (8%)</v>
      </c>
    </row>
    <row r="100" spans="2:28">
      <c r="B100" s="25" t="s">
        <v>117</v>
      </c>
      <c r="C100" s="22">
        <f t="shared" si="39"/>
        <v>2</v>
      </c>
      <c r="D100" s="42">
        <f t="shared" si="52"/>
        <v>2</v>
      </c>
      <c r="E100" s="22">
        <f t="shared" si="40"/>
        <v>2</v>
      </c>
      <c r="F100" s="22">
        <f t="shared" si="53"/>
        <v>0</v>
      </c>
      <c r="G100" s="22">
        <f t="shared" si="54"/>
        <v>2</v>
      </c>
      <c r="H100" s="24">
        <v>1552866</v>
      </c>
      <c r="I100" s="37">
        <v>1498</v>
      </c>
      <c r="J100" s="37">
        <v>1487</v>
      </c>
      <c r="K100" s="37">
        <v>1735</v>
      </c>
      <c r="L100" s="37">
        <v>0</v>
      </c>
      <c r="M100" s="24">
        <f t="shared" si="55"/>
        <v>1735</v>
      </c>
      <c r="N100" s="32">
        <f t="shared" si="41"/>
        <v>0.957584234570143</v>
      </c>
      <c r="O100" s="32">
        <f t="shared" si="47"/>
        <v>1.1172889354265</v>
      </c>
      <c r="P100" s="32">
        <f t="shared" si="51"/>
        <v>1.1172889354265</v>
      </c>
      <c r="Q100" s="24">
        <f t="shared" si="42"/>
        <v>1498</v>
      </c>
      <c r="R100" s="33">
        <f t="shared" si="43"/>
        <v>0</v>
      </c>
      <c r="S100" s="33">
        <f t="shared" si="56"/>
        <v>0.863400576368876</v>
      </c>
      <c r="T100" s="6" t="str">
        <f t="shared" si="57"/>
        <v>Места накопления ТКО (МНО): 1498 по ФГИС УТКО / 1735 по ТС</v>
      </c>
      <c r="U100" s="6" t="str">
        <f t="shared" si="58"/>
        <v>Наполнение ФГИС УТКО 86%</v>
      </c>
      <c r="V100" s="34" t="str">
        <f t="shared" si="59"/>
        <v>Аномальные данные территориальной схемы</v>
      </c>
      <c r="W100" s="6" t="str">
        <f t="shared" si="60"/>
        <v>Контейнерные площадки (КП): 1487 по ФГИС УТКО / 1498,0 на 1000 чел.</v>
      </c>
      <c r="X100" s="6">
        <f t="shared" si="46"/>
        <v>0.998753611033455</v>
      </c>
      <c r="Y100" s="6" t="str">
        <f t="shared" si="48"/>
        <v>ниже </v>
      </c>
      <c r="Z100" s="6" t="str">
        <f t="shared" si="49"/>
        <v>Обеспеченность КП ниже среднего по России на 100%</v>
      </c>
      <c r="AA100" s="6" t="str">
        <f t="shared" si="50"/>
        <v>Потребность в КП не представлена</v>
      </c>
      <c r="AB100" s="10" t="str">
        <f t="shared" si="44"/>
        <v>1/1/0 (0%)</v>
      </c>
    </row>
    <row r="101" spans="2:28">
      <c r="B101" s="25" t="s">
        <v>82</v>
      </c>
      <c r="C101" s="22">
        <f t="shared" si="39"/>
        <v>2</v>
      </c>
      <c r="D101" s="42">
        <f t="shared" si="52"/>
        <v>2</v>
      </c>
      <c r="E101" s="22">
        <f t="shared" si="40"/>
        <v>0</v>
      </c>
      <c r="F101" s="22">
        <f t="shared" si="53"/>
        <v>0</v>
      </c>
      <c r="G101" s="22">
        <f t="shared" si="54"/>
        <v>2</v>
      </c>
      <c r="H101" s="24">
        <v>1167061</v>
      </c>
      <c r="I101" s="37">
        <v>15394</v>
      </c>
      <c r="J101" s="37">
        <v>15028</v>
      </c>
      <c r="K101" s="37">
        <v>14859</v>
      </c>
      <c r="L101" s="37">
        <v>0</v>
      </c>
      <c r="M101" s="24">
        <f t="shared" si="55"/>
        <v>15394</v>
      </c>
      <c r="N101" s="32">
        <f t="shared" si="41"/>
        <v>12.8767905019532</v>
      </c>
      <c r="O101" s="32">
        <f t="shared" si="47"/>
        <v>12.7319823042669</v>
      </c>
      <c r="P101" s="32">
        <f t="shared" si="51"/>
        <v>12.8767905019532</v>
      </c>
      <c r="Q101" s="24">
        <f t="shared" si="42"/>
        <v>15394</v>
      </c>
      <c r="R101" s="33">
        <f t="shared" si="43"/>
        <v>0</v>
      </c>
      <c r="S101" s="33">
        <f t="shared" si="56"/>
        <v>1</v>
      </c>
      <c r="T101" s="6" t="str">
        <f t="shared" si="57"/>
        <v>Места накопления ТКО (МНО): 15394 по ФГИС УТКО / 14859 по ТС</v>
      </c>
      <c r="U101" s="6" t="str">
        <f t="shared" si="58"/>
        <v>Наполнение ФГИС УТКО более 100%</v>
      </c>
      <c r="V101" s="34" t="str">
        <f t="shared" si="59"/>
        <v>Аномальные данные территориальной схемы</v>
      </c>
      <c r="W101" s="6" t="str">
        <f t="shared" si="60"/>
        <v>Контейнерные площадки (КП): 15028 по ФГИС УТКО / 15394,0 на 1000 чел.</v>
      </c>
      <c r="X101" s="6">
        <f t="shared" si="46"/>
        <v>0.987191647696261</v>
      </c>
      <c r="Y101" s="6" t="str">
        <f t="shared" si="48"/>
        <v>ниже </v>
      </c>
      <c r="Z101" s="6" t="str">
        <f t="shared" si="49"/>
        <v>Обеспеченность КП ниже среднего по России на 99%</v>
      </c>
      <c r="AA101" s="6" t="str">
        <f t="shared" si="50"/>
        <v>Потребность в КП не представлена</v>
      </c>
      <c r="AB101" s="10" t="str">
        <f t="shared" si="44"/>
        <v>15/15/0 (0%)</v>
      </c>
    </row>
    <row r="102" spans="2:28">
      <c r="B102" s="25" t="s">
        <v>149</v>
      </c>
      <c r="C102" s="22">
        <f t="shared" si="39"/>
        <v>1</v>
      </c>
      <c r="D102" s="42">
        <f t="shared" si="52"/>
        <v>1</v>
      </c>
      <c r="E102" s="22">
        <f t="shared" si="40"/>
        <v>0</v>
      </c>
      <c r="F102" s="22">
        <f t="shared" si="53"/>
        <v>0</v>
      </c>
      <c r="G102" s="22">
        <f t="shared" si="54"/>
        <v>1</v>
      </c>
      <c r="H102" s="24">
        <v>48029</v>
      </c>
      <c r="I102" s="37">
        <v>478</v>
      </c>
      <c r="J102" s="37">
        <v>477</v>
      </c>
      <c r="K102" s="37">
        <v>459</v>
      </c>
      <c r="L102" s="37">
        <v>244</v>
      </c>
      <c r="M102" s="24">
        <f t="shared" si="55"/>
        <v>478</v>
      </c>
      <c r="N102" s="32">
        <f t="shared" si="41"/>
        <v>9.93149971891982</v>
      </c>
      <c r="O102" s="32">
        <f t="shared" si="47"/>
        <v>9.55672614462096</v>
      </c>
      <c r="P102" s="32">
        <f t="shared" si="51"/>
        <v>9.93149971891982</v>
      </c>
      <c r="Q102" s="24">
        <f t="shared" si="42"/>
        <v>722</v>
      </c>
      <c r="R102" s="33">
        <f t="shared" si="43"/>
        <v>0.337950138504155</v>
      </c>
      <c r="S102" s="33">
        <f t="shared" si="56"/>
        <v>1</v>
      </c>
      <c r="T102" s="6" t="str">
        <f t="shared" si="57"/>
        <v>Места накопления ТКО (МНО): 478 по ФГИС УТКО / 459 по ТС</v>
      </c>
      <c r="U102" s="6" t="str">
        <f t="shared" si="58"/>
        <v>Наполнение ФГИС УТКО более 100%</v>
      </c>
      <c r="V102" s="34" t="str">
        <f t="shared" si="59"/>
        <v>Аномальные данные территориальной схемы</v>
      </c>
      <c r="W102" s="6" t="str">
        <f t="shared" si="60"/>
        <v>Контейнерные площадки (КП): 477 по ФГИС УТКО / 722,0 на 1000 чел.</v>
      </c>
      <c r="X102" s="6">
        <f t="shared" si="46"/>
        <v>0.999399270471398</v>
      </c>
      <c r="Y102" s="6" t="str">
        <f t="shared" si="48"/>
        <v>ниже </v>
      </c>
      <c r="Z102" s="6" t="str">
        <f t="shared" si="49"/>
        <v>Обеспеченность КП ниже среднего по России на 100%</v>
      </c>
      <c r="AA102" s="6" t="str">
        <f t="shared" si="50"/>
        <v>Потребность в КП по данным субъекта 244 шт. (34% от МНО)</v>
      </c>
      <c r="AB102" s="10" t="str">
        <f t="shared" si="44"/>
        <v>1/0/0 (34%)</v>
      </c>
    </row>
    <row r="103" spans="2:28">
      <c r="B103" s="25" t="s">
        <v>114</v>
      </c>
      <c r="C103" s="22">
        <f t="shared" si="39"/>
        <v>0</v>
      </c>
      <c r="D103" s="42">
        <f t="shared" si="52"/>
        <v>0</v>
      </c>
      <c r="E103" s="22">
        <f t="shared" si="40"/>
        <v>0</v>
      </c>
      <c r="F103" s="22">
        <f t="shared" si="53"/>
        <v>0</v>
      </c>
      <c r="G103" s="22">
        <f t="shared" si="54"/>
        <v>0</v>
      </c>
      <c r="H103" s="24">
        <v>515960</v>
      </c>
      <c r="I103" s="37">
        <v>6714</v>
      </c>
      <c r="J103" s="37">
        <v>5351</v>
      </c>
      <c r="K103" s="37">
        <v>6603</v>
      </c>
      <c r="L103" s="37">
        <v>35</v>
      </c>
      <c r="M103" s="24">
        <f t="shared" si="55"/>
        <v>6714</v>
      </c>
      <c r="N103" s="32">
        <f t="shared" si="41"/>
        <v>10.3709589890689</v>
      </c>
      <c r="O103" s="32">
        <f t="shared" si="47"/>
        <v>12.797503682456</v>
      </c>
      <c r="P103" s="32">
        <f t="shared" si="51"/>
        <v>12.797503682456</v>
      </c>
      <c r="Q103" s="24">
        <f t="shared" si="42"/>
        <v>6749</v>
      </c>
      <c r="R103" s="33">
        <f t="shared" si="43"/>
        <v>0.00518595347458883</v>
      </c>
      <c r="S103" s="33">
        <f t="shared" si="56"/>
        <v>1</v>
      </c>
      <c r="T103" s="6" t="str">
        <f t="shared" si="57"/>
        <v>Места накопления ТКО (МНО): 6714 по ФГИС УТКО / 6603 по ТС</v>
      </c>
      <c r="U103" s="6" t="str">
        <f t="shared" si="58"/>
        <v>Наполнение ФГИС УТКО более 100%</v>
      </c>
      <c r="V103" s="34" t="str">
        <f t="shared" si="59"/>
        <v>Аномальные данные территориальной схемы</v>
      </c>
      <c r="W103" s="6" t="str">
        <f t="shared" si="60"/>
        <v>Контейнерные площадки (КП): 5351 по ФГИС УТКО / 6749,0 на 1000 чел.</v>
      </c>
      <c r="X103" s="6">
        <f t="shared" si="46"/>
        <v>0.99438459336768</v>
      </c>
      <c r="Y103" s="6" t="str">
        <f t="shared" si="48"/>
        <v>ниже </v>
      </c>
      <c r="Z103" s="6" t="str">
        <f t="shared" si="49"/>
        <v>Обеспеченность КП ниже среднего по России на 99%</v>
      </c>
      <c r="AA103" s="6" t="str">
        <f t="shared" si="50"/>
        <v>Потребность в КП по данным субъекта 35 шт. (1% от МНО)</v>
      </c>
      <c r="AB103" s="10" t="str">
        <f t="shared" si="44"/>
        <v>5/5/0 (1%)</v>
      </c>
    </row>
    <row r="104" spans="2:28">
      <c r="B104" s="25" t="s">
        <v>80</v>
      </c>
      <c r="C104" s="22">
        <f t="shared" si="39"/>
        <v>0</v>
      </c>
      <c r="D104" s="42">
        <f t="shared" si="52"/>
        <v>0</v>
      </c>
      <c r="E104" s="22">
        <f t="shared" si="40"/>
        <v>1</v>
      </c>
      <c r="F104" s="22">
        <f t="shared" si="53"/>
        <v>0</v>
      </c>
      <c r="G104" s="22">
        <f t="shared" si="54"/>
        <v>0</v>
      </c>
      <c r="H104" s="24">
        <v>1187558</v>
      </c>
      <c r="I104" s="37">
        <v>6980</v>
      </c>
      <c r="J104" s="37">
        <v>6805</v>
      </c>
      <c r="K104" s="37">
        <v>6735</v>
      </c>
      <c r="L104" s="37">
        <v>816</v>
      </c>
      <c r="M104" s="24">
        <f t="shared" si="55"/>
        <v>6980</v>
      </c>
      <c r="N104" s="32">
        <f t="shared" si="41"/>
        <v>5.73024643848974</v>
      </c>
      <c r="O104" s="32">
        <f t="shared" si="47"/>
        <v>5.67130194904165</v>
      </c>
      <c r="P104" s="32">
        <f t="shared" si="51"/>
        <v>5.73024643848974</v>
      </c>
      <c r="Q104" s="24">
        <f t="shared" si="42"/>
        <v>7796</v>
      </c>
      <c r="R104" s="33">
        <f t="shared" si="43"/>
        <v>0.104669061056952</v>
      </c>
      <c r="S104" s="33">
        <f t="shared" si="56"/>
        <v>1</v>
      </c>
      <c r="T104" s="6" t="str">
        <f t="shared" si="57"/>
        <v>Места накопления ТКО (МНО): 6980 по ФГИС УТКО / 6735 по ТС</v>
      </c>
      <c r="U104" s="6" t="str">
        <f t="shared" si="58"/>
        <v>Наполнение ФГИС УТКО более 100%</v>
      </c>
      <c r="V104" s="34" t="str">
        <f t="shared" si="59"/>
        <v>Аномальные данные территориальной схемы</v>
      </c>
      <c r="W104" s="6" t="str">
        <f t="shared" si="60"/>
        <v>Контейнерные площадки (КП): 6805 по ФГИС УТКО / 7796,0 на 1000 чел.</v>
      </c>
      <c r="X104" s="6">
        <f t="shared" si="46"/>
        <v>0.993513452347671</v>
      </c>
      <c r="Y104" s="6" t="str">
        <f t="shared" si="48"/>
        <v>ниже </v>
      </c>
      <c r="Z104" s="6" t="str">
        <f t="shared" si="49"/>
        <v>Обеспеченность КП ниже среднего по России на 99%</v>
      </c>
      <c r="AA104" s="6" t="str">
        <f t="shared" si="50"/>
        <v>Потребность в КП по данным субъекта 816 шт. (10% от МНО)</v>
      </c>
      <c r="AB104" s="10" t="str">
        <f t="shared" si="44"/>
        <v>8/7/1 (10%)</v>
      </c>
    </row>
    <row r="106" spans="22:22">
      <c r="V106" s="6" t="s">
        <v>239</v>
      </c>
    </row>
    <row r="107" spans="2:22">
      <c r="B107" s="25"/>
      <c r="V107" s="25" t="s">
        <v>240</v>
      </c>
    </row>
    <row r="108" spans="22:22">
      <c r="V108" s="25" t="s">
        <v>241</v>
      </c>
    </row>
    <row r="109" spans="8:22">
      <c r="H109" s="16"/>
      <c r="V109" s="25" t="s">
        <v>242</v>
      </c>
    </row>
  </sheetData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8"/>
  <dimension ref="B2:AB109"/>
  <sheetViews>
    <sheetView zoomScale="85" zoomScaleNormal="85" workbookViewId="0">
      <pane xSplit="2" ySplit="15" topLeftCell="C98" activePane="bottomRight" state="frozen"/>
      <selection/>
      <selection pane="topRight"/>
      <selection pane="bottomLeft"/>
      <selection pane="bottomRight" activeCell="B16" sqref="B16:B104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7" width="13.5" style="7" customWidth="1"/>
    <col min="8" max="9" width="13.5" style="9" customWidth="1"/>
    <col min="10" max="10" width="13.5" style="9" hidden="1" customWidth="1"/>
    <col min="11" max="13" width="13.5" style="9" customWidth="1"/>
    <col min="14" max="16" width="13.5" style="11" customWidth="1"/>
    <col min="17" max="17" width="13.5" style="62" customWidth="1"/>
    <col min="18" max="19" width="13.5" style="11" customWidth="1"/>
    <col min="20" max="20" width="58.5" style="11" customWidth="1"/>
    <col min="21" max="21" width="32" style="6" customWidth="1"/>
    <col min="22" max="22" width="42.8583333333333" style="6" customWidth="1"/>
    <col min="23" max="23" width="61.6416666666667" style="6" hidden="1" customWidth="1"/>
    <col min="24" max="24" width="12.1416666666667" style="6" customWidth="1"/>
    <col min="25" max="25" width="12" style="6" customWidth="1"/>
    <col min="26" max="26" width="56.3583333333333" style="6" customWidth="1"/>
    <col min="27" max="27" width="57" style="6" customWidth="1"/>
    <col min="28" max="28" width="17.8583333333333" style="9" customWidth="1"/>
    <col min="29" max="16384" width="10.8583333333333" style="6"/>
  </cols>
  <sheetData>
    <row r="2" ht="15.6" spans="2:2">
      <c r="B2" s="4" t="s">
        <v>215</v>
      </c>
    </row>
    <row r="4" s="4" customFormat="1" ht="15.6" spans="2:28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66"/>
      <c r="R4" s="28"/>
      <c r="S4" s="28"/>
      <c r="T4" s="28"/>
      <c r="U4" s="28"/>
      <c r="AB4" s="14"/>
    </row>
    <row r="5" spans="2:21">
      <c r="B5" s="6" t="s">
        <v>216</v>
      </c>
      <c r="C5" s="63">
        <v>45574</v>
      </c>
      <c r="E5" s="8"/>
      <c r="F5" s="8"/>
      <c r="H5" s="7"/>
      <c r="N5" s="9"/>
      <c r="U5" s="11"/>
    </row>
    <row r="7" spans="2:19">
      <c r="B7" s="6" t="s">
        <v>173</v>
      </c>
      <c r="O7" s="11">
        <f>O9/2</f>
        <v>8.38604778247212</v>
      </c>
      <c r="R7" s="17">
        <v>0</v>
      </c>
      <c r="S7" s="17">
        <f>S15</f>
        <v>0.817968346826422</v>
      </c>
    </row>
    <row r="8" spans="2:18">
      <c r="B8" s="6" t="s">
        <v>174</v>
      </c>
      <c r="D8" s="11">
        <v>1.5</v>
      </c>
      <c r="K8" s="6"/>
      <c r="O8" s="29"/>
      <c r="Q8" s="67"/>
      <c r="R8" s="17">
        <f>R10*2</f>
        <v>0.305286868618568</v>
      </c>
    </row>
    <row r="9" spans="2:19">
      <c r="B9" s="6" t="s">
        <v>175</v>
      </c>
      <c r="D9" s="11">
        <v>0.5</v>
      </c>
      <c r="O9" s="11">
        <f>O15</f>
        <v>16.7720955649442</v>
      </c>
      <c r="S9" s="17">
        <f>S15+(1-S7)/2</f>
        <v>0.908984173413211</v>
      </c>
    </row>
    <row r="10" spans="2:18">
      <c r="B10" s="6" t="s">
        <v>176</v>
      </c>
      <c r="K10" s="16"/>
      <c r="R10" s="17">
        <f>R15</f>
        <v>0.152643434309284</v>
      </c>
    </row>
    <row r="11" spans="2:7">
      <c r="B11" s="6" t="s">
        <v>177</v>
      </c>
      <c r="C11" s="17"/>
      <c r="E11" s="17">
        <v>0</v>
      </c>
      <c r="F11" s="17">
        <v>0</v>
      </c>
      <c r="G11" s="17">
        <v>1</v>
      </c>
    </row>
    <row r="12" spans="3:17">
      <c r="C12" s="17"/>
      <c r="E12" s="17"/>
      <c r="F12" s="17"/>
      <c r="G12" s="17"/>
      <c r="K12" s="6"/>
      <c r="O12" s="6"/>
      <c r="Q12" s="67"/>
    </row>
    <row r="14" s="5" customFormat="1" ht="75" spans="2:28">
      <c r="B14" s="5" t="s">
        <v>2</v>
      </c>
      <c r="C14" s="19" t="s">
        <v>178</v>
      </c>
      <c r="D14" s="19" t="s">
        <v>179</v>
      </c>
      <c r="E14" s="19" t="s">
        <v>217</v>
      </c>
      <c r="F14" s="19" t="s">
        <v>218</v>
      </c>
      <c r="G14" s="19" t="s">
        <v>243</v>
      </c>
      <c r="H14" s="21" t="s">
        <v>191</v>
      </c>
      <c r="I14" s="21" t="s">
        <v>244</v>
      </c>
      <c r="J14" s="21"/>
      <c r="K14" s="21" t="s">
        <v>245</v>
      </c>
      <c r="L14" s="21" t="s">
        <v>246</v>
      </c>
      <c r="M14" s="21" t="s">
        <v>247</v>
      </c>
      <c r="N14" s="30" t="s">
        <v>248</v>
      </c>
      <c r="O14" s="30" t="s">
        <v>249</v>
      </c>
      <c r="P14" s="30" t="s">
        <v>250</v>
      </c>
      <c r="Q14" s="68" t="s">
        <v>251</v>
      </c>
      <c r="R14" s="30" t="s">
        <v>252</v>
      </c>
      <c r="S14" s="30" t="s">
        <v>253</v>
      </c>
      <c r="T14" s="30" t="s">
        <v>231</v>
      </c>
      <c r="U14" s="30" t="s">
        <v>232</v>
      </c>
      <c r="V14" s="30" t="s">
        <v>233</v>
      </c>
      <c r="W14" s="30"/>
      <c r="X14" s="30" t="s">
        <v>235</v>
      </c>
      <c r="Y14" s="30" t="s">
        <v>236</v>
      </c>
      <c r="Z14" s="30" t="s">
        <v>237</v>
      </c>
      <c r="AA14" s="30" t="s">
        <v>238</v>
      </c>
      <c r="AB14" s="30" t="s">
        <v>214</v>
      </c>
    </row>
    <row r="15" s="5" customFormat="1" spans="2:28">
      <c r="B15" s="5" t="s">
        <v>182</v>
      </c>
      <c r="C15" s="22"/>
      <c r="D15" s="22"/>
      <c r="E15" s="22"/>
      <c r="F15" s="22"/>
      <c r="G15" s="22"/>
      <c r="H15" s="24">
        <f>SUM(H16:H104)</f>
        <v>146150789</v>
      </c>
      <c r="I15" s="37">
        <f>SUM(I16:I104)</f>
        <v>2005049</v>
      </c>
      <c r="J15" s="37"/>
      <c r="K15" s="37">
        <f>SUM(K16:K104)</f>
        <v>2451255</v>
      </c>
      <c r="L15" s="37">
        <f>SUM(L16:L104)</f>
        <v>361191</v>
      </c>
      <c r="M15" s="24">
        <f>SUM(M16:M104)</f>
        <v>2659260</v>
      </c>
      <c r="N15" s="32">
        <f t="shared" ref="N15:N48" si="0">I15/$H15*1000</f>
        <v>13.7190432820722</v>
      </c>
      <c r="O15" s="32">
        <f>K15/$H15*1000</f>
        <v>16.7720955649442</v>
      </c>
      <c r="P15" s="32">
        <f>SUMPRODUCT(P16:P104,H16:H104)/H15</f>
        <v>18.1953174402637</v>
      </c>
      <c r="Q15" s="24">
        <f>I15+L15</f>
        <v>2366240</v>
      </c>
      <c r="R15" s="33">
        <f>L15/(I15+L15)</f>
        <v>0.152643434309284</v>
      </c>
      <c r="S15" s="33">
        <f t="shared" ref="S15:S48" si="1">I15/MAX(I15,K15)</f>
        <v>0.817968346826422</v>
      </c>
      <c r="T15" s="33"/>
      <c r="AB15" s="9" t="str">
        <f>_xlfn.TEXTJOIN(,0,ROUND((I15+L15)/1000,0),"/",ROUND(I15/1000,0)," (",TEXT(R15,"0%"),")")</f>
        <v>2366/2005 (15%)</v>
      </c>
    </row>
    <row r="16" spans="2:28">
      <c r="B16" s="25" t="s">
        <v>146</v>
      </c>
      <c r="C16" s="22">
        <f>IF(D16&gt;$D$8,2,IF(D16&gt;$D$9,1,0))</f>
        <v>1</v>
      </c>
      <c r="D16" s="42">
        <f t="shared" ref="D16:D25" si="2">E16*$E$11+F16*$F$11+G16*$G$11</f>
        <v>1</v>
      </c>
      <c r="E16" s="22">
        <f>IF(O16&lt;$O$7,2,IF(Q16&lt;$O$9,1,0))</f>
        <v>2</v>
      </c>
      <c r="F16" s="22">
        <f t="shared" ref="F16:F25" si="3">IF(S16&lt;$S$7,2,IF(S16&lt;$S$9,1,0))</f>
        <v>0</v>
      </c>
      <c r="G16" s="22">
        <f>IF(OR(R16&gt;$R$8,R16=$R$7),2,IF(R16&gt;$R$10,1,0))</f>
        <v>1</v>
      </c>
      <c r="H16" s="24">
        <v>2115308</v>
      </c>
      <c r="I16" s="37">
        <v>34946</v>
      </c>
      <c r="J16" s="37"/>
      <c r="K16" s="65">
        <v>17087</v>
      </c>
      <c r="L16" s="37">
        <v>11301</v>
      </c>
      <c r="M16" s="24">
        <f>MAX(I16,K16)</f>
        <v>34946</v>
      </c>
      <c r="N16" s="32">
        <f t="shared" si="0"/>
        <v>16.5205256161278</v>
      </c>
      <c r="O16" s="32">
        <f>K16/$H16*1000</f>
        <v>8.07778347172137</v>
      </c>
      <c r="P16" s="32">
        <f t="shared" ref="P16:P82" si="4">MAX(N16,O16)</f>
        <v>16.5205256161278</v>
      </c>
      <c r="Q16" s="24">
        <f>I16+L16</f>
        <v>46247</v>
      </c>
      <c r="R16" s="33">
        <f>L16/(I16+L16)</f>
        <v>0.24436179644085</v>
      </c>
      <c r="S16" s="33">
        <f t="shared" si="1"/>
        <v>1</v>
      </c>
      <c r="T16" s="6" t="str">
        <f>_xlfn.TEXTJOIN(,0,"Контейнеры: ",I16," по ФГИС УТКО / ",K16," по ТС")</f>
        <v>Контейнеры: 34946 по ФГИС УТКО / 17087 по ТС</v>
      </c>
      <c r="U16" s="6" t="str">
        <f t="shared" ref="U16:U50" si="5">_xlfn.TEXTJOIN(,0,"Наполнение ФГИС УТКО"," ",IF(I16&lt;=K16,TEXT(S16,"0%"),"более 100%"))</f>
        <v>Наполнение ФГИС УТКО более 100%</v>
      </c>
      <c r="V16" s="34" t="str">
        <f t="shared" ref="V16:V28" si="6">IF(O16&gt;$O$8,$V$107,IF(Q16&gt;$Q$10,$V$108,IF(I16&gt;K16*(1+$K$10),$V$109,"")))</f>
        <v>Аномальные данные территориальной схемы</v>
      </c>
      <c r="X16" s="6">
        <f t="shared" ref="X16:X50" si="7">IF(Q16&gt;=$Q$15,Q16/$Q$15-1,1-Q16/$Q$15)</f>
        <v>0.980455490567314</v>
      </c>
      <c r="Y16" s="6" t="str">
        <f>IF(Q16&gt;=$Q$15,"выше ","ниже ")</f>
        <v>ниже </v>
      </c>
      <c r="Z16" s="6" t="str">
        <f>_xlfn.TEXTJOIN(,0,"Обеспеченность контейнерами ",Y16,"среднего по России на ",TEXT(X16,"0%"))</f>
        <v>Обеспеченность контейнерами ниже среднего по России на 98%</v>
      </c>
      <c r="AA16" s="6" t="str">
        <f>IF(L16&gt;0,_xlfn.TEXTJOIN(,0,"Потребность в контейнерах по данным субъекта ",L16," шт. (",TEXT(R16,"0%"),")"),"Потребность в КП не представлена")</f>
        <v>Потребность в контейнерах по данным субъекта 11301 шт. (24%)</v>
      </c>
      <c r="AB16" s="9" t="str">
        <f>_xlfn.TEXTJOIN(,0,ROUND((I16+L16)/1000,0),"/",ROUND(I16/1000,0),"/",ROUND(L16/1000,0)," (",TEXT(R16,"0%"),")")</f>
        <v>46/35/11 (24%)</v>
      </c>
    </row>
    <row r="17" spans="2:28">
      <c r="B17" s="25" t="s">
        <v>150</v>
      </c>
      <c r="C17" s="22">
        <f t="shared" ref="C17:C80" si="8">IF(D17&gt;$D$8,2,IF(D17&gt;$D$9,1,0))</f>
        <v>0</v>
      </c>
      <c r="D17" s="42">
        <f t="shared" si="2"/>
        <v>0</v>
      </c>
      <c r="E17" s="22">
        <f t="shared" ref="E17:E80" si="9">IF(O17&lt;$O$7,2,IF(Q17&lt;$O$9,1,0))</f>
        <v>0</v>
      </c>
      <c r="F17" s="22">
        <f t="shared" si="3"/>
        <v>0</v>
      </c>
      <c r="G17" s="22">
        <f t="shared" ref="G17:G25" si="10">IF(OR(R17&gt;$R$8,R17&lt;=$R$7),2,IF(R17&gt;$R$10,1,0))</f>
        <v>0</v>
      </c>
      <c r="H17" s="24">
        <v>750083</v>
      </c>
      <c r="I17" s="37">
        <v>23969</v>
      </c>
      <c r="J17" s="37"/>
      <c r="K17" s="65">
        <v>19644</v>
      </c>
      <c r="L17" s="37">
        <v>4142</v>
      </c>
      <c r="M17" s="24">
        <f t="shared" ref="M17:M83" si="11">MAX(I17,K17)</f>
        <v>23969</v>
      </c>
      <c r="N17" s="32">
        <f t="shared" si="0"/>
        <v>31.9551302989136</v>
      </c>
      <c r="O17" s="32">
        <f t="shared" ref="O17:O83" si="12">K17/$H17*1000</f>
        <v>26.1891017394075</v>
      </c>
      <c r="P17" s="32">
        <f t="shared" si="4"/>
        <v>31.9551302989136</v>
      </c>
      <c r="Q17" s="24">
        <f t="shared" ref="Q17:Q80" si="13">I17+L17</f>
        <v>28111</v>
      </c>
      <c r="R17" s="33">
        <f t="shared" ref="R17:R80" si="14">L17/(I17+L17)</f>
        <v>0.14734445590694</v>
      </c>
      <c r="S17" s="33">
        <f t="shared" si="1"/>
        <v>1</v>
      </c>
      <c r="T17" s="6" t="str">
        <f t="shared" ref="T17:T83" si="15">_xlfn.TEXTJOIN(,0,"Контейнеры: ",I17," по ФГИС УТКО / ",K17," по ТС")</f>
        <v>Контейнеры: 23969 по ФГИС УТКО / 19644 по ТС</v>
      </c>
      <c r="U17" s="6" t="str">
        <f t="shared" si="5"/>
        <v>Наполнение ФГИС УТКО более 100%</v>
      </c>
      <c r="V17" s="34" t="str">
        <f t="shared" si="6"/>
        <v>Аномальные данные территориальной схемы</v>
      </c>
      <c r="X17" s="6">
        <f t="shared" si="7"/>
        <v>0.988119970924336</v>
      </c>
      <c r="Y17" s="6" t="str">
        <f t="shared" ref="Y17:Y83" si="16">IF(Q17&gt;=$Q$15,"выше ","ниже ")</f>
        <v>ниже </v>
      </c>
      <c r="Z17" s="6" t="str">
        <f t="shared" ref="Z17:Z83" si="17">_xlfn.TEXTJOIN(,0,"Обеспеченность контейнерами ",Y17,"среднего по России на ",TEXT(X17,"0%"))</f>
        <v>Обеспеченность контейнерами ниже среднего по России на 99%</v>
      </c>
      <c r="AA17" s="6" t="str">
        <f t="shared" ref="AA17:AA83" si="18">IF(L17&gt;0,_xlfn.TEXTJOIN(,0,"Потребность в контейнерах по данным субъекта ",L17," шт. (",TEXT(R17,"0%"),")"),"Потребность в КП не представлена")</f>
        <v>Потребность в контейнерах по данным субъекта 4142 шт. (15%)</v>
      </c>
      <c r="AB17" s="9" t="str">
        <f t="shared" ref="AB17:AB80" si="19">_xlfn.TEXTJOIN(,0,ROUND((I17+L17)/1000,0),"/",ROUND(I17/1000,0),"/",ROUND(L17/1000,0)," (",TEXT(R17,"0%"),")")</f>
        <v>28/24/4 (15%)</v>
      </c>
    </row>
    <row r="18" spans="2:28">
      <c r="B18" s="25" t="s">
        <v>133</v>
      </c>
      <c r="C18" s="22">
        <f t="shared" si="8"/>
        <v>0</v>
      </c>
      <c r="D18" s="42">
        <f t="shared" si="2"/>
        <v>0</v>
      </c>
      <c r="E18" s="22">
        <f t="shared" si="9"/>
        <v>0</v>
      </c>
      <c r="F18" s="22">
        <f t="shared" si="3"/>
        <v>0</v>
      </c>
      <c r="G18" s="22">
        <f t="shared" si="10"/>
        <v>0</v>
      </c>
      <c r="H18" s="24">
        <v>955848</v>
      </c>
      <c r="I18" s="37">
        <v>25191</v>
      </c>
      <c r="J18" s="37"/>
      <c r="K18" s="65">
        <v>20815</v>
      </c>
      <c r="L18" s="37">
        <v>3789</v>
      </c>
      <c r="M18" s="24">
        <f t="shared" si="11"/>
        <v>25191</v>
      </c>
      <c r="N18" s="32">
        <f t="shared" si="0"/>
        <v>26.354608682552</v>
      </c>
      <c r="O18" s="32">
        <f t="shared" si="12"/>
        <v>21.7764749206987</v>
      </c>
      <c r="P18" s="32">
        <f t="shared" si="4"/>
        <v>26.354608682552</v>
      </c>
      <c r="Q18" s="24">
        <f t="shared" si="13"/>
        <v>28980</v>
      </c>
      <c r="R18" s="33">
        <f t="shared" si="14"/>
        <v>0.130745341614907</v>
      </c>
      <c r="S18" s="33">
        <f t="shared" si="1"/>
        <v>1</v>
      </c>
      <c r="T18" s="6" t="str">
        <f t="shared" si="15"/>
        <v>Контейнеры: 25191 по ФГИС УТКО / 20815 по ТС</v>
      </c>
      <c r="U18" s="6" t="str">
        <f t="shared" si="5"/>
        <v>Наполнение ФГИС УТКО более 100%</v>
      </c>
      <c r="V18" s="34" t="str">
        <f t="shared" si="6"/>
        <v>Аномальные данные территориальной схемы</v>
      </c>
      <c r="X18" s="6">
        <f t="shared" si="7"/>
        <v>0.987752721617418</v>
      </c>
      <c r="Y18" s="6" t="str">
        <f t="shared" si="16"/>
        <v>ниже </v>
      </c>
      <c r="Z18" s="6" t="str">
        <f t="shared" si="17"/>
        <v>Обеспеченность контейнерами ниже среднего по России на 99%</v>
      </c>
      <c r="AA18" s="6" t="str">
        <f t="shared" si="18"/>
        <v>Потребность в контейнерах по данным субъекта 3789 шт. (13%)</v>
      </c>
      <c r="AB18" s="9" t="str">
        <f t="shared" si="19"/>
        <v>29/25/4 (13%)</v>
      </c>
    </row>
    <row r="19" spans="2:28">
      <c r="B19" s="25" t="s">
        <v>121</v>
      </c>
      <c r="C19" s="22">
        <f t="shared" si="8"/>
        <v>1</v>
      </c>
      <c r="D19" s="42">
        <f t="shared" si="2"/>
        <v>1</v>
      </c>
      <c r="E19" s="22">
        <f t="shared" si="9"/>
        <v>0</v>
      </c>
      <c r="F19" s="22">
        <f t="shared" si="3"/>
        <v>2</v>
      </c>
      <c r="G19" s="22">
        <f t="shared" si="10"/>
        <v>1</v>
      </c>
      <c r="H19" s="24">
        <v>946429</v>
      </c>
      <c r="I19" s="37">
        <v>6951</v>
      </c>
      <c r="J19" s="37"/>
      <c r="K19" s="65">
        <v>23394</v>
      </c>
      <c r="L19" s="37">
        <v>1413</v>
      </c>
      <c r="M19" s="24">
        <f t="shared" si="11"/>
        <v>23394</v>
      </c>
      <c r="N19" s="32">
        <f t="shared" si="0"/>
        <v>7.34444950440022</v>
      </c>
      <c r="O19" s="32">
        <f t="shared" si="12"/>
        <v>24.7181774861083</v>
      </c>
      <c r="P19" s="32">
        <f t="shared" si="4"/>
        <v>24.7181774861083</v>
      </c>
      <c r="Q19" s="24">
        <f t="shared" si="13"/>
        <v>8364</v>
      </c>
      <c r="R19" s="33">
        <f t="shared" si="14"/>
        <v>0.168938307030129</v>
      </c>
      <c r="S19" s="33">
        <f t="shared" si="1"/>
        <v>0.297127468581688</v>
      </c>
      <c r="T19" s="6" t="str">
        <f t="shared" si="15"/>
        <v>Контейнеры: 6951 по ФГИС УТКО / 23394 по ТС</v>
      </c>
      <c r="U19" s="6" t="str">
        <f t="shared" si="5"/>
        <v>Наполнение ФГИС УТКО 30%</v>
      </c>
      <c r="V19" s="34" t="str">
        <f t="shared" si="6"/>
        <v>Аномальные данные территориальной схемы</v>
      </c>
      <c r="X19" s="6">
        <f t="shared" si="7"/>
        <v>0.996465278247346</v>
      </c>
      <c r="Y19" s="6" t="str">
        <f t="shared" si="16"/>
        <v>ниже </v>
      </c>
      <c r="Z19" s="6" t="str">
        <f t="shared" si="17"/>
        <v>Обеспеченность контейнерами ниже среднего по России на 100%</v>
      </c>
      <c r="AA19" s="6" t="str">
        <f t="shared" si="18"/>
        <v>Потребность в контейнерах по данным субъекта 1413 шт. (17%)</v>
      </c>
      <c r="AB19" s="9" t="str">
        <f t="shared" si="19"/>
        <v>8/7/1 (17%)</v>
      </c>
    </row>
    <row r="20" spans="2:28">
      <c r="B20" s="25" t="s">
        <v>106</v>
      </c>
      <c r="C20" s="22">
        <f t="shared" si="8"/>
        <v>1</v>
      </c>
      <c r="D20" s="42">
        <f t="shared" si="2"/>
        <v>1</v>
      </c>
      <c r="E20" s="22">
        <f t="shared" si="9"/>
        <v>0</v>
      </c>
      <c r="F20" s="22">
        <f t="shared" si="3"/>
        <v>0</v>
      </c>
      <c r="G20" s="22">
        <f t="shared" si="10"/>
        <v>1</v>
      </c>
      <c r="H20" s="24">
        <v>1500659</v>
      </c>
      <c r="I20" s="37">
        <v>35519</v>
      </c>
      <c r="J20" s="37"/>
      <c r="K20" s="65">
        <v>20725</v>
      </c>
      <c r="L20" s="37">
        <v>9363</v>
      </c>
      <c r="M20" s="24">
        <f t="shared" si="11"/>
        <v>35519</v>
      </c>
      <c r="N20" s="32">
        <f t="shared" si="0"/>
        <v>23.6689347813194</v>
      </c>
      <c r="O20" s="32">
        <f t="shared" si="12"/>
        <v>13.8105992100804</v>
      </c>
      <c r="P20" s="32">
        <f t="shared" si="4"/>
        <v>23.6689347813194</v>
      </c>
      <c r="Q20" s="24">
        <f t="shared" si="13"/>
        <v>44882</v>
      </c>
      <c r="R20" s="33">
        <f t="shared" si="14"/>
        <v>0.208613698141794</v>
      </c>
      <c r="S20" s="33">
        <f t="shared" si="1"/>
        <v>1</v>
      </c>
      <c r="T20" s="6" t="str">
        <f t="shared" si="15"/>
        <v>Контейнеры: 35519 по ФГИС УТКО / 20725 по ТС</v>
      </c>
      <c r="U20" s="6" t="str">
        <f t="shared" si="5"/>
        <v>Наполнение ФГИС УТКО более 100%</v>
      </c>
      <c r="V20" s="34" t="str">
        <f t="shared" si="6"/>
        <v>Аномальные данные территориальной схемы</v>
      </c>
      <c r="X20" s="6">
        <f t="shared" si="7"/>
        <v>0.981032355128812</v>
      </c>
      <c r="Y20" s="6" t="str">
        <f t="shared" si="16"/>
        <v>ниже </v>
      </c>
      <c r="Z20" s="6" t="str">
        <f t="shared" si="17"/>
        <v>Обеспеченность контейнерами ниже среднего по России на 98%</v>
      </c>
      <c r="AA20" s="6" t="str">
        <f t="shared" si="18"/>
        <v>Потребность в контейнерах по данным субъекта 9363 шт. (21%)</v>
      </c>
      <c r="AB20" s="9" t="str">
        <f t="shared" si="19"/>
        <v>45/36/9 (21%)</v>
      </c>
    </row>
    <row r="21" spans="2:28">
      <c r="B21" s="25" t="s">
        <v>91</v>
      </c>
      <c r="C21" s="22">
        <f t="shared" si="8"/>
        <v>0</v>
      </c>
      <c r="D21" s="42">
        <f t="shared" si="2"/>
        <v>0</v>
      </c>
      <c r="E21" s="22">
        <f t="shared" si="9"/>
        <v>0</v>
      </c>
      <c r="F21" s="22">
        <f t="shared" si="3"/>
        <v>0</v>
      </c>
      <c r="G21" s="22">
        <f t="shared" si="10"/>
        <v>0</v>
      </c>
      <c r="H21" s="24">
        <v>1142404</v>
      </c>
      <c r="I21" s="37">
        <v>11721</v>
      </c>
      <c r="J21" s="37"/>
      <c r="K21" s="65">
        <v>12820</v>
      </c>
      <c r="L21" s="37">
        <v>1021</v>
      </c>
      <c r="M21" s="24">
        <f t="shared" si="11"/>
        <v>12820</v>
      </c>
      <c r="N21" s="32">
        <f t="shared" si="0"/>
        <v>10.2599430674262</v>
      </c>
      <c r="O21" s="32">
        <f t="shared" si="12"/>
        <v>11.2219495029779</v>
      </c>
      <c r="P21" s="32">
        <f t="shared" si="4"/>
        <v>11.2219495029779</v>
      </c>
      <c r="Q21" s="24">
        <f t="shared" si="13"/>
        <v>12742</v>
      </c>
      <c r="R21" s="33">
        <f t="shared" si="14"/>
        <v>0.0801287082090724</v>
      </c>
      <c r="S21" s="33">
        <f t="shared" si="1"/>
        <v>0.914274570982839</v>
      </c>
      <c r="T21" s="6" t="str">
        <f t="shared" si="15"/>
        <v>Контейнеры: 11721 по ФГИС УТКО / 12820 по ТС</v>
      </c>
      <c r="U21" s="6" t="str">
        <f t="shared" si="5"/>
        <v>Наполнение ФГИС УТКО 91%</v>
      </c>
      <c r="V21" s="34" t="str">
        <f t="shared" si="6"/>
        <v>Аномальные данные территориальной схемы</v>
      </c>
      <c r="X21" s="6">
        <f t="shared" si="7"/>
        <v>0.994615085536547</v>
      </c>
      <c r="Y21" s="6" t="str">
        <f t="shared" si="16"/>
        <v>ниже </v>
      </c>
      <c r="Z21" s="6" t="str">
        <f t="shared" si="17"/>
        <v>Обеспеченность контейнерами ниже среднего по России на 99%</v>
      </c>
      <c r="AA21" s="6" t="str">
        <f t="shared" si="18"/>
        <v>Потребность в контейнерах по данным субъекта 1021 шт. (8%)</v>
      </c>
      <c r="AB21" s="9" t="str">
        <f t="shared" si="19"/>
        <v>13/12/1 (8%)</v>
      </c>
    </row>
    <row r="22" spans="2:28">
      <c r="B22" s="25" t="s">
        <v>113</v>
      </c>
      <c r="C22" s="22">
        <f t="shared" si="8"/>
        <v>0</v>
      </c>
      <c r="D22" s="42">
        <f t="shared" si="2"/>
        <v>0</v>
      </c>
      <c r="E22" s="22">
        <f t="shared" si="9"/>
        <v>0</v>
      </c>
      <c r="F22" s="22">
        <f t="shared" si="3"/>
        <v>0</v>
      </c>
      <c r="G22" s="22">
        <f t="shared" si="10"/>
        <v>0</v>
      </c>
      <c r="H22" s="24">
        <v>1309942</v>
      </c>
      <c r="I22" s="37">
        <v>25352</v>
      </c>
      <c r="J22" s="37"/>
      <c r="K22" s="65">
        <v>22309</v>
      </c>
      <c r="L22" s="37">
        <v>1371</v>
      </c>
      <c r="M22" s="24">
        <f t="shared" si="11"/>
        <v>25352</v>
      </c>
      <c r="N22" s="32">
        <f t="shared" si="0"/>
        <v>19.3535286295118</v>
      </c>
      <c r="O22" s="32">
        <f t="shared" si="12"/>
        <v>17.0305250156114</v>
      </c>
      <c r="P22" s="32">
        <f t="shared" si="4"/>
        <v>19.3535286295118</v>
      </c>
      <c r="Q22" s="24">
        <f t="shared" si="13"/>
        <v>26723</v>
      </c>
      <c r="R22" s="33">
        <f t="shared" si="14"/>
        <v>0.051304120046402</v>
      </c>
      <c r="S22" s="33">
        <f t="shared" si="1"/>
        <v>1</v>
      </c>
      <c r="T22" s="6" t="str">
        <f t="shared" si="15"/>
        <v>Контейнеры: 25352 по ФГИС УТКО / 22309 по ТС</v>
      </c>
      <c r="U22" s="6" t="str">
        <f t="shared" si="5"/>
        <v>Наполнение ФГИС УТКО более 100%</v>
      </c>
      <c r="V22" s="34" t="str">
        <f t="shared" si="6"/>
        <v>Аномальные данные территориальной схемы</v>
      </c>
      <c r="X22" s="6">
        <f t="shared" si="7"/>
        <v>0.988706555548042</v>
      </c>
      <c r="Y22" s="6" t="str">
        <f t="shared" si="16"/>
        <v>ниже </v>
      </c>
      <c r="Z22" s="6" t="str">
        <f t="shared" si="17"/>
        <v>Обеспеченность контейнерами ниже среднего по России на 99%</v>
      </c>
      <c r="AA22" s="6" t="str">
        <f t="shared" si="18"/>
        <v>Потребность в контейнерах по данным субъекта 1371 шт. (5%)</v>
      </c>
      <c r="AB22" s="9" t="str">
        <f t="shared" si="19"/>
        <v>27/25/1 (5%)</v>
      </c>
    </row>
    <row r="23" spans="2:28">
      <c r="B23" s="25" t="s">
        <v>86</v>
      </c>
      <c r="C23" s="22">
        <f t="shared" si="8"/>
        <v>2</v>
      </c>
      <c r="D23" s="42">
        <f t="shared" si="2"/>
        <v>2</v>
      </c>
      <c r="E23" s="22">
        <f t="shared" si="9"/>
        <v>0</v>
      </c>
      <c r="F23" s="22">
        <f t="shared" si="3"/>
        <v>0</v>
      </c>
      <c r="G23" s="22">
        <f t="shared" si="10"/>
        <v>2</v>
      </c>
      <c r="H23" s="24">
        <v>2453898</v>
      </c>
      <c r="I23" s="37">
        <v>32010</v>
      </c>
      <c r="J23" s="37"/>
      <c r="K23" s="65">
        <v>29904</v>
      </c>
      <c r="L23" s="37">
        <v>17262</v>
      </c>
      <c r="M23" s="24">
        <f t="shared" si="11"/>
        <v>32010</v>
      </c>
      <c r="N23" s="32">
        <f t="shared" si="0"/>
        <v>13.0445519740429</v>
      </c>
      <c r="O23" s="32">
        <f t="shared" si="12"/>
        <v>12.1863255929953</v>
      </c>
      <c r="P23" s="32">
        <f t="shared" si="4"/>
        <v>13.0445519740429</v>
      </c>
      <c r="Q23" s="24">
        <f t="shared" si="13"/>
        <v>49272</v>
      </c>
      <c r="R23" s="33">
        <f t="shared" si="14"/>
        <v>0.35034096444228</v>
      </c>
      <c r="S23" s="33">
        <f t="shared" si="1"/>
        <v>1</v>
      </c>
      <c r="T23" s="6" t="str">
        <f t="shared" si="15"/>
        <v>Контейнеры: 32010 по ФГИС УТКО / 29904 по ТС</v>
      </c>
      <c r="U23" s="6" t="str">
        <f t="shared" si="5"/>
        <v>Наполнение ФГИС УТКО более 100%</v>
      </c>
      <c r="V23" s="34" t="str">
        <f t="shared" si="6"/>
        <v>Аномальные данные территориальной схемы</v>
      </c>
      <c r="X23" s="6">
        <f t="shared" si="7"/>
        <v>0.979177091081209</v>
      </c>
      <c r="Y23" s="6" t="str">
        <f t="shared" si="16"/>
        <v>ниже </v>
      </c>
      <c r="Z23" s="6" t="str">
        <f t="shared" si="17"/>
        <v>Обеспеченность контейнерами ниже среднего по России на 98%</v>
      </c>
      <c r="AA23" s="6" t="str">
        <f t="shared" si="18"/>
        <v>Потребность в контейнерах по данным субъекта 17262 шт. (35%)</v>
      </c>
      <c r="AB23" s="9" t="str">
        <f t="shared" si="19"/>
        <v>49/32/17 (35%)</v>
      </c>
    </row>
    <row r="24" spans="2:28">
      <c r="B24" s="25" t="s">
        <v>107</v>
      </c>
      <c r="C24" s="22">
        <f t="shared" si="8"/>
        <v>0</v>
      </c>
      <c r="D24" s="42">
        <f t="shared" si="2"/>
        <v>0</v>
      </c>
      <c r="E24" s="22">
        <f t="shared" si="9"/>
        <v>0</v>
      </c>
      <c r="F24" s="22">
        <f t="shared" si="3"/>
        <v>0</v>
      </c>
      <c r="G24" s="22">
        <f t="shared" si="10"/>
        <v>0</v>
      </c>
      <c r="H24" s="24">
        <v>1121343</v>
      </c>
      <c r="I24" s="37">
        <v>31272</v>
      </c>
      <c r="J24" s="37"/>
      <c r="K24" s="65">
        <v>28955</v>
      </c>
      <c r="L24" s="37">
        <v>3641</v>
      </c>
      <c r="M24" s="24">
        <f t="shared" si="11"/>
        <v>31272</v>
      </c>
      <c r="N24" s="32">
        <f t="shared" si="0"/>
        <v>27.8879878859546</v>
      </c>
      <c r="O24" s="32">
        <f t="shared" si="12"/>
        <v>25.8217155678503</v>
      </c>
      <c r="P24" s="32">
        <f t="shared" si="4"/>
        <v>27.8879878859546</v>
      </c>
      <c r="Q24" s="24">
        <f t="shared" si="13"/>
        <v>34913</v>
      </c>
      <c r="R24" s="33">
        <f t="shared" si="14"/>
        <v>0.104287801105605</v>
      </c>
      <c r="S24" s="33">
        <f t="shared" si="1"/>
        <v>1</v>
      </c>
      <c r="T24" s="6" t="str">
        <f t="shared" si="15"/>
        <v>Контейнеры: 31272 по ФГИС УТКО / 28955 по ТС</v>
      </c>
      <c r="U24" s="6" t="str">
        <f t="shared" si="5"/>
        <v>Наполнение ФГИС УТКО более 100%</v>
      </c>
      <c r="V24" s="34" t="str">
        <f t="shared" si="6"/>
        <v>Аномальные данные территориальной схемы</v>
      </c>
      <c r="X24" s="6">
        <f t="shared" si="7"/>
        <v>0.985245368179052</v>
      </c>
      <c r="Y24" s="6" t="str">
        <f t="shared" si="16"/>
        <v>ниже </v>
      </c>
      <c r="Z24" s="6" t="str">
        <f t="shared" si="17"/>
        <v>Обеспеченность контейнерами ниже среднего по России на 99%</v>
      </c>
      <c r="AA24" s="6" t="str">
        <f t="shared" si="18"/>
        <v>Потребность в контейнерах по данным субъекта 3641 шт. (10%)</v>
      </c>
      <c r="AB24" s="9" t="str">
        <f t="shared" si="19"/>
        <v>35/31/4 (10%)</v>
      </c>
    </row>
    <row r="25" spans="2:28">
      <c r="B25" s="25" t="s">
        <v>137</v>
      </c>
      <c r="C25" s="22">
        <f t="shared" si="8"/>
        <v>0</v>
      </c>
      <c r="D25" s="42">
        <f t="shared" si="2"/>
        <v>0</v>
      </c>
      <c r="E25" s="22">
        <f t="shared" si="9"/>
        <v>0</v>
      </c>
      <c r="F25" s="22">
        <f t="shared" si="3"/>
        <v>2</v>
      </c>
      <c r="G25" s="22">
        <f t="shared" si="10"/>
        <v>0</v>
      </c>
      <c r="H25" s="24">
        <v>2273417</v>
      </c>
      <c r="I25" s="37">
        <v>43066</v>
      </c>
      <c r="J25" s="37"/>
      <c r="K25" s="65">
        <v>53584</v>
      </c>
      <c r="L25" s="37">
        <v>414</v>
      </c>
      <c r="M25" s="24">
        <f t="shared" si="11"/>
        <v>53584</v>
      </c>
      <c r="N25" s="32">
        <f t="shared" si="0"/>
        <v>18.94329109002</v>
      </c>
      <c r="O25" s="32">
        <f t="shared" si="12"/>
        <v>23.569807034961</v>
      </c>
      <c r="P25" s="32">
        <f t="shared" si="4"/>
        <v>23.569807034961</v>
      </c>
      <c r="Q25" s="24">
        <f t="shared" si="13"/>
        <v>43480</v>
      </c>
      <c r="R25" s="33">
        <f t="shared" si="14"/>
        <v>0.00952161913523459</v>
      </c>
      <c r="S25" s="33">
        <f t="shared" si="1"/>
        <v>0.803710062705285</v>
      </c>
      <c r="T25" s="6" t="str">
        <f t="shared" si="15"/>
        <v>Контейнеры: 43066 по ФГИС УТКО / 53584 по ТС</v>
      </c>
      <c r="U25" s="6" t="str">
        <f t="shared" si="5"/>
        <v>Наполнение ФГИС УТКО 80%</v>
      </c>
      <c r="V25" s="34" t="str">
        <f t="shared" si="6"/>
        <v>Аномальные данные территориальной схемы</v>
      </c>
      <c r="X25" s="6">
        <f t="shared" si="7"/>
        <v>0.981624856312124</v>
      </c>
      <c r="Y25" s="6" t="str">
        <f t="shared" si="16"/>
        <v>ниже </v>
      </c>
      <c r="Z25" s="6" t="str">
        <f t="shared" si="17"/>
        <v>Обеспеченность контейнерами ниже среднего по России на 98%</v>
      </c>
      <c r="AA25" s="6" t="str">
        <f t="shared" si="18"/>
        <v>Потребность в контейнерах по данным субъекта 414 шт. (1%)</v>
      </c>
      <c r="AB25" s="9" t="str">
        <f t="shared" si="19"/>
        <v>43/43/0 (1%)</v>
      </c>
    </row>
    <row r="26" spans="2:27">
      <c r="B26" s="25" t="s">
        <v>68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24">
        <v>13149803</v>
      </c>
      <c r="I26" s="37">
        <v>0</v>
      </c>
      <c r="J26" s="37"/>
      <c r="K26" s="65">
        <v>135538</v>
      </c>
      <c r="L26" s="37">
        <v>0</v>
      </c>
      <c r="M26" s="24">
        <f t="shared" si="11"/>
        <v>135538</v>
      </c>
      <c r="N26" s="32">
        <f t="shared" si="0"/>
        <v>0</v>
      </c>
      <c r="O26" s="32">
        <f t="shared" si="12"/>
        <v>10.307226655791</v>
      </c>
      <c r="P26" s="32">
        <f t="shared" si="4"/>
        <v>10.307226655791</v>
      </c>
      <c r="Q26" s="24">
        <f t="shared" si="13"/>
        <v>0</v>
      </c>
      <c r="R26" s="33"/>
      <c r="S26" s="33">
        <f t="shared" si="1"/>
        <v>0</v>
      </c>
      <c r="T26" s="6" t="str">
        <f t="shared" si="15"/>
        <v>Контейнеры: 0 по ФГИС УТКО / 135538 по ТС</v>
      </c>
      <c r="U26" s="6" t="str">
        <f t="shared" si="5"/>
        <v>Наполнение ФГИС УТКО 0%</v>
      </c>
      <c r="V26" s="34" t="str">
        <f t="shared" si="6"/>
        <v>Аномальные данные территориальной схемы</v>
      </c>
      <c r="X26" s="6">
        <f t="shared" si="7"/>
        <v>1</v>
      </c>
      <c r="Y26" s="6" t="str">
        <f t="shared" si="16"/>
        <v>ниже </v>
      </c>
      <c r="Z26" s="6" t="str">
        <f t="shared" si="17"/>
        <v>Обеспеченность контейнерами ниже среднего по России на 100%</v>
      </c>
      <c r="AA26" s="6" t="str">
        <f t="shared" si="18"/>
        <v>Потребность в КП не представлена</v>
      </c>
    </row>
    <row r="27" spans="2:27">
      <c r="B27" s="25" t="s">
        <v>71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24">
        <v>5597763</v>
      </c>
      <c r="I27" s="37">
        <v>0</v>
      </c>
      <c r="J27" s="37"/>
      <c r="K27" s="65">
        <v>118203</v>
      </c>
      <c r="L27" s="37">
        <v>0</v>
      </c>
      <c r="M27" s="24">
        <f t="shared" si="11"/>
        <v>118203</v>
      </c>
      <c r="N27" s="32">
        <f t="shared" si="0"/>
        <v>0</v>
      </c>
      <c r="O27" s="32">
        <f t="shared" si="12"/>
        <v>21.1161137047067</v>
      </c>
      <c r="P27" s="32">
        <f t="shared" si="4"/>
        <v>21.1161137047067</v>
      </c>
      <c r="Q27" s="24">
        <f t="shared" si="13"/>
        <v>0</v>
      </c>
      <c r="R27" s="33"/>
      <c r="S27" s="33">
        <f t="shared" si="1"/>
        <v>0</v>
      </c>
      <c r="T27" s="6" t="str">
        <f t="shared" si="15"/>
        <v>Контейнеры: 0 по ФГИС УТКО / 118203 по ТС</v>
      </c>
      <c r="U27" s="6" t="str">
        <f t="shared" si="5"/>
        <v>Наполнение ФГИС УТКО 0%</v>
      </c>
      <c r="V27" s="34" t="str">
        <f t="shared" si="6"/>
        <v>Аномальные данные территориальной схемы</v>
      </c>
      <c r="X27" s="6">
        <f t="shared" si="7"/>
        <v>1</v>
      </c>
      <c r="Y27" s="6" t="str">
        <f t="shared" si="16"/>
        <v>ниже </v>
      </c>
      <c r="Z27" s="6" t="str">
        <f t="shared" si="17"/>
        <v>Обеспеченность контейнерами ниже среднего по России на 100%</v>
      </c>
      <c r="AA27" s="6" t="str">
        <f t="shared" si="18"/>
        <v>Потребность в КП не представлена</v>
      </c>
    </row>
    <row r="28" spans="2:27">
      <c r="B28" s="25" t="s">
        <v>118</v>
      </c>
      <c r="C28" s="64">
        <v>0</v>
      </c>
      <c r="D28" s="64">
        <v>0</v>
      </c>
      <c r="E28" s="64">
        <v>0</v>
      </c>
      <c r="F28" s="64">
        <v>0</v>
      </c>
      <c r="G28" s="64">
        <v>0</v>
      </c>
      <c r="H28" s="24">
        <v>561374</v>
      </c>
      <c r="I28" s="37">
        <v>0</v>
      </c>
      <c r="J28" s="37"/>
      <c r="K28" s="65">
        <v>4523</v>
      </c>
      <c r="L28" s="37">
        <v>6795</v>
      </c>
      <c r="M28" s="24">
        <f t="shared" si="11"/>
        <v>4523</v>
      </c>
      <c r="N28" s="32">
        <f t="shared" si="0"/>
        <v>0</v>
      </c>
      <c r="O28" s="32">
        <f t="shared" si="12"/>
        <v>8.05701724696904</v>
      </c>
      <c r="P28" s="32">
        <f t="shared" si="4"/>
        <v>8.05701724696904</v>
      </c>
      <c r="Q28" s="24">
        <f t="shared" si="13"/>
        <v>6795</v>
      </c>
      <c r="R28" s="33"/>
      <c r="S28" s="33">
        <f t="shared" si="1"/>
        <v>0</v>
      </c>
      <c r="T28" s="6" t="str">
        <f t="shared" si="15"/>
        <v>Контейнеры: 0 по ФГИС УТКО / 4523 по ТС</v>
      </c>
      <c r="U28" s="6" t="str">
        <f t="shared" si="5"/>
        <v>Наполнение ФГИС УТКО 0%</v>
      </c>
      <c r="V28" s="34" t="str">
        <f t="shared" si="6"/>
        <v>Аномальные данные территориальной схемы</v>
      </c>
      <c r="X28" s="6">
        <f t="shared" si="7"/>
        <v>0.997128355534519</v>
      </c>
      <c r="Y28" s="6" t="str">
        <f t="shared" si="16"/>
        <v>ниже </v>
      </c>
      <c r="Z28" s="6" t="str">
        <f t="shared" si="17"/>
        <v>Обеспеченность контейнерами ниже среднего по России на 100%</v>
      </c>
      <c r="AA28" s="6" t="str">
        <f t="shared" si="18"/>
        <v>Потребность в контейнерах по данным субъекта 6795 шт. (0%)</v>
      </c>
    </row>
    <row r="29" spans="2:22">
      <c r="B29" s="25" t="s">
        <v>160</v>
      </c>
      <c r="C29" s="64">
        <v>0</v>
      </c>
      <c r="D29" s="64">
        <v>0</v>
      </c>
      <c r="E29" s="64">
        <v>0</v>
      </c>
      <c r="F29" s="64">
        <v>0</v>
      </c>
      <c r="G29" s="64">
        <v>0</v>
      </c>
      <c r="H29" s="24"/>
      <c r="I29" s="37">
        <v>0</v>
      </c>
      <c r="J29" s="37"/>
      <c r="K29" s="65">
        <v>0</v>
      </c>
      <c r="L29" s="37">
        <v>0</v>
      </c>
      <c r="M29" s="24"/>
      <c r="N29" s="32"/>
      <c r="O29" s="32"/>
      <c r="P29" s="32"/>
      <c r="Q29" s="24">
        <f t="shared" si="13"/>
        <v>0</v>
      </c>
      <c r="R29" s="33"/>
      <c r="S29" s="33"/>
      <c r="T29" s="6"/>
      <c r="V29" s="34"/>
    </row>
    <row r="30" spans="2:28">
      <c r="B30" s="25" t="s">
        <v>131</v>
      </c>
      <c r="C30" s="22">
        <f t="shared" si="8"/>
        <v>2</v>
      </c>
      <c r="D30" s="42">
        <f t="shared" ref="D30:D92" si="20">E30*$E$11+F30*$F$11+G30*$G$11</f>
        <v>2</v>
      </c>
      <c r="E30" s="22">
        <f t="shared" si="9"/>
        <v>2</v>
      </c>
      <c r="F30" s="22">
        <f t="shared" ref="F30:F92" si="21">IF(S30&lt;$S$7,2,IF(S30&lt;$S$9,1,0))</f>
        <v>0</v>
      </c>
      <c r="G30" s="22">
        <f t="shared" ref="G30:G92" si="22">IF(OR(R30&gt;$R$8,R30&lt;=$R$7),2,IF(R30&gt;$R$10,1,0))</f>
        <v>2</v>
      </c>
      <c r="H30" s="24">
        <v>145802</v>
      </c>
      <c r="I30" s="37">
        <v>1997</v>
      </c>
      <c r="J30" s="37"/>
      <c r="K30" s="65">
        <v>0</v>
      </c>
      <c r="L30" s="37">
        <v>900</v>
      </c>
      <c r="M30" s="24">
        <f t="shared" si="11"/>
        <v>1997</v>
      </c>
      <c r="N30" s="32">
        <f t="shared" si="0"/>
        <v>13.6966571103277</v>
      </c>
      <c r="O30" s="32">
        <f t="shared" si="12"/>
        <v>0</v>
      </c>
      <c r="P30" s="32">
        <f t="shared" si="4"/>
        <v>13.6966571103277</v>
      </c>
      <c r="Q30" s="24">
        <f t="shared" si="13"/>
        <v>2897</v>
      </c>
      <c r="R30" s="33">
        <f t="shared" si="14"/>
        <v>0.310666206420435</v>
      </c>
      <c r="S30" s="33">
        <f t="shared" si="1"/>
        <v>1</v>
      </c>
      <c r="T30" s="6" t="str">
        <f t="shared" si="15"/>
        <v>Контейнеры: 1997 по ФГИС УТКО / 0 по ТС</v>
      </c>
      <c r="U30" s="6" t="str">
        <f t="shared" si="5"/>
        <v>Наполнение ФГИС УТКО более 100%</v>
      </c>
      <c r="V30" s="34" t="str">
        <f>IF(O30&gt;$O$8,$V$107,IF(Q30&gt;$Q$10,$V$108,IF(I30&gt;K30*(1+$K$10),$V$109,"")))</f>
        <v>Данные о количестве КП требуют проверки</v>
      </c>
      <c r="X30" s="6">
        <f t="shared" si="7"/>
        <v>0.998775694773142</v>
      </c>
      <c r="Y30" s="6" t="str">
        <f t="shared" si="16"/>
        <v>ниже </v>
      </c>
      <c r="Z30" s="6" t="str">
        <f t="shared" si="17"/>
        <v>Обеспеченность контейнерами ниже среднего по России на 100%</v>
      </c>
      <c r="AA30" s="6" t="str">
        <f t="shared" si="18"/>
        <v>Потребность в контейнерах по данным субъекта 900 шт. (31%)</v>
      </c>
      <c r="AB30" s="9" t="str">
        <f t="shared" si="19"/>
        <v>3/2/1 (31%)</v>
      </c>
    </row>
    <row r="31" spans="2:28">
      <c r="B31" s="25" t="s">
        <v>155</v>
      </c>
      <c r="C31" s="22">
        <f t="shared" si="8"/>
        <v>2</v>
      </c>
      <c r="D31" s="42">
        <f t="shared" si="20"/>
        <v>2</v>
      </c>
      <c r="E31" s="22">
        <f t="shared" si="9"/>
        <v>0</v>
      </c>
      <c r="F31" s="22">
        <f t="shared" si="21"/>
        <v>0</v>
      </c>
      <c r="G31" s="22">
        <f t="shared" si="22"/>
        <v>2</v>
      </c>
      <c r="H31" s="24">
        <v>984395</v>
      </c>
      <c r="I31" s="37">
        <v>10664</v>
      </c>
      <c r="J31" s="37"/>
      <c r="K31" s="65">
        <v>8880</v>
      </c>
      <c r="L31" s="37">
        <v>10047</v>
      </c>
      <c r="M31" s="24">
        <f t="shared" si="11"/>
        <v>10664</v>
      </c>
      <c r="N31" s="32">
        <f t="shared" si="0"/>
        <v>10.8330497412116</v>
      </c>
      <c r="O31" s="32">
        <f t="shared" si="12"/>
        <v>9.02076910183412</v>
      </c>
      <c r="P31" s="32">
        <f t="shared" si="4"/>
        <v>10.8330497412116</v>
      </c>
      <c r="Q31" s="24">
        <f t="shared" si="13"/>
        <v>20711</v>
      </c>
      <c r="R31" s="33">
        <f t="shared" si="14"/>
        <v>0.485104533822606</v>
      </c>
      <c r="S31" s="33">
        <f t="shared" si="1"/>
        <v>1</v>
      </c>
      <c r="T31" s="6" t="str">
        <f t="shared" si="15"/>
        <v>Контейнеры: 10664 по ФГИС УТКО / 8880 по ТС</v>
      </c>
      <c r="U31" s="6" t="str">
        <f t="shared" si="5"/>
        <v>Наполнение ФГИС УТКО более 100%</v>
      </c>
      <c r="V31" s="34" t="str">
        <f>IF(O31&gt;$O$8,$V$107,IF(Q31&gt;$Q$10,$V$108,IF(I31&gt;K31*(1+$K$10),$V$109,"")))</f>
        <v>Аномальные данные территориальной схемы</v>
      </c>
      <c r="X31" s="6">
        <f t="shared" si="7"/>
        <v>0.991247295287038</v>
      </c>
      <c r="Y31" s="6" t="str">
        <f t="shared" si="16"/>
        <v>ниже </v>
      </c>
      <c r="Z31" s="6" t="str">
        <f t="shared" si="17"/>
        <v>Обеспеченность контейнерами ниже среднего по России на 99%</v>
      </c>
      <c r="AA31" s="6" t="str">
        <f t="shared" si="18"/>
        <v>Потребность в контейнерах по данным субъекта 10047 шт. (49%)</v>
      </c>
      <c r="AB31" s="9" t="str">
        <f t="shared" si="19"/>
        <v>21/11/10 (49%)</v>
      </c>
    </row>
    <row r="32" spans="2:22">
      <c r="B32" s="25" t="s">
        <v>161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24"/>
      <c r="I32" s="37">
        <v>0</v>
      </c>
      <c r="J32" s="37"/>
      <c r="K32" s="65">
        <v>0</v>
      </c>
      <c r="L32" s="37">
        <v>0</v>
      </c>
      <c r="M32" s="24"/>
      <c r="N32" s="32"/>
      <c r="O32" s="32"/>
      <c r="P32" s="32"/>
      <c r="Q32" s="24">
        <f t="shared" si="13"/>
        <v>0</v>
      </c>
      <c r="R32" s="33"/>
      <c r="S32" s="33"/>
      <c r="T32" s="6"/>
      <c r="V32" s="34"/>
    </row>
    <row r="33" spans="2:28">
      <c r="B33" s="25" t="s">
        <v>81</v>
      </c>
      <c r="C33" s="22">
        <f t="shared" si="8"/>
        <v>2</v>
      </c>
      <c r="D33" s="42">
        <f t="shared" si="20"/>
        <v>2</v>
      </c>
      <c r="E33" s="22">
        <f t="shared" si="9"/>
        <v>2</v>
      </c>
      <c r="F33" s="22">
        <f t="shared" si="21"/>
        <v>0</v>
      </c>
      <c r="G33" s="22">
        <f t="shared" si="22"/>
        <v>2</v>
      </c>
      <c r="H33" s="24">
        <v>905900</v>
      </c>
      <c r="I33" s="37">
        <v>11785</v>
      </c>
      <c r="J33" s="37"/>
      <c r="K33" s="65">
        <v>265</v>
      </c>
      <c r="L33" s="37">
        <v>0</v>
      </c>
      <c r="M33" s="24">
        <f t="shared" si="11"/>
        <v>11785</v>
      </c>
      <c r="N33" s="32">
        <f t="shared" si="0"/>
        <v>13.0091621591787</v>
      </c>
      <c r="O33" s="32">
        <f t="shared" si="12"/>
        <v>0.292526768959046</v>
      </c>
      <c r="P33" s="32">
        <f t="shared" si="4"/>
        <v>13.0091621591787</v>
      </c>
      <c r="Q33" s="24">
        <f t="shared" si="13"/>
        <v>11785</v>
      </c>
      <c r="R33" s="33">
        <f t="shared" si="14"/>
        <v>0</v>
      </c>
      <c r="S33" s="33">
        <f t="shared" si="1"/>
        <v>1</v>
      </c>
      <c r="T33" s="6" t="str">
        <f t="shared" si="15"/>
        <v>Контейнеры: 11785 по ФГИС УТКО / 265 по ТС</v>
      </c>
      <c r="U33" s="6" t="str">
        <f t="shared" si="5"/>
        <v>Наполнение ФГИС УТКО более 100%</v>
      </c>
      <c r="V33" s="34" t="str">
        <f t="shared" ref="V33:V48" si="23">IF(O33&gt;$O$8,$V$107,IF(Q33&gt;$Q$10,$V$108,IF(I33&gt;K33*(1+$K$10),$V$109,"")))</f>
        <v>Аномальные данные территориальной схемы</v>
      </c>
      <c r="X33" s="6">
        <f t="shared" si="7"/>
        <v>0.995019524646697</v>
      </c>
      <c r="Y33" s="6" t="str">
        <f t="shared" si="16"/>
        <v>ниже </v>
      </c>
      <c r="Z33" s="6" t="str">
        <f t="shared" si="17"/>
        <v>Обеспеченность контейнерами ниже среднего по России на 100%</v>
      </c>
      <c r="AA33" s="6" t="str">
        <f t="shared" si="18"/>
        <v>Потребность в КП не представлена</v>
      </c>
      <c r="AB33" s="9" t="str">
        <f t="shared" si="19"/>
        <v>12/12/0 (0%)</v>
      </c>
    </row>
    <row r="34" spans="2:28">
      <c r="B34" s="25" t="s">
        <v>148</v>
      </c>
      <c r="C34" s="22">
        <f t="shared" si="8"/>
        <v>0</v>
      </c>
      <c r="D34" s="42">
        <f t="shared" si="20"/>
        <v>0</v>
      </c>
      <c r="E34" s="22">
        <f t="shared" si="9"/>
        <v>0</v>
      </c>
      <c r="F34" s="22">
        <f t="shared" si="21"/>
        <v>2</v>
      </c>
      <c r="G34" s="22">
        <f t="shared" si="22"/>
        <v>0</v>
      </c>
      <c r="H34" s="24">
        <v>2330537</v>
      </c>
      <c r="I34" s="37">
        <v>51790</v>
      </c>
      <c r="J34" s="37"/>
      <c r="K34" s="65">
        <v>69618</v>
      </c>
      <c r="L34" s="37">
        <v>8699</v>
      </c>
      <c r="M34" s="24">
        <f t="shared" si="11"/>
        <v>69618</v>
      </c>
      <c r="N34" s="32">
        <f t="shared" si="0"/>
        <v>22.2223461803009</v>
      </c>
      <c r="O34" s="32">
        <f t="shared" si="12"/>
        <v>29.8720852747671</v>
      </c>
      <c r="P34" s="32">
        <f t="shared" si="4"/>
        <v>29.8720852747671</v>
      </c>
      <c r="Q34" s="24">
        <f t="shared" si="13"/>
        <v>60489</v>
      </c>
      <c r="R34" s="33">
        <f t="shared" si="14"/>
        <v>0.143811271470846</v>
      </c>
      <c r="S34" s="33">
        <f t="shared" si="1"/>
        <v>0.743916803125628</v>
      </c>
      <c r="T34" s="6" t="str">
        <f t="shared" si="15"/>
        <v>Контейнеры: 51790 по ФГИС УТКО / 69618 по ТС</v>
      </c>
      <c r="U34" s="6" t="str">
        <f t="shared" si="5"/>
        <v>Наполнение ФГИС УТКО 74%</v>
      </c>
      <c r="V34" s="34" t="str">
        <f t="shared" si="23"/>
        <v>Аномальные данные территориальной схемы</v>
      </c>
      <c r="X34" s="6">
        <f t="shared" si="7"/>
        <v>0.974436659003313</v>
      </c>
      <c r="Y34" s="6" t="str">
        <f t="shared" si="16"/>
        <v>ниже </v>
      </c>
      <c r="Z34" s="6" t="str">
        <f t="shared" si="17"/>
        <v>Обеспеченность контейнерами ниже среднего по России на 97%</v>
      </c>
      <c r="AA34" s="6" t="str">
        <f t="shared" si="18"/>
        <v>Потребность в контейнерах по данным субъекта 8699 шт. (14%)</v>
      </c>
      <c r="AB34" s="9" t="str">
        <f t="shared" si="19"/>
        <v>60/52/9 (14%)</v>
      </c>
    </row>
    <row r="35" spans="2:28">
      <c r="B35" s="25" t="s">
        <v>126</v>
      </c>
      <c r="C35" s="22">
        <f t="shared" si="8"/>
        <v>2</v>
      </c>
      <c r="D35" s="42">
        <f t="shared" si="20"/>
        <v>2</v>
      </c>
      <c r="E35" s="22">
        <f t="shared" si="9"/>
        <v>0</v>
      </c>
      <c r="F35" s="22">
        <f t="shared" si="21"/>
        <v>2</v>
      </c>
      <c r="G35" s="22">
        <f t="shared" si="22"/>
        <v>2</v>
      </c>
      <c r="H35" s="24">
        <v>905464</v>
      </c>
      <c r="I35" s="37">
        <v>3147</v>
      </c>
      <c r="J35" s="37"/>
      <c r="K35" s="65">
        <v>7763</v>
      </c>
      <c r="L35" s="37">
        <v>0</v>
      </c>
      <c r="M35" s="24">
        <f t="shared" si="11"/>
        <v>7763</v>
      </c>
      <c r="N35" s="32">
        <f t="shared" si="0"/>
        <v>3.47556611858671</v>
      </c>
      <c r="O35" s="32">
        <f t="shared" si="12"/>
        <v>8.57350485496939</v>
      </c>
      <c r="P35" s="32">
        <f t="shared" si="4"/>
        <v>8.57350485496939</v>
      </c>
      <c r="Q35" s="24">
        <f t="shared" si="13"/>
        <v>3147</v>
      </c>
      <c r="R35" s="33">
        <f t="shared" si="14"/>
        <v>0</v>
      </c>
      <c r="S35" s="33">
        <f t="shared" si="1"/>
        <v>0.405384516295247</v>
      </c>
      <c r="T35" s="6" t="str">
        <f t="shared" si="15"/>
        <v>Контейнеры: 3147 по ФГИС УТКО / 7763 по ТС</v>
      </c>
      <c r="U35" s="6" t="str">
        <f t="shared" si="5"/>
        <v>Наполнение ФГИС УТКО 41%</v>
      </c>
      <c r="V35" s="34" t="str">
        <f t="shared" si="23"/>
        <v>Аномальные данные территориальной схемы</v>
      </c>
      <c r="X35" s="6">
        <f t="shared" si="7"/>
        <v>0.998670041923051</v>
      </c>
      <c r="Y35" s="6" t="str">
        <f t="shared" si="16"/>
        <v>ниже </v>
      </c>
      <c r="Z35" s="6" t="str">
        <f t="shared" si="17"/>
        <v>Обеспеченность контейнерами ниже среднего по России на 100%</v>
      </c>
      <c r="AA35" s="6" t="str">
        <f t="shared" si="18"/>
        <v>Потребность в КП не представлена</v>
      </c>
      <c r="AB35" s="9" t="str">
        <f t="shared" si="19"/>
        <v>3/3/0 (0%)</v>
      </c>
    </row>
    <row r="36" spans="2:28">
      <c r="B36" s="25" t="s">
        <v>119</v>
      </c>
      <c r="C36" s="22">
        <f t="shared" si="8"/>
        <v>1</v>
      </c>
      <c r="D36" s="42">
        <f t="shared" si="20"/>
        <v>1</v>
      </c>
      <c r="E36" s="22">
        <f t="shared" si="9"/>
        <v>0</v>
      </c>
      <c r="F36" s="22">
        <f t="shared" si="21"/>
        <v>0</v>
      </c>
      <c r="G36" s="22">
        <f t="shared" si="22"/>
        <v>1</v>
      </c>
      <c r="H36" s="24">
        <v>1033914</v>
      </c>
      <c r="I36" s="37">
        <v>19874</v>
      </c>
      <c r="J36" s="37"/>
      <c r="K36" s="65">
        <v>17179</v>
      </c>
      <c r="L36" s="37">
        <v>4952</v>
      </c>
      <c r="M36" s="24">
        <f t="shared" si="11"/>
        <v>19874</v>
      </c>
      <c r="N36" s="32">
        <f t="shared" si="0"/>
        <v>19.2221016448177</v>
      </c>
      <c r="O36" s="32">
        <f t="shared" si="12"/>
        <v>16.6155018695946</v>
      </c>
      <c r="P36" s="32">
        <f t="shared" si="4"/>
        <v>19.2221016448177</v>
      </c>
      <c r="Q36" s="24">
        <f t="shared" si="13"/>
        <v>24826</v>
      </c>
      <c r="R36" s="33">
        <f t="shared" si="14"/>
        <v>0.19946829936357</v>
      </c>
      <c r="S36" s="33">
        <f t="shared" si="1"/>
        <v>1</v>
      </c>
      <c r="T36" s="6" t="str">
        <f t="shared" si="15"/>
        <v>Контейнеры: 19874 по ФГИС УТКО / 17179 по ТС</v>
      </c>
      <c r="U36" s="6" t="str">
        <f t="shared" si="5"/>
        <v>Наполнение ФГИС УТКО более 100%</v>
      </c>
      <c r="V36" s="34" t="str">
        <f t="shared" si="23"/>
        <v>Аномальные данные территориальной схемы</v>
      </c>
      <c r="X36" s="6">
        <f t="shared" si="7"/>
        <v>0.989508249374535</v>
      </c>
      <c r="Y36" s="6" t="str">
        <f t="shared" si="16"/>
        <v>ниже </v>
      </c>
      <c r="Z36" s="6" t="str">
        <f t="shared" si="17"/>
        <v>Обеспеченность контейнерами ниже среднего по России на 99%</v>
      </c>
      <c r="AA36" s="6" t="str">
        <f t="shared" si="18"/>
        <v>Потребность в контейнерах по данным субъекта 4952 шт. (20%)</v>
      </c>
      <c r="AB36" s="9" t="str">
        <f t="shared" si="19"/>
        <v>25/20/5 (20%)</v>
      </c>
    </row>
    <row r="37" spans="2:28">
      <c r="B37" s="25" t="s">
        <v>87</v>
      </c>
      <c r="C37" s="22">
        <f t="shared" si="8"/>
        <v>0</v>
      </c>
      <c r="D37" s="42">
        <f t="shared" si="20"/>
        <v>0</v>
      </c>
      <c r="E37" s="22">
        <f t="shared" si="9"/>
        <v>0</v>
      </c>
      <c r="F37" s="22">
        <f t="shared" si="21"/>
        <v>0</v>
      </c>
      <c r="G37" s="22">
        <f t="shared" si="22"/>
        <v>0</v>
      </c>
      <c r="H37" s="24">
        <v>1068410</v>
      </c>
      <c r="I37" s="37">
        <v>20456</v>
      </c>
      <c r="J37" s="37"/>
      <c r="K37" s="65">
        <v>20251</v>
      </c>
      <c r="L37" s="37">
        <v>1248</v>
      </c>
      <c r="M37" s="24">
        <f t="shared" si="11"/>
        <v>20456</v>
      </c>
      <c r="N37" s="32">
        <f t="shared" si="0"/>
        <v>19.1462079164366</v>
      </c>
      <c r="O37" s="32">
        <f t="shared" si="12"/>
        <v>18.9543340103518</v>
      </c>
      <c r="P37" s="32">
        <f t="shared" si="4"/>
        <v>19.1462079164366</v>
      </c>
      <c r="Q37" s="24">
        <f t="shared" si="13"/>
        <v>21704</v>
      </c>
      <c r="R37" s="33">
        <f t="shared" si="14"/>
        <v>0.0575009214891264</v>
      </c>
      <c r="S37" s="33">
        <f t="shared" si="1"/>
        <v>1</v>
      </c>
      <c r="T37" s="6" t="str">
        <f t="shared" si="15"/>
        <v>Контейнеры: 20456 по ФГИС УТКО / 20251 по ТС</v>
      </c>
      <c r="U37" s="6" t="str">
        <f t="shared" si="5"/>
        <v>Наполнение ФГИС УТКО более 100%</v>
      </c>
      <c r="V37" s="34" t="str">
        <f t="shared" si="23"/>
        <v>Аномальные данные территориальной схемы</v>
      </c>
      <c r="X37" s="6">
        <f t="shared" si="7"/>
        <v>0.990827642166475</v>
      </c>
      <c r="Y37" s="6" t="str">
        <f t="shared" si="16"/>
        <v>ниже </v>
      </c>
      <c r="Z37" s="6" t="str">
        <f t="shared" si="17"/>
        <v>Обеспеченность контейнерами ниже среднего по России на 99%</v>
      </c>
      <c r="AA37" s="6" t="str">
        <f t="shared" si="18"/>
        <v>Потребность в контейнерах по данным субъекта 1248 шт. (6%)</v>
      </c>
      <c r="AB37" s="9" t="str">
        <f t="shared" si="19"/>
        <v>22/20/1 (6%)</v>
      </c>
    </row>
    <row r="38" spans="2:28">
      <c r="B38" s="25" t="s">
        <v>134</v>
      </c>
      <c r="C38" s="22">
        <f t="shared" si="8"/>
        <v>0</v>
      </c>
      <c r="D38" s="42">
        <f t="shared" si="20"/>
        <v>0</v>
      </c>
      <c r="E38" s="22">
        <f t="shared" si="9"/>
        <v>0</v>
      </c>
      <c r="F38" s="22">
        <f t="shared" si="21"/>
        <v>0</v>
      </c>
      <c r="G38" s="22">
        <f t="shared" si="22"/>
        <v>0</v>
      </c>
      <c r="H38" s="24">
        <v>288947</v>
      </c>
      <c r="I38" s="37">
        <v>4400</v>
      </c>
      <c r="J38" s="37"/>
      <c r="K38" s="65">
        <v>2690</v>
      </c>
      <c r="L38" s="37">
        <v>700</v>
      </c>
      <c r="M38" s="24">
        <f t="shared" si="11"/>
        <v>4400</v>
      </c>
      <c r="N38" s="32">
        <f t="shared" si="0"/>
        <v>15.2277061191153</v>
      </c>
      <c r="O38" s="32">
        <f t="shared" si="12"/>
        <v>9.30966578645911</v>
      </c>
      <c r="P38" s="32">
        <f t="shared" si="4"/>
        <v>15.2277061191153</v>
      </c>
      <c r="Q38" s="24">
        <f t="shared" si="13"/>
        <v>5100</v>
      </c>
      <c r="R38" s="33">
        <f t="shared" si="14"/>
        <v>0.137254901960784</v>
      </c>
      <c r="S38" s="33">
        <f t="shared" si="1"/>
        <v>1</v>
      </c>
      <c r="T38" s="6" t="str">
        <f t="shared" si="15"/>
        <v>Контейнеры: 4400 по ФГИС УТКО / 2690 по ТС</v>
      </c>
      <c r="U38" s="6" t="str">
        <f t="shared" si="5"/>
        <v>Наполнение ФГИС УТКО более 100%</v>
      </c>
      <c r="V38" s="34" t="str">
        <f t="shared" si="23"/>
        <v>Аномальные данные территориальной схемы</v>
      </c>
      <c r="X38" s="6">
        <f t="shared" si="7"/>
        <v>0.997844681858138</v>
      </c>
      <c r="Y38" s="6" t="str">
        <f t="shared" si="16"/>
        <v>ниже </v>
      </c>
      <c r="Z38" s="6" t="str">
        <f t="shared" si="17"/>
        <v>Обеспеченность контейнерами ниже среднего по России на 100%</v>
      </c>
      <c r="AA38" s="6" t="str">
        <f t="shared" si="18"/>
        <v>Потребность в контейнерах по данным субъекта 700 шт. (14%)</v>
      </c>
      <c r="AB38" s="9" t="str">
        <f t="shared" si="19"/>
        <v>5/4/1 (14%)</v>
      </c>
    </row>
    <row r="39" spans="2:28">
      <c r="B39" s="25" t="s">
        <v>138</v>
      </c>
      <c r="C39" s="22">
        <f t="shared" si="8"/>
        <v>2</v>
      </c>
      <c r="D39" s="42">
        <f t="shared" si="20"/>
        <v>2</v>
      </c>
      <c r="E39" s="22">
        <f t="shared" si="9"/>
        <v>0</v>
      </c>
      <c r="F39" s="22">
        <f t="shared" si="21"/>
        <v>2</v>
      </c>
      <c r="G39" s="22">
        <f t="shared" si="22"/>
        <v>2</v>
      </c>
      <c r="H39" s="24">
        <v>468322</v>
      </c>
      <c r="I39" s="37">
        <v>2474</v>
      </c>
      <c r="J39" s="37"/>
      <c r="K39" s="65">
        <v>4333</v>
      </c>
      <c r="L39" s="37">
        <v>1500</v>
      </c>
      <c r="M39" s="24">
        <f t="shared" si="11"/>
        <v>4333</v>
      </c>
      <c r="N39" s="32">
        <f t="shared" si="0"/>
        <v>5.28269011492093</v>
      </c>
      <c r="O39" s="32">
        <f t="shared" si="12"/>
        <v>9.25218119157332</v>
      </c>
      <c r="P39" s="32">
        <f t="shared" si="4"/>
        <v>9.25218119157332</v>
      </c>
      <c r="Q39" s="24">
        <f t="shared" si="13"/>
        <v>3974</v>
      </c>
      <c r="R39" s="33">
        <f t="shared" si="14"/>
        <v>0.377453447408153</v>
      </c>
      <c r="S39" s="33">
        <f t="shared" si="1"/>
        <v>0.570966997461343</v>
      </c>
      <c r="T39" s="6" t="str">
        <f t="shared" si="15"/>
        <v>Контейнеры: 2474 по ФГИС УТКО / 4333 по ТС</v>
      </c>
      <c r="U39" s="6" t="str">
        <f t="shared" si="5"/>
        <v>Наполнение ФГИС УТКО 57%</v>
      </c>
      <c r="V39" s="34" t="str">
        <f t="shared" si="23"/>
        <v>Аномальные данные территориальной схемы</v>
      </c>
      <c r="X39" s="6">
        <f t="shared" si="7"/>
        <v>0.998320542294949</v>
      </c>
      <c r="Y39" s="6" t="str">
        <f t="shared" si="16"/>
        <v>ниже </v>
      </c>
      <c r="Z39" s="6" t="str">
        <f t="shared" si="17"/>
        <v>Обеспеченность контейнерами ниже среднего по России на 100%</v>
      </c>
      <c r="AA39" s="6" t="str">
        <f t="shared" si="18"/>
        <v>Потребность в контейнерах по данным субъекта 1500 шт. (38%)</v>
      </c>
      <c r="AB39" s="9" t="str">
        <f t="shared" si="19"/>
        <v>4/2/2 (38%)</v>
      </c>
    </row>
    <row r="40" spans="2:28">
      <c r="B40" s="25" t="s">
        <v>109</v>
      </c>
      <c r="C40" s="22">
        <f t="shared" si="8"/>
        <v>2</v>
      </c>
      <c r="D40" s="42">
        <f t="shared" si="20"/>
        <v>2</v>
      </c>
      <c r="E40" s="22">
        <f t="shared" si="9"/>
        <v>0</v>
      </c>
      <c r="F40" s="22">
        <f t="shared" si="21"/>
        <v>0</v>
      </c>
      <c r="G40" s="22">
        <f t="shared" si="22"/>
        <v>2</v>
      </c>
      <c r="H40" s="24">
        <v>2547684</v>
      </c>
      <c r="I40" s="37">
        <v>65282</v>
      </c>
      <c r="J40" s="37"/>
      <c r="K40" s="65">
        <v>64576</v>
      </c>
      <c r="L40" s="37">
        <v>0</v>
      </c>
      <c r="M40" s="24">
        <f t="shared" si="11"/>
        <v>65282</v>
      </c>
      <c r="N40" s="32">
        <f t="shared" si="0"/>
        <v>25.6240569866593</v>
      </c>
      <c r="O40" s="32">
        <f t="shared" si="12"/>
        <v>25.3469425564552</v>
      </c>
      <c r="P40" s="32">
        <f t="shared" si="4"/>
        <v>25.6240569866593</v>
      </c>
      <c r="Q40" s="24">
        <f t="shared" si="13"/>
        <v>65282</v>
      </c>
      <c r="R40" s="33">
        <f t="shared" si="14"/>
        <v>0</v>
      </c>
      <c r="S40" s="33">
        <f t="shared" si="1"/>
        <v>1</v>
      </c>
      <c r="T40" s="6" t="str">
        <f t="shared" si="15"/>
        <v>Контейнеры: 65282 по ФГИС УТКО / 64576 по ТС</v>
      </c>
      <c r="U40" s="6" t="str">
        <f t="shared" si="5"/>
        <v>Наполнение ФГИС УТКО более 100%</v>
      </c>
      <c r="V40" s="34" t="str">
        <f t="shared" si="23"/>
        <v>Аномальные данные территориальной схемы</v>
      </c>
      <c r="X40" s="6">
        <f t="shared" si="7"/>
        <v>0.972411082561363</v>
      </c>
      <c r="Y40" s="6" t="str">
        <f t="shared" si="16"/>
        <v>ниже </v>
      </c>
      <c r="Z40" s="6" t="str">
        <f t="shared" si="17"/>
        <v>Обеспеченность контейнерами ниже среднего по России на 97%</v>
      </c>
      <c r="AA40" s="6" t="str">
        <f t="shared" si="18"/>
        <v>Потребность в КП не представлена</v>
      </c>
      <c r="AB40" s="9" t="str">
        <f t="shared" si="19"/>
        <v>65/65/0 (0%)</v>
      </c>
    </row>
    <row r="41" spans="2:28">
      <c r="B41" s="25" t="s">
        <v>76</v>
      </c>
      <c r="C41" s="22">
        <f t="shared" si="8"/>
        <v>1</v>
      </c>
      <c r="D41" s="42">
        <f t="shared" si="20"/>
        <v>1</v>
      </c>
      <c r="E41" s="22">
        <f t="shared" si="9"/>
        <v>0</v>
      </c>
      <c r="F41" s="22">
        <f t="shared" si="21"/>
        <v>2</v>
      </c>
      <c r="G41" s="22">
        <f t="shared" si="22"/>
        <v>1</v>
      </c>
      <c r="H41" s="24">
        <v>1129935</v>
      </c>
      <c r="I41" s="37">
        <v>19704</v>
      </c>
      <c r="J41" s="37"/>
      <c r="K41" s="65">
        <v>30331</v>
      </c>
      <c r="L41" s="37">
        <v>4602</v>
      </c>
      <c r="M41" s="24">
        <f t="shared" si="11"/>
        <v>30331</v>
      </c>
      <c r="N41" s="32">
        <f t="shared" si="0"/>
        <v>17.4381712222384</v>
      </c>
      <c r="O41" s="32">
        <f t="shared" si="12"/>
        <v>26.8431369946059</v>
      </c>
      <c r="P41" s="32">
        <f t="shared" si="4"/>
        <v>26.8431369946059</v>
      </c>
      <c r="Q41" s="24">
        <f t="shared" si="13"/>
        <v>24306</v>
      </c>
      <c r="R41" s="33">
        <f t="shared" si="14"/>
        <v>0.189335966428042</v>
      </c>
      <c r="S41" s="33">
        <f t="shared" si="1"/>
        <v>0.649632389304672</v>
      </c>
      <c r="T41" s="6" t="str">
        <f t="shared" si="15"/>
        <v>Контейнеры: 19704 по ФГИС УТКО / 30331 по ТС</v>
      </c>
      <c r="U41" s="6" t="str">
        <f t="shared" si="5"/>
        <v>Наполнение ФГИС УТКО 65%</v>
      </c>
      <c r="V41" s="34" t="str">
        <f t="shared" si="23"/>
        <v>Аномальные данные территориальной схемы</v>
      </c>
      <c r="X41" s="6">
        <f t="shared" si="7"/>
        <v>0.989728007302725</v>
      </c>
      <c r="Y41" s="6" t="str">
        <f t="shared" si="16"/>
        <v>ниже </v>
      </c>
      <c r="Z41" s="6" t="str">
        <f t="shared" si="17"/>
        <v>Обеспеченность контейнерами ниже среднего по России на 99%</v>
      </c>
      <c r="AA41" s="6" t="str">
        <f t="shared" si="18"/>
        <v>Потребность в контейнерах по данным субъекта 4602 шт. (19%)</v>
      </c>
      <c r="AB41" s="9" t="str">
        <f t="shared" si="19"/>
        <v>24/20/5 (19%)</v>
      </c>
    </row>
    <row r="42" spans="2:28">
      <c r="B42" s="25" t="s">
        <v>89</v>
      </c>
      <c r="C42" s="22">
        <f t="shared" si="8"/>
        <v>0</v>
      </c>
      <c r="D42" s="42">
        <f t="shared" si="20"/>
        <v>0</v>
      </c>
      <c r="E42" s="22">
        <f t="shared" si="9"/>
        <v>0</v>
      </c>
      <c r="F42" s="22">
        <f t="shared" si="21"/>
        <v>1</v>
      </c>
      <c r="G42" s="22">
        <f t="shared" si="22"/>
        <v>0</v>
      </c>
      <c r="H42" s="24">
        <v>566266</v>
      </c>
      <c r="I42" s="37">
        <v>11159</v>
      </c>
      <c r="J42" s="37"/>
      <c r="K42" s="65">
        <v>13495</v>
      </c>
      <c r="L42" s="37">
        <v>508</v>
      </c>
      <c r="M42" s="24">
        <f t="shared" si="11"/>
        <v>13495</v>
      </c>
      <c r="N42" s="32">
        <f t="shared" si="0"/>
        <v>19.7062864448863</v>
      </c>
      <c r="O42" s="32">
        <f t="shared" si="12"/>
        <v>23.8315561944387</v>
      </c>
      <c r="P42" s="32">
        <f t="shared" si="4"/>
        <v>23.8315561944387</v>
      </c>
      <c r="Q42" s="24">
        <f t="shared" si="13"/>
        <v>11667</v>
      </c>
      <c r="R42" s="33">
        <f t="shared" si="14"/>
        <v>0.0435416130967687</v>
      </c>
      <c r="S42" s="33">
        <f t="shared" si="1"/>
        <v>0.826898851426454</v>
      </c>
      <c r="T42" s="6" t="str">
        <f t="shared" si="15"/>
        <v>Контейнеры: 11159 по ФГИС УТКО / 13495 по ТС</v>
      </c>
      <c r="U42" s="6" t="str">
        <f t="shared" si="5"/>
        <v>Наполнение ФГИС УТКО 83%</v>
      </c>
      <c r="V42" s="34" t="str">
        <f t="shared" si="23"/>
        <v>Аномальные данные территориальной схемы</v>
      </c>
      <c r="X42" s="6">
        <f t="shared" si="7"/>
        <v>0.99506939279194</v>
      </c>
      <c r="Y42" s="6" t="str">
        <f t="shared" si="16"/>
        <v>ниже </v>
      </c>
      <c r="Z42" s="6" t="str">
        <f t="shared" si="17"/>
        <v>Обеспеченность контейнерами ниже среднего по России на 100%</v>
      </c>
      <c r="AA42" s="6" t="str">
        <f t="shared" si="18"/>
        <v>Потребность в контейнерах по данным субъекта 508 шт. (4%)</v>
      </c>
      <c r="AB42" s="9" t="str">
        <f t="shared" si="19"/>
        <v>12/11/1 (4%)</v>
      </c>
    </row>
    <row r="43" spans="2:28">
      <c r="B43" s="25" t="s">
        <v>141</v>
      </c>
      <c r="C43" s="22">
        <f t="shared" si="8"/>
        <v>1</v>
      </c>
      <c r="D43" s="42">
        <f t="shared" si="20"/>
        <v>1</v>
      </c>
      <c r="E43" s="22">
        <f t="shared" si="9"/>
        <v>0</v>
      </c>
      <c r="F43" s="22">
        <f t="shared" si="21"/>
        <v>2</v>
      </c>
      <c r="G43" s="22">
        <f t="shared" si="22"/>
        <v>1</v>
      </c>
      <c r="H43" s="24">
        <v>5833002</v>
      </c>
      <c r="I43" s="37">
        <v>42974</v>
      </c>
      <c r="J43" s="37"/>
      <c r="K43" s="65">
        <v>93828</v>
      </c>
      <c r="L43" s="37">
        <v>14336</v>
      </c>
      <c r="M43" s="24">
        <f t="shared" si="11"/>
        <v>93828</v>
      </c>
      <c r="N43" s="32">
        <f t="shared" si="0"/>
        <v>7.36738989631754</v>
      </c>
      <c r="O43" s="32">
        <f t="shared" si="12"/>
        <v>16.0857136685364</v>
      </c>
      <c r="P43" s="32">
        <f t="shared" si="4"/>
        <v>16.0857136685364</v>
      </c>
      <c r="Q43" s="24">
        <f t="shared" si="13"/>
        <v>57310</v>
      </c>
      <c r="R43" s="33">
        <f t="shared" si="14"/>
        <v>0.250148316175188</v>
      </c>
      <c r="S43" s="33">
        <f t="shared" si="1"/>
        <v>0.458008270452317</v>
      </c>
      <c r="T43" s="6" t="str">
        <f t="shared" si="15"/>
        <v>Контейнеры: 42974 по ФГИС УТКО / 93828 по ТС</v>
      </c>
      <c r="U43" s="6" t="str">
        <f t="shared" si="5"/>
        <v>Наполнение ФГИС УТКО 46%</v>
      </c>
      <c r="V43" s="34" t="str">
        <f t="shared" si="23"/>
        <v>Аномальные данные территориальной схемы</v>
      </c>
      <c r="X43" s="6">
        <f t="shared" si="7"/>
        <v>0.975780140645074</v>
      </c>
      <c r="Y43" s="6" t="str">
        <f t="shared" si="16"/>
        <v>ниже </v>
      </c>
      <c r="Z43" s="6" t="str">
        <f t="shared" si="17"/>
        <v>Обеспеченность контейнерами ниже среднего по России на 98%</v>
      </c>
      <c r="AA43" s="6" t="str">
        <f t="shared" si="18"/>
        <v>Потребность в контейнерах по данным субъекта 14336 шт. (25%)</v>
      </c>
      <c r="AB43" s="9" t="str">
        <f t="shared" si="19"/>
        <v>57/43/14 (25%)</v>
      </c>
    </row>
    <row r="44" spans="2:28">
      <c r="B44" s="25" t="s">
        <v>142</v>
      </c>
      <c r="C44" s="22">
        <f t="shared" si="8"/>
        <v>0</v>
      </c>
      <c r="D44" s="42">
        <f t="shared" si="20"/>
        <v>0</v>
      </c>
      <c r="E44" s="22">
        <f t="shared" si="9"/>
        <v>0</v>
      </c>
      <c r="F44" s="22">
        <f t="shared" si="21"/>
        <v>2</v>
      </c>
      <c r="G44" s="22">
        <f t="shared" si="22"/>
        <v>0</v>
      </c>
      <c r="H44" s="24">
        <v>2846120</v>
      </c>
      <c r="I44" s="37">
        <v>42103</v>
      </c>
      <c r="J44" s="37"/>
      <c r="K44" s="65">
        <v>81301</v>
      </c>
      <c r="L44" s="37">
        <v>7450</v>
      </c>
      <c r="M44" s="24">
        <f t="shared" si="11"/>
        <v>81301</v>
      </c>
      <c r="N44" s="32">
        <f t="shared" si="0"/>
        <v>14.7931218641519</v>
      </c>
      <c r="O44" s="32">
        <f t="shared" si="12"/>
        <v>28.565555914719</v>
      </c>
      <c r="P44" s="32">
        <f t="shared" si="4"/>
        <v>28.565555914719</v>
      </c>
      <c r="Q44" s="24">
        <f t="shared" si="13"/>
        <v>49553</v>
      </c>
      <c r="R44" s="33">
        <f t="shared" si="14"/>
        <v>0.150344076039796</v>
      </c>
      <c r="S44" s="33">
        <f t="shared" si="1"/>
        <v>0.51786570890887</v>
      </c>
      <c r="T44" s="6" t="str">
        <f t="shared" si="15"/>
        <v>Контейнеры: 42103 по ФГИС УТКО / 81301 по ТС</v>
      </c>
      <c r="U44" s="6" t="str">
        <f t="shared" si="5"/>
        <v>Наполнение ФГИС УТКО 52%</v>
      </c>
      <c r="V44" s="34" t="str">
        <f t="shared" si="23"/>
        <v>Аномальные данные территориальной схемы</v>
      </c>
      <c r="X44" s="6">
        <f t="shared" si="7"/>
        <v>0.979058337277706</v>
      </c>
      <c r="Y44" s="6" t="str">
        <f t="shared" si="16"/>
        <v>ниже </v>
      </c>
      <c r="Z44" s="6" t="str">
        <f t="shared" si="17"/>
        <v>Обеспеченность контейнерами ниже среднего по России на 98%</v>
      </c>
      <c r="AA44" s="6" t="str">
        <f t="shared" si="18"/>
        <v>Потребность в контейнерах по данным субъекта 7450 шт. (15%)</v>
      </c>
      <c r="AB44" s="9" t="str">
        <f t="shared" si="19"/>
        <v>50/42/7 (15%)</v>
      </c>
    </row>
    <row r="45" spans="2:28">
      <c r="B45" s="25" t="s">
        <v>132</v>
      </c>
      <c r="C45" s="22">
        <f t="shared" si="8"/>
        <v>2</v>
      </c>
      <c r="D45" s="42">
        <f t="shared" si="20"/>
        <v>2</v>
      </c>
      <c r="E45" s="22">
        <f t="shared" si="9"/>
        <v>0</v>
      </c>
      <c r="F45" s="22">
        <f t="shared" si="21"/>
        <v>2</v>
      </c>
      <c r="G45" s="22">
        <f t="shared" si="22"/>
        <v>2</v>
      </c>
      <c r="H45" s="24">
        <v>753002</v>
      </c>
      <c r="I45" s="37">
        <v>10977</v>
      </c>
      <c r="J45" s="37"/>
      <c r="K45" s="65">
        <v>17634</v>
      </c>
      <c r="L45" s="37">
        <v>0</v>
      </c>
      <c r="M45" s="24">
        <f t="shared" si="11"/>
        <v>17634</v>
      </c>
      <c r="N45" s="32">
        <f t="shared" si="0"/>
        <v>14.5776505241686</v>
      </c>
      <c r="O45" s="32">
        <f t="shared" si="12"/>
        <v>23.4182644933214</v>
      </c>
      <c r="P45" s="32">
        <f t="shared" si="4"/>
        <v>23.4182644933214</v>
      </c>
      <c r="Q45" s="24">
        <f t="shared" si="13"/>
        <v>10977</v>
      </c>
      <c r="R45" s="33">
        <f t="shared" si="14"/>
        <v>0</v>
      </c>
      <c r="S45" s="33">
        <f t="shared" si="1"/>
        <v>0.622490643075876</v>
      </c>
      <c r="T45" s="6" t="str">
        <f t="shared" si="15"/>
        <v>Контейнеры: 10977 по ФГИС УТКО / 17634 по ТС</v>
      </c>
      <c r="U45" s="6" t="str">
        <f t="shared" si="5"/>
        <v>Наполнение ФГИС УТКО 62%</v>
      </c>
      <c r="V45" s="34" t="str">
        <f t="shared" si="23"/>
        <v>Аномальные данные территориальной схемы</v>
      </c>
      <c r="X45" s="6">
        <f t="shared" si="7"/>
        <v>0.995360994658192</v>
      </c>
      <c r="Y45" s="6" t="str">
        <f t="shared" si="16"/>
        <v>ниже </v>
      </c>
      <c r="Z45" s="6" t="str">
        <f t="shared" si="17"/>
        <v>Обеспеченность контейнерами ниже среднего по России на 100%</v>
      </c>
      <c r="AA45" s="6" t="str">
        <f t="shared" si="18"/>
        <v>Потребность в КП не представлена</v>
      </c>
      <c r="AB45" s="9" t="str">
        <f t="shared" si="19"/>
        <v>11/11/0 (0%)</v>
      </c>
    </row>
    <row r="46" spans="2:28">
      <c r="B46" s="25" t="s">
        <v>77</v>
      </c>
      <c r="C46" s="22">
        <f t="shared" si="8"/>
        <v>1</v>
      </c>
      <c r="D46" s="42">
        <f t="shared" si="20"/>
        <v>1</v>
      </c>
      <c r="E46" s="22">
        <f t="shared" si="9"/>
        <v>0</v>
      </c>
      <c r="F46" s="22">
        <f t="shared" si="21"/>
        <v>1</v>
      </c>
      <c r="G46" s="22">
        <f t="shared" si="22"/>
        <v>1</v>
      </c>
      <c r="H46" s="24">
        <v>1060892</v>
      </c>
      <c r="I46" s="37">
        <v>16513</v>
      </c>
      <c r="J46" s="37"/>
      <c r="K46" s="65">
        <v>18344</v>
      </c>
      <c r="L46" s="37">
        <v>6704</v>
      </c>
      <c r="M46" s="24">
        <f t="shared" si="11"/>
        <v>18344</v>
      </c>
      <c r="N46" s="32">
        <f t="shared" si="0"/>
        <v>15.5652036211038</v>
      </c>
      <c r="O46" s="32">
        <f t="shared" si="12"/>
        <v>17.2911097453841</v>
      </c>
      <c r="P46" s="32">
        <f t="shared" si="4"/>
        <v>17.2911097453841</v>
      </c>
      <c r="Q46" s="24">
        <f t="shared" si="13"/>
        <v>23217</v>
      </c>
      <c r="R46" s="33">
        <f t="shared" si="14"/>
        <v>0.288753930309687</v>
      </c>
      <c r="S46" s="33">
        <f t="shared" si="1"/>
        <v>0.90018534670737</v>
      </c>
      <c r="T46" s="6" t="str">
        <f t="shared" si="15"/>
        <v>Контейнеры: 16513 по ФГИС УТКО / 18344 по ТС</v>
      </c>
      <c r="U46" s="6" t="str">
        <f t="shared" si="5"/>
        <v>Наполнение ФГИС УТКО 90%</v>
      </c>
      <c r="V46" s="34" t="str">
        <f t="shared" si="23"/>
        <v>Аномальные данные территориальной схемы</v>
      </c>
      <c r="X46" s="6">
        <f t="shared" si="7"/>
        <v>0.990188231117723</v>
      </c>
      <c r="Y46" s="6" t="str">
        <f t="shared" si="16"/>
        <v>ниже </v>
      </c>
      <c r="Z46" s="6" t="str">
        <f t="shared" si="17"/>
        <v>Обеспеченность контейнерами ниже среднего по России на 99%</v>
      </c>
      <c r="AA46" s="6" t="str">
        <f t="shared" si="18"/>
        <v>Потребность в контейнерах по данным субъекта 6704 шт. (29%)</v>
      </c>
      <c r="AB46" s="9" t="str">
        <f t="shared" si="19"/>
        <v>23/17/7 (29%)</v>
      </c>
    </row>
    <row r="47" spans="2:28">
      <c r="B47" s="25" t="s">
        <v>92</v>
      </c>
      <c r="C47" s="22">
        <f t="shared" si="8"/>
        <v>0</v>
      </c>
      <c r="D47" s="42">
        <f t="shared" si="20"/>
        <v>0</v>
      </c>
      <c r="E47" s="22">
        <f t="shared" si="9"/>
        <v>0</v>
      </c>
      <c r="F47" s="22">
        <f t="shared" si="21"/>
        <v>2</v>
      </c>
      <c r="G47" s="22">
        <f t="shared" si="22"/>
        <v>0</v>
      </c>
      <c r="H47" s="24">
        <v>2035762</v>
      </c>
      <c r="I47" s="37">
        <v>25688</v>
      </c>
      <c r="J47" s="37"/>
      <c r="K47" s="65">
        <v>46802</v>
      </c>
      <c r="L47" s="37">
        <v>1938</v>
      </c>
      <c r="M47" s="24">
        <f t="shared" si="11"/>
        <v>46802</v>
      </c>
      <c r="N47" s="32">
        <f t="shared" si="0"/>
        <v>12.6183709097625</v>
      </c>
      <c r="O47" s="32">
        <f t="shared" si="12"/>
        <v>22.9899172889562</v>
      </c>
      <c r="P47" s="32">
        <f t="shared" si="4"/>
        <v>22.9899172889562</v>
      </c>
      <c r="Q47" s="24">
        <f t="shared" si="13"/>
        <v>27626</v>
      </c>
      <c r="R47" s="33">
        <f t="shared" si="14"/>
        <v>0.0701513067400275</v>
      </c>
      <c r="S47" s="33">
        <f t="shared" si="1"/>
        <v>0.54886543310115</v>
      </c>
      <c r="T47" s="6" t="str">
        <f t="shared" si="15"/>
        <v>Контейнеры: 25688 по ФГИС УТКО / 46802 по ТС</v>
      </c>
      <c r="U47" s="6" t="str">
        <f t="shared" si="5"/>
        <v>Наполнение ФГИС УТКО 55%</v>
      </c>
      <c r="V47" s="34" t="str">
        <f t="shared" si="23"/>
        <v>Аномальные данные территориальной схемы</v>
      </c>
      <c r="X47" s="6">
        <f t="shared" si="7"/>
        <v>0.988324937453513</v>
      </c>
      <c r="Y47" s="6" t="str">
        <f t="shared" si="16"/>
        <v>ниже </v>
      </c>
      <c r="Z47" s="6" t="str">
        <f t="shared" si="17"/>
        <v>Обеспеченность контейнерами ниже среднего по России на 99%</v>
      </c>
      <c r="AA47" s="6" t="str">
        <f t="shared" si="18"/>
        <v>Потребность в контейнерах по данным субъекта 1938 шт. (7%)</v>
      </c>
      <c r="AB47" s="9" t="str">
        <f t="shared" si="19"/>
        <v>28/26/2 (7%)</v>
      </c>
    </row>
    <row r="48" spans="2:28">
      <c r="B48" s="25" t="s">
        <v>101</v>
      </c>
      <c r="C48" s="22">
        <f t="shared" si="8"/>
        <v>1</v>
      </c>
      <c r="D48" s="42">
        <f t="shared" si="20"/>
        <v>1</v>
      </c>
      <c r="E48" s="22">
        <f t="shared" si="9"/>
        <v>0</v>
      </c>
      <c r="F48" s="22">
        <f t="shared" si="21"/>
        <v>0</v>
      </c>
      <c r="G48" s="22">
        <f t="shared" si="22"/>
        <v>1</v>
      </c>
      <c r="H48" s="24">
        <v>1116265</v>
      </c>
      <c r="I48" s="37">
        <v>35095</v>
      </c>
      <c r="J48" s="37"/>
      <c r="K48" s="65">
        <v>29585</v>
      </c>
      <c r="L48" s="37">
        <v>6708</v>
      </c>
      <c r="M48" s="24">
        <f t="shared" si="11"/>
        <v>35095</v>
      </c>
      <c r="N48" s="32">
        <f t="shared" si="0"/>
        <v>31.4396671041375</v>
      </c>
      <c r="O48" s="32">
        <f t="shared" si="12"/>
        <v>26.5035632219948</v>
      </c>
      <c r="P48" s="32">
        <f t="shared" si="4"/>
        <v>31.4396671041375</v>
      </c>
      <c r="Q48" s="24">
        <f t="shared" si="13"/>
        <v>41803</v>
      </c>
      <c r="R48" s="33">
        <f t="shared" si="14"/>
        <v>0.160466952132622</v>
      </c>
      <c r="S48" s="33">
        <f t="shared" si="1"/>
        <v>1</v>
      </c>
      <c r="T48" s="6" t="str">
        <f t="shared" si="15"/>
        <v>Контейнеры: 35095 по ФГИС УТКО / 29585 по ТС</v>
      </c>
      <c r="U48" s="6" t="str">
        <f t="shared" si="5"/>
        <v>Наполнение ФГИС УТКО более 100%</v>
      </c>
      <c r="V48" s="34" t="str">
        <f t="shared" si="23"/>
        <v>Аномальные данные территориальной схемы</v>
      </c>
      <c r="X48" s="6">
        <f t="shared" si="7"/>
        <v>0.982333575630536</v>
      </c>
      <c r="Y48" s="6" t="str">
        <f t="shared" si="16"/>
        <v>ниже </v>
      </c>
      <c r="Z48" s="6" t="str">
        <f t="shared" si="17"/>
        <v>Обеспеченность контейнерами ниже среднего по России на 98%</v>
      </c>
      <c r="AA48" s="6" t="str">
        <f t="shared" si="18"/>
        <v>Потребность в контейнерах по данным субъекта 6708 шт. (16%)</v>
      </c>
      <c r="AB48" s="9" t="str">
        <f t="shared" si="19"/>
        <v>42/35/7 (16%)</v>
      </c>
    </row>
    <row r="49" spans="2:22">
      <c r="B49" s="25" t="s">
        <v>162</v>
      </c>
      <c r="C49" s="64">
        <v>0</v>
      </c>
      <c r="D49" s="64">
        <v>0</v>
      </c>
      <c r="E49" s="64">
        <v>0</v>
      </c>
      <c r="F49" s="64">
        <v>0</v>
      </c>
      <c r="G49" s="64">
        <v>0</v>
      </c>
      <c r="H49" s="24"/>
      <c r="I49" s="37">
        <v>0</v>
      </c>
      <c r="J49" s="37"/>
      <c r="K49" s="65">
        <v>6892</v>
      </c>
      <c r="L49" s="37">
        <v>13829</v>
      </c>
      <c r="M49" s="24"/>
      <c r="N49" s="32"/>
      <c r="O49" s="32"/>
      <c r="P49" s="32"/>
      <c r="Q49" s="24">
        <f t="shared" si="13"/>
        <v>13829</v>
      </c>
      <c r="R49" s="33"/>
      <c r="S49" s="33"/>
      <c r="T49" s="6"/>
      <c r="V49" s="34"/>
    </row>
    <row r="50" spans="2:28">
      <c r="B50" s="25" t="s">
        <v>153</v>
      </c>
      <c r="C50" s="22">
        <f t="shared" si="8"/>
        <v>2</v>
      </c>
      <c r="D50" s="42">
        <f t="shared" si="20"/>
        <v>2</v>
      </c>
      <c r="E50" s="22">
        <f t="shared" si="9"/>
        <v>0</v>
      </c>
      <c r="F50" s="22">
        <f t="shared" si="21"/>
        <v>0</v>
      </c>
      <c r="G50" s="22">
        <f t="shared" si="22"/>
        <v>2</v>
      </c>
      <c r="H50" s="24">
        <v>133387</v>
      </c>
      <c r="I50" s="37">
        <v>2657</v>
      </c>
      <c r="J50" s="37"/>
      <c r="K50" s="65">
        <v>1922</v>
      </c>
      <c r="L50" s="37">
        <v>0</v>
      </c>
      <c r="M50" s="24">
        <f t="shared" si="11"/>
        <v>2657</v>
      </c>
      <c r="N50" s="32">
        <f t="shared" ref="N50:N81" si="24">I50/$H50*1000</f>
        <v>19.9194824083306</v>
      </c>
      <c r="O50" s="32">
        <f t="shared" si="12"/>
        <v>14.4092002968805</v>
      </c>
      <c r="P50" s="32">
        <f t="shared" si="4"/>
        <v>19.9194824083306</v>
      </c>
      <c r="Q50" s="24">
        <f t="shared" si="13"/>
        <v>2657</v>
      </c>
      <c r="R50" s="33">
        <f t="shared" si="14"/>
        <v>0</v>
      </c>
      <c r="S50" s="33">
        <f t="shared" ref="S50:S81" si="25">I50/MAX(I50,K50)</f>
        <v>1</v>
      </c>
      <c r="T50" s="6" t="str">
        <f t="shared" si="15"/>
        <v>Контейнеры: 2657 по ФГИС УТКО / 1922 по ТС</v>
      </c>
      <c r="U50" s="6" t="str">
        <f t="shared" si="5"/>
        <v>Наполнение ФГИС УТКО более 100%</v>
      </c>
      <c r="V50" s="34" t="str">
        <f t="shared" ref="V50:V97" si="26">IF(O50&gt;$O$8,$V$107,IF(Q50&gt;$Q$10,$V$108,IF(I50&gt;K50*(1+$K$10),$V$109,"")))</f>
        <v>Аномальные данные территориальной схемы</v>
      </c>
      <c r="X50" s="6">
        <f t="shared" si="7"/>
        <v>0.99887712150923</v>
      </c>
      <c r="Y50" s="6" t="str">
        <f t="shared" si="16"/>
        <v>ниже </v>
      </c>
      <c r="Z50" s="6" t="str">
        <f t="shared" si="17"/>
        <v>Обеспеченность контейнерами ниже среднего по России на 100%</v>
      </c>
      <c r="AA50" s="6" t="str">
        <f t="shared" si="18"/>
        <v>Потребность в КП не представлена</v>
      </c>
      <c r="AB50" s="9" t="str">
        <f t="shared" si="19"/>
        <v>3/3/0 (0%)</v>
      </c>
    </row>
    <row r="51" spans="2:28">
      <c r="B51" s="25" t="s">
        <v>69</v>
      </c>
      <c r="C51" s="22">
        <f t="shared" si="8"/>
        <v>0</v>
      </c>
      <c r="D51" s="42">
        <f t="shared" si="20"/>
        <v>0</v>
      </c>
      <c r="E51" s="22">
        <f t="shared" si="9"/>
        <v>0</v>
      </c>
      <c r="F51" s="22">
        <f t="shared" si="21"/>
        <v>0</v>
      </c>
      <c r="G51" s="22">
        <f t="shared" si="22"/>
        <v>0</v>
      </c>
      <c r="H51" s="24">
        <v>8651260</v>
      </c>
      <c r="I51" s="37">
        <v>207855</v>
      </c>
      <c r="J51" s="37"/>
      <c r="K51" s="65">
        <v>176639</v>
      </c>
      <c r="L51" s="37">
        <v>15011</v>
      </c>
      <c r="M51" s="24">
        <f t="shared" si="11"/>
        <v>207855</v>
      </c>
      <c r="N51" s="32">
        <f t="shared" si="24"/>
        <v>24.0259800306545</v>
      </c>
      <c r="O51" s="32">
        <f t="shared" si="12"/>
        <v>20.4177194998185</v>
      </c>
      <c r="P51" s="32">
        <f t="shared" si="4"/>
        <v>24.0259800306545</v>
      </c>
      <c r="Q51" s="24">
        <f t="shared" si="13"/>
        <v>222866</v>
      </c>
      <c r="R51" s="33">
        <f t="shared" si="14"/>
        <v>0.0673543743774286</v>
      </c>
      <c r="S51" s="33">
        <f t="shared" si="25"/>
        <v>1</v>
      </c>
      <c r="T51" s="6" t="str">
        <f t="shared" si="15"/>
        <v>Контейнеры: 207855 по ФГИС УТКО / 176639 по ТС</v>
      </c>
      <c r="U51" s="6" t="str">
        <f t="shared" ref="U51:U82" si="27">_xlfn.TEXTJOIN(,0,"Наполнение ФГИС УТКО"," ",IF(I51&lt;=K51,TEXT(S51,"0%"),"более 100%"))</f>
        <v>Наполнение ФГИС УТКО более 100%</v>
      </c>
      <c r="V51" s="34" t="str">
        <f t="shared" si="26"/>
        <v>Аномальные данные территориальной схемы</v>
      </c>
      <c r="X51" s="6">
        <f t="shared" ref="X51:X82" si="28">IF(Q51&gt;=$Q$15,Q51/$Q$15-1,1-Q51/$Q$15)</f>
        <v>0.905814287646224</v>
      </c>
      <c r="Y51" s="6" t="str">
        <f t="shared" si="16"/>
        <v>ниже </v>
      </c>
      <c r="Z51" s="6" t="str">
        <f t="shared" si="17"/>
        <v>Обеспеченность контейнерами ниже среднего по России на 91%</v>
      </c>
      <c r="AA51" s="6" t="str">
        <f t="shared" si="18"/>
        <v>Потребность в контейнерах по данным субъекта 15011 шт. (7%)</v>
      </c>
      <c r="AB51" s="9" t="str">
        <f t="shared" si="19"/>
        <v>223/208/15 (7%)</v>
      </c>
    </row>
    <row r="52" spans="2:28">
      <c r="B52" s="25" t="s">
        <v>72</v>
      </c>
      <c r="C52" s="22">
        <f t="shared" si="8"/>
        <v>0</v>
      </c>
      <c r="D52" s="42">
        <f t="shared" si="20"/>
        <v>0</v>
      </c>
      <c r="E52" s="22">
        <f t="shared" si="9"/>
        <v>0</v>
      </c>
      <c r="F52" s="22">
        <f t="shared" si="21"/>
        <v>0</v>
      </c>
      <c r="G52" s="22">
        <f t="shared" si="22"/>
        <v>0</v>
      </c>
      <c r="H52" s="24">
        <v>656438</v>
      </c>
      <c r="I52" s="37">
        <v>12374</v>
      </c>
      <c r="J52" s="37"/>
      <c r="K52" s="65">
        <v>12311</v>
      </c>
      <c r="L52" s="37">
        <v>150</v>
      </c>
      <c r="M52" s="24">
        <f t="shared" si="11"/>
        <v>12374</v>
      </c>
      <c r="N52" s="32">
        <f t="shared" si="24"/>
        <v>18.8502189087164</v>
      </c>
      <c r="O52" s="32">
        <f t="shared" si="12"/>
        <v>18.7542464025544</v>
      </c>
      <c r="P52" s="32">
        <f t="shared" si="4"/>
        <v>18.8502189087164</v>
      </c>
      <c r="Q52" s="24">
        <f t="shared" si="13"/>
        <v>12524</v>
      </c>
      <c r="R52" s="33">
        <f t="shared" si="14"/>
        <v>0.0119770041520281</v>
      </c>
      <c r="S52" s="33">
        <f t="shared" si="25"/>
        <v>1</v>
      </c>
      <c r="T52" s="6" t="str">
        <f t="shared" si="15"/>
        <v>Контейнеры: 12374 по ФГИС УТКО / 12311 по ТС</v>
      </c>
      <c r="U52" s="6" t="str">
        <f t="shared" si="27"/>
        <v>Наполнение ФГИС УТКО более 100%</v>
      </c>
      <c r="V52" s="34" t="str">
        <f t="shared" si="26"/>
        <v>Аномальные данные территориальной схемы</v>
      </c>
      <c r="X52" s="6">
        <f t="shared" si="28"/>
        <v>0.994707214821827</v>
      </c>
      <c r="Y52" s="6" t="str">
        <f t="shared" si="16"/>
        <v>ниже </v>
      </c>
      <c r="Z52" s="6" t="str">
        <f t="shared" si="17"/>
        <v>Обеспеченность контейнерами ниже среднего по России на 99%</v>
      </c>
      <c r="AA52" s="6" t="str">
        <f t="shared" si="18"/>
        <v>Потребность в контейнерах по данным субъекта 150 шт. (1%)</v>
      </c>
      <c r="AB52" s="9" t="str">
        <f t="shared" si="19"/>
        <v>13/12/0 (1%)</v>
      </c>
    </row>
    <row r="53" spans="2:28">
      <c r="B53" s="25" t="s">
        <v>127</v>
      </c>
      <c r="C53" s="22">
        <f t="shared" si="8"/>
        <v>0</v>
      </c>
      <c r="D53" s="42">
        <f t="shared" si="20"/>
        <v>0</v>
      </c>
      <c r="E53" s="22">
        <f t="shared" si="9"/>
        <v>0</v>
      </c>
      <c r="F53" s="22">
        <f t="shared" si="21"/>
        <v>0</v>
      </c>
      <c r="G53" s="22">
        <f t="shared" si="22"/>
        <v>0</v>
      </c>
      <c r="H53" s="24">
        <v>42224</v>
      </c>
      <c r="I53" s="37">
        <v>1580</v>
      </c>
      <c r="J53" s="37"/>
      <c r="K53" s="65">
        <v>1580</v>
      </c>
      <c r="L53" s="37">
        <v>12</v>
      </c>
      <c r="M53" s="24">
        <f t="shared" si="11"/>
        <v>1580</v>
      </c>
      <c r="N53" s="32">
        <f t="shared" si="24"/>
        <v>37.4194770746495</v>
      </c>
      <c r="O53" s="32">
        <f t="shared" si="12"/>
        <v>37.4194770746495</v>
      </c>
      <c r="P53" s="32">
        <f t="shared" si="4"/>
        <v>37.4194770746495</v>
      </c>
      <c r="Q53" s="24">
        <f t="shared" si="13"/>
        <v>1592</v>
      </c>
      <c r="R53" s="33">
        <f t="shared" si="14"/>
        <v>0.00753768844221105</v>
      </c>
      <c r="S53" s="33">
        <f t="shared" si="25"/>
        <v>1</v>
      </c>
      <c r="T53" s="6" t="str">
        <f t="shared" si="15"/>
        <v>Контейнеры: 1580 по ФГИС УТКО / 1580 по ТС</v>
      </c>
      <c r="U53" s="6" t="str">
        <f t="shared" si="27"/>
        <v>Наполнение ФГИС УТКО 100%</v>
      </c>
      <c r="V53" s="34" t="str">
        <f t="shared" si="26"/>
        <v>Аномальные данные территориальной схемы</v>
      </c>
      <c r="X53" s="6">
        <f t="shared" si="28"/>
        <v>0.999327202650619</v>
      </c>
      <c r="Y53" s="6" t="str">
        <f t="shared" si="16"/>
        <v>ниже </v>
      </c>
      <c r="Z53" s="6" t="str">
        <f t="shared" si="17"/>
        <v>Обеспеченность контейнерами ниже среднего по России на 100%</v>
      </c>
      <c r="AA53" s="6" t="str">
        <f t="shared" si="18"/>
        <v>Потребность в контейнерах по данным субъекта 12 шт. (1%)</v>
      </c>
      <c r="AB53" s="9" t="str">
        <f t="shared" si="19"/>
        <v>2/2/0 (1%)</v>
      </c>
    </row>
    <row r="54" spans="2:28">
      <c r="B54" s="25" t="s">
        <v>93</v>
      </c>
      <c r="C54" s="22">
        <f t="shared" si="8"/>
        <v>2</v>
      </c>
      <c r="D54" s="42">
        <f t="shared" si="20"/>
        <v>2</v>
      </c>
      <c r="E54" s="22">
        <f t="shared" si="9"/>
        <v>0</v>
      </c>
      <c r="F54" s="22">
        <f t="shared" si="21"/>
        <v>1</v>
      </c>
      <c r="G54" s="22">
        <f t="shared" si="22"/>
        <v>2</v>
      </c>
      <c r="H54" s="24">
        <v>3060335</v>
      </c>
      <c r="I54" s="37">
        <v>59725</v>
      </c>
      <c r="J54" s="37"/>
      <c r="K54" s="65">
        <v>67611</v>
      </c>
      <c r="L54" s="37">
        <v>0</v>
      </c>
      <c r="M54" s="24">
        <f t="shared" si="11"/>
        <v>67611</v>
      </c>
      <c r="N54" s="32">
        <f t="shared" si="24"/>
        <v>19.5158373184635</v>
      </c>
      <c r="O54" s="32">
        <f t="shared" si="12"/>
        <v>22.0926793962099</v>
      </c>
      <c r="P54" s="32">
        <f t="shared" si="4"/>
        <v>22.0926793962099</v>
      </c>
      <c r="Q54" s="24">
        <f t="shared" si="13"/>
        <v>59725</v>
      </c>
      <c r="R54" s="33">
        <f t="shared" si="14"/>
        <v>0</v>
      </c>
      <c r="S54" s="33">
        <f t="shared" si="25"/>
        <v>0.883362174794042</v>
      </c>
      <c r="T54" s="6" t="str">
        <f t="shared" si="15"/>
        <v>Контейнеры: 59725 по ФГИС УТКО / 67611 по ТС</v>
      </c>
      <c r="U54" s="6" t="str">
        <f t="shared" si="27"/>
        <v>Наполнение ФГИС УТКО 88%</v>
      </c>
      <c r="V54" s="34" t="str">
        <f t="shared" si="26"/>
        <v>Аномальные данные территориальной схемы</v>
      </c>
      <c r="X54" s="6">
        <f t="shared" si="28"/>
        <v>0.974759534113192</v>
      </c>
      <c r="Y54" s="6" t="str">
        <f t="shared" si="16"/>
        <v>ниже </v>
      </c>
      <c r="Z54" s="6" t="str">
        <f t="shared" si="17"/>
        <v>Обеспеченность контейнерами ниже среднего по России на 97%</v>
      </c>
      <c r="AA54" s="6" t="str">
        <f t="shared" si="18"/>
        <v>Потребность в КП не представлена</v>
      </c>
      <c r="AB54" s="9" t="str">
        <f t="shared" si="19"/>
        <v>60/60/0 (0%)</v>
      </c>
    </row>
    <row r="55" spans="2:28">
      <c r="B55" s="25" t="s">
        <v>90</v>
      </c>
      <c r="C55" s="22">
        <f t="shared" si="8"/>
        <v>0</v>
      </c>
      <c r="D55" s="42">
        <f t="shared" si="20"/>
        <v>0</v>
      </c>
      <c r="E55" s="22">
        <f t="shared" si="9"/>
        <v>0</v>
      </c>
      <c r="F55" s="22">
        <f t="shared" si="21"/>
        <v>0</v>
      </c>
      <c r="G55" s="22">
        <f t="shared" si="22"/>
        <v>0</v>
      </c>
      <c r="H55" s="24">
        <v>571447</v>
      </c>
      <c r="I55" s="37">
        <v>9744</v>
      </c>
      <c r="J55" s="37"/>
      <c r="K55" s="65">
        <v>8689</v>
      </c>
      <c r="L55" s="37">
        <v>20</v>
      </c>
      <c r="M55" s="24">
        <f t="shared" si="11"/>
        <v>9744</v>
      </c>
      <c r="N55" s="32">
        <f t="shared" si="24"/>
        <v>17.0514500907346</v>
      </c>
      <c r="O55" s="32">
        <f t="shared" si="12"/>
        <v>15.2052596303769</v>
      </c>
      <c r="P55" s="32">
        <f t="shared" si="4"/>
        <v>17.0514500907346</v>
      </c>
      <c r="Q55" s="24">
        <f t="shared" si="13"/>
        <v>9764</v>
      </c>
      <c r="R55" s="33">
        <f t="shared" si="14"/>
        <v>0.00204834084391643</v>
      </c>
      <c r="S55" s="33">
        <f t="shared" si="25"/>
        <v>1</v>
      </c>
      <c r="T55" s="6" t="str">
        <f t="shared" si="15"/>
        <v>Контейнеры: 9744 по ФГИС УТКО / 8689 по ТС</v>
      </c>
      <c r="U55" s="6" t="str">
        <f t="shared" si="27"/>
        <v>Наполнение ФГИС УТКО более 100%</v>
      </c>
      <c r="V55" s="34" t="str">
        <f t="shared" si="26"/>
        <v>Аномальные данные территориальной схемы</v>
      </c>
      <c r="X55" s="6">
        <f t="shared" si="28"/>
        <v>0.995873622286835</v>
      </c>
      <c r="Y55" s="6" t="str">
        <f t="shared" si="16"/>
        <v>ниже </v>
      </c>
      <c r="Z55" s="6" t="str">
        <f t="shared" si="17"/>
        <v>Обеспеченность контейнерами ниже среднего по России на 100%</v>
      </c>
      <c r="AA55" s="6" t="str">
        <f t="shared" si="18"/>
        <v>Потребность в контейнерах по данным субъекта 20 шт. (0%)</v>
      </c>
      <c r="AB55" s="9" t="str">
        <f t="shared" si="19"/>
        <v>10/10/0 (0%)</v>
      </c>
    </row>
    <row r="56" spans="2:28">
      <c r="B56" s="25" t="s">
        <v>123</v>
      </c>
      <c r="C56" s="22">
        <f t="shared" si="8"/>
        <v>0</v>
      </c>
      <c r="D56" s="42">
        <f t="shared" si="20"/>
        <v>0</v>
      </c>
      <c r="E56" s="22">
        <f t="shared" si="9"/>
        <v>0</v>
      </c>
      <c r="F56" s="22">
        <f t="shared" si="21"/>
        <v>0</v>
      </c>
      <c r="G56" s="22">
        <f t="shared" si="22"/>
        <v>0</v>
      </c>
      <c r="H56" s="24">
        <v>2789532</v>
      </c>
      <c r="I56" s="37">
        <v>38649</v>
      </c>
      <c r="J56" s="37"/>
      <c r="K56" s="65">
        <v>37503</v>
      </c>
      <c r="L56" s="37">
        <v>4158</v>
      </c>
      <c r="M56" s="24">
        <f t="shared" si="11"/>
        <v>38649</v>
      </c>
      <c r="N56" s="32">
        <f t="shared" si="24"/>
        <v>13.8550122386121</v>
      </c>
      <c r="O56" s="32">
        <f t="shared" si="12"/>
        <v>13.4441906384297</v>
      </c>
      <c r="P56" s="32">
        <f t="shared" si="4"/>
        <v>13.8550122386121</v>
      </c>
      <c r="Q56" s="24">
        <f t="shared" si="13"/>
        <v>42807</v>
      </c>
      <c r="R56" s="33">
        <f t="shared" si="14"/>
        <v>0.0971336463662485</v>
      </c>
      <c r="S56" s="33">
        <f t="shared" si="25"/>
        <v>1</v>
      </c>
      <c r="T56" s="6" t="str">
        <f t="shared" si="15"/>
        <v>Контейнеры: 38649 по ФГИС УТКО / 37503 по ТС</v>
      </c>
      <c r="U56" s="6" t="str">
        <f t="shared" si="27"/>
        <v>Наполнение ФГИС УТКО более 100%</v>
      </c>
      <c r="V56" s="34" t="str">
        <f t="shared" si="26"/>
        <v>Аномальные данные территориальной схемы</v>
      </c>
      <c r="X56" s="6">
        <f t="shared" si="28"/>
        <v>0.98190927378457</v>
      </c>
      <c r="Y56" s="6" t="str">
        <f t="shared" si="16"/>
        <v>ниже </v>
      </c>
      <c r="Z56" s="6" t="str">
        <f t="shared" si="17"/>
        <v>Обеспеченность контейнерами ниже среднего по России на 98%</v>
      </c>
      <c r="AA56" s="6" t="str">
        <f t="shared" si="18"/>
        <v>Потребность в контейнерах по данным субъекта 4158 шт. (10%)</v>
      </c>
      <c r="AB56" s="9" t="str">
        <f t="shared" si="19"/>
        <v>43/39/4 (10%)</v>
      </c>
    </row>
    <row r="57" spans="2:28">
      <c r="B57" s="25" t="s">
        <v>139</v>
      </c>
      <c r="C57" s="22">
        <f t="shared" si="8"/>
        <v>0</v>
      </c>
      <c r="D57" s="42">
        <f t="shared" si="20"/>
        <v>0</v>
      </c>
      <c r="E57" s="22">
        <f t="shared" si="9"/>
        <v>0</v>
      </c>
      <c r="F57" s="22">
        <f t="shared" si="21"/>
        <v>0</v>
      </c>
      <c r="G57" s="22">
        <f t="shared" si="22"/>
        <v>0</v>
      </c>
      <c r="H57" s="24">
        <v>1818093</v>
      </c>
      <c r="I57" s="37">
        <v>38248</v>
      </c>
      <c r="J57" s="37"/>
      <c r="K57" s="65">
        <v>38747</v>
      </c>
      <c r="L57" s="37">
        <v>4634</v>
      </c>
      <c r="M57" s="24">
        <f t="shared" si="11"/>
        <v>38747</v>
      </c>
      <c r="N57" s="32">
        <f t="shared" si="24"/>
        <v>21.0374276783421</v>
      </c>
      <c r="O57" s="32">
        <f t="shared" si="12"/>
        <v>21.3118910858795</v>
      </c>
      <c r="P57" s="32">
        <f t="shared" si="4"/>
        <v>21.3118910858795</v>
      </c>
      <c r="Q57" s="24">
        <f t="shared" si="13"/>
        <v>42882</v>
      </c>
      <c r="R57" s="33">
        <f t="shared" si="14"/>
        <v>0.108063989552726</v>
      </c>
      <c r="S57" s="33">
        <f t="shared" si="25"/>
        <v>0.987121583606473</v>
      </c>
      <c r="T57" s="6" t="str">
        <f t="shared" si="15"/>
        <v>Контейнеры: 38248 по ФГИС УТКО / 38747 по ТС</v>
      </c>
      <c r="U57" s="6" t="str">
        <f t="shared" si="27"/>
        <v>Наполнение ФГИС УТКО 99%</v>
      </c>
      <c r="V57" s="34" t="str">
        <f t="shared" si="26"/>
        <v>Аномальные данные территориальной схемы</v>
      </c>
      <c r="X57" s="6">
        <f t="shared" si="28"/>
        <v>0.981877577929542</v>
      </c>
      <c r="Y57" s="6" t="str">
        <f t="shared" si="16"/>
        <v>ниже </v>
      </c>
      <c r="Z57" s="6" t="str">
        <f t="shared" si="17"/>
        <v>Обеспеченность контейнерами ниже среднего по России на 98%</v>
      </c>
      <c r="AA57" s="6" t="str">
        <f t="shared" si="18"/>
        <v>Потребность в контейнерах по данным субъекта 4634 шт. (11%)</v>
      </c>
      <c r="AB57" s="9" t="str">
        <f t="shared" si="19"/>
        <v>43/38/5 (11%)</v>
      </c>
    </row>
    <row r="58" spans="2:28">
      <c r="B58" s="25" t="s">
        <v>94</v>
      </c>
      <c r="C58" s="22">
        <f t="shared" si="8"/>
        <v>1</v>
      </c>
      <c r="D58" s="42">
        <f t="shared" si="20"/>
        <v>1</v>
      </c>
      <c r="E58" s="22">
        <f t="shared" si="9"/>
        <v>0</v>
      </c>
      <c r="F58" s="22">
        <f t="shared" si="21"/>
        <v>0</v>
      </c>
      <c r="G58" s="22">
        <f t="shared" si="22"/>
        <v>1</v>
      </c>
      <c r="H58" s="24">
        <v>1828656</v>
      </c>
      <c r="I58" s="37">
        <v>29484</v>
      </c>
      <c r="J58" s="37"/>
      <c r="K58" s="65">
        <v>22117</v>
      </c>
      <c r="L58" s="37">
        <v>6191</v>
      </c>
      <c r="M58" s="24">
        <f t="shared" si="11"/>
        <v>29484</v>
      </c>
      <c r="N58" s="32">
        <f t="shared" si="24"/>
        <v>16.1233167965982</v>
      </c>
      <c r="O58" s="32">
        <f t="shared" si="12"/>
        <v>12.0946749962814</v>
      </c>
      <c r="P58" s="32">
        <f t="shared" si="4"/>
        <v>16.1233167965982</v>
      </c>
      <c r="Q58" s="24">
        <f t="shared" si="13"/>
        <v>35675</v>
      </c>
      <c r="R58" s="33">
        <f t="shared" si="14"/>
        <v>0.17353889278206</v>
      </c>
      <c r="S58" s="33">
        <f t="shared" si="25"/>
        <v>1</v>
      </c>
      <c r="T58" s="6" t="str">
        <f t="shared" si="15"/>
        <v>Контейнеры: 29484 по ФГИС УТКО / 22117 по ТС</v>
      </c>
      <c r="U58" s="6" t="str">
        <f t="shared" si="27"/>
        <v>Наполнение ФГИС УТКО более 100%</v>
      </c>
      <c r="V58" s="34" t="str">
        <f t="shared" si="26"/>
        <v>Аномальные данные территориальной схемы</v>
      </c>
      <c r="X58" s="6">
        <f t="shared" si="28"/>
        <v>0.984923338291974</v>
      </c>
      <c r="Y58" s="6" t="str">
        <f t="shared" si="16"/>
        <v>ниже </v>
      </c>
      <c r="Z58" s="6" t="str">
        <f t="shared" si="17"/>
        <v>Обеспеченность контейнерами ниже среднего по России на 98%</v>
      </c>
      <c r="AA58" s="6" t="str">
        <f t="shared" si="18"/>
        <v>Потребность в контейнерах по данным субъекта 6191 шт. (17%)</v>
      </c>
      <c r="AB58" s="9" t="str">
        <f t="shared" si="19"/>
        <v>36/29/6 (17%)</v>
      </c>
    </row>
    <row r="59" spans="2:28">
      <c r="B59" s="25" t="s">
        <v>111</v>
      </c>
      <c r="C59" s="22">
        <f t="shared" si="8"/>
        <v>0</v>
      </c>
      <c r="D59" s="42">
        <f t="shared" si="20"/>
        <v>0</v>
      </c>
      <c r="E59" s="22">
        <f t="shared" si="9"/>
        <v>0</v>
      </c>
      <c r="F59" s="22">
        <f t="shared" si="21"/>
        <v>0</v>
      </c>
      <c r="G59" s="22">
        <f t="shared" si="22"/>
        <v>0</v>
      </c>
      <c r="H59" s="24">
        <v>692486</v>
      </c>
      <c r="I59" s="37">
        <v>19433</v>
      </c>
      <c r="J59" s="37"/>
      <c r="K59" s="65">
        <v>18429</v>
      </c>
      <c r="L59" s="37">
        <v>159</v>
      </c>
      <c r="M59" s="24">
        <f t="shared" si="11"/>
        <v>19433</v>
      </c>
      <c r="N59" s="32">
        <f t="shared" si="24"/>
        <v>28.0626611945945</v>
      </c>
      <c r="O59" s="32">
        <f t="shared" si="12"/>
        <v>26.6128123889869</v>
      </c>
      <c r="P59" s="32">
        <f t="shared" si="4"/>
        <v>28.0626611945945</v>
      </c>
      <c r="Q59" s="24">
        <f t="shared" si="13"/>
        <v>19592</v>
      </c>
      <c r="R59" s="33">
        <f t="shared" si="14"/>
        <v>0.00811555737035525</v>
      </c>
      <c r="S59" s="33">
        <f t="shared" si="25"/>
        <v>1</v>
      </c>
      <c r="T59" s="6" t="str">
        <f t="shared" si="15"/>
        <v>Контейнеры: 19433 по ФГИС УТКО / 18429 по ТС</v>
      </c>
      <c r="U59" s="6" t="str">
        <f t="shared" si="27"/>
        <v>Наполнение ФГИС УТКО более 100%</v>
      </c>
      <c r="V59" s="34" t="str">
        <f t="shared" si="26"/>
        <v>Аномальные данные территориальной схемы</v>
      </c>
      <c r="X59" s="6">
        <f t="shared" si="28"/>
        <v>0.991720197444046</v>
      </c>
      <c r="Y59" s="6" t="str">
        <f t="shared" si="16"/>
        <v>ниже </v>
      </c>
      <c r="Z59" s="6" t="str">
        <f t="shared" si="17"/>
        <v>Обеспеченность контейнерами ниже среднего по России на 99%</v>
      </c>
      <c r="AA59" s="6" t="str">
        <f t="shared" si="18"/>
        <v>Потребность в контейнерах по данным субъекта 159 шт. (1%)</v>
      </c>
      <c r="AB59" s="9" t="str">
        <f t="shared" si="19"/>
        <v>20/19/0 (1%)</v>
      </c>
    </row>
    <row r="60" spans="2:28">
      <c r="B60" s="25" t="s">
        <v>124</v>
      </c>
      <c r="C60" s="22">
        <f t="shared" si="8"/>
        <v>1</v>
      </c>
      <c r="D60" s="42">
        <f t="shared" si="20"/>
        <v>1</v>
      </c>
      <c r="E60" s="22">
        <f t="shared" si="9"/>
        <v>0</v>
      </c>
      <c r="F60" s="22">
        <f t="shared" si="21"/>
        <v>1</v>
      </c>
      <c r="G60" s="22">
        <f t="shared" si="22"/>
        <v>1</v>
      </c>
      <c r="H60" s="24">
        <v>1236113</v>
      </c>
      <c r="I60" s="37">
        <v>16381</v>
      </c>
      <c r="J60" s="37"/>
      <c r="K60" s="65">
        <v>19101</v>
      </c>
      <c r="L60" s="37">
        <v>3551</v>
      </c>
      <c r="M60" s="24">
        <f t="shared" si="11"/>
        <v>19101</v>
      </c>
      <c r="N60" s="32">
        <f t="shared" si="24"/>
        <v>13.2520246935353</v>
      </c>
      <c r="O60" s="32">
        <f t="shared" si="12"/>
        <v>15.4524707692582</v>
      </c>
      <c r="P60" s="32">
        <f t="shared" si="4"/>
        <v>15.4524707692582</v>
      </c>
      <c r="Q60" s="24">
        <f t="shared" si="13"/>
        <v>19932</v>
      </c>
      <c r="R60" s="33">
        <f t="shared" si="14"/>
        <v>0.178155729480233</v>
      </c>
      <c r="S60" s="33">
        <f t="shared" si="25"/>
        <v>0.857599078582273</v>
      </c>
      <c r="T60" s="6" t="str">
        <f t="shared" si="15"/>
        <v>Контейнеры: 16381 по ФГИС УТКО / 19101 по ТС</v>
      </c>
      <c r="U60" s="6" t="str">
        <f t="shared" si="27"/>
        <v>Наполнение ФГИС УТКО 86%</v>
      </c>
      <c r="V60" s="34" t="str">
        <f t="shared" si="26"/>
        <v>Аномальные данные территориальной схемы</v>
      </c>
      <c r="X60" s="6">
        <f t="shared" si="28"/>
        <v>0.991576509567922</v>
      </c>
      <c r="Y60" s="6" t="str">
        <f t="shared" si="16"/>
        <v>ниже </v>
      </c>
      <c r="Z60" s="6" t="str">
        <f t="shared" si="17"/>
        <v>Обеспеченность контейнерами ниже среднего по России на 99%</v>
      </c>
      <c r="AA60" s="6" t="str">
        <f t="shared" si="18"/>
        <v>Потребность в контейнерах по данным субъекта 3551 шт. (18%)</v>
      </c>
      <c r="AB60" s="9" t="str">
        <f t="shared" si="19"/>
        <v>20/16/4 (18%)</v>
      </c>
    </row>
    <row r="61" spans="2:28">
      <c r="B61" s="25" t="s">
        <v>143</v>
      </c>
      <c r="C61" s="22">
        <f t="shared" si="8"/>
        <v>1</v>
      </c>
      <c r="D61" s="42">
        <f t="shared" si="20"/>
        <v>1</v>
      </c>
      <c r="E61" s="22">
        <f t="shared" si="9"/>
        <v>0</v>
      </c>
      <c r="F61" s="22">
        <f t="shared" si="21"/>
        <v>0</v>
      </c>
      <c r="G61" s="22">
        <f t="shared" si="22"/>
        <v>1</v>
      </c>
      <c r="H61" s="24">
        <v>2495266</v>
      </c>
      <c r="I61" s="37">
        <v>45020</v>
      </c>
      <c r="J61" s="37"/>
      <c r="K61" s="65">
        <v>33890</v>
      </c>
      <c r="L61" s="37">
        <v>16956</v>
      </c>
      <c r="M61" s="24">
        <f t="shared" si="11"/>
        <v>45020</v>
      </c>
      <c r="N61" s="32">
        <f t="shared" si="24"/>
        <v>18.0421646429679</v>
      </c>
      <c r="O61" s="32">
        <f t="shared" si="12"/>
        <v>13.5817183418521</v>
      </c>
      <c r="P61" s="32">
        <f t="shared" si="4"/>
        <v>18.0421646429679</v>
      </c>
      <c r="Q61" s="24">
        <f t="shared" si="13"/>
        <v>61976</v>
      </c>
      <c r="R61" s="33">
        <f t="shared" si="14"/>
        <v>0.27358977668775</v>
      </c>
      <c r="S61" s="33">
        <f t="shared" si="25"/>
        <v>1</v>
      </c>
      <c r="T61" s="6" t="str">
        <f t="shared" si="15"/>
        <v>Контейнеры: 45020 по ФГИС УТКО / 33890 по ТС</v>
      </c>
      <c r="U61" s="6" t="str">
        <f t="shared" si="27"/>
        <v>Наполнение ФГИС УТКО более 100%</v>
      </c>
      <c r="V61" s="34" t="str">
        <f t="shared" si="26"/>
        <v>Аномальные данные территориальной схемы</v>
      </c>
      <c r="X61" s="6">
        <f t="shared" si="28"/>
        <v>0.97380823585097</v>
      </c>
      <c r="Y61" s="6" t="str">
        <f t="shared" si="16"/>
        <v>ниже </v>
      </c>
      <c r="Z61" s="6" t="str">
        <f t="shared" si="17"/>
        <v>Обеспеченность контейнерами ниже среднего по России на 97%</v>
      </c>
      <c r="AA61" s="6" t="str">
        <f t="shared" si="18"/>
        <v>Потребность в контейнерах по данным субъекта 16956 шт. (27%)</v>
      </c>
      <c r="AB61" s="9" t="str">
        <f t="shared" si="19"/>
        <v>62/45/17 (27%)</v>
      </c>
    </row>
    <row r="62" spans="2:28">
      <c r="B62" s="25" t="s">
        <v>144</v>
      </c>
      <c r="C62" s="22">
        <f t="shared" si="8"/>
        <v>2</v>
      </c>
      <c r="D62" s="42">
        <f t="shared" si="20"/>
        <v>2</v>
      </c>
      <c r="E62" s="22">
        <f t="shared" si="9"/>
        <v>0</v>
      </c>
      <c r="F62" s="22">
        <f t="shared" si="21"/>
        <v>2</v>
      </c>
      <c r="G62" s="22">
        <f t="shared" si="22"/>
        <v>2</v>
      </c>
      <c r="H62" s="24">
        <v>1806393</v>
      </c>
      <c r="I62" s="37">
        <v>9423</v>
      </c>
      <c r="J62" s="37"/>
      <c r="K62" s="65">
        <v>61549</v>
      </c>
      <c r="L62" s="37">
        <v>39637</v>
      </c>
      <c r="M62" s="24">
        <f t="shared" si="11"/>
        <v>61549</v>
      </c>
      <c r="N62" s="32">
        <f t="shared" si="24"/>
        <v>5.21647282734156</v>
      </c>
      <c r="O62" s="32">
        <f t="shared" si="12"/>
        <v>34.0728734001959</v>
      </c>
      <c r="P62" s="32">
        <f t="shared" si="4"/>
        <v>34.0728734001959</v>
      </c>
      <c r="Q62" s="24">
        <f t="shared" si="13"/>
        <v>49060</v>
      </c>
      <c r="R62" s="33">
        <f t="shared" si="14"/>
        <v>0.807929066449246</v>
      </c>
      <c r="S62" s="33">
        <f t="shared" si="25"/>
        <v>0.153097532047637</v>
      </c>
      <c r="T62" s="6" t="str">
        <f t="shared" si="15"/>
        <v>Контейнеры: 9423 по ФГИС УТКО / 61549 по ТС</v>
      </c>
      <c r="U62" s="6" t="str">
        <f t="shared" si="27"/>
        <v>Наполнение ФГИС УТКО 15%</v>
      </c>
      <c r="V62" s="34" t="str">
        <f t="shared" si="26"/>
        <v>Аномальные данные территориальной схемы</v>
      </c>
      <c r="X62" s="6">
        <f t="shared" si="28"/>
        <v>0.979266684698086</v>
      </c>
      <c r="Y62" s="6" t="str">
        <f t="shared" si="16"/>
        <v>ниже </v>
      </c>
      <c r="Z62" s="6" t="str">
        <f t="shared" si="17"/>
        <v>Обеспеченность контейнерами ниже среднего по России на 98%</v>
      </c>
      <c r="AA62" s="6" t="str">
        <f t="shared" si="18"/>
        <v>Потребность в контейнерах по данным субъекта 39637 шт. (81%)</v>
      </c>
      <c r="AB62" s="9" t="str">
        <f t="shared" si="19"/>
        <v>49/9/40 (81%)</v>
      </c>
    </row>
    <row r="63" spans="2:28">
      <c r="B63" s="25" t="s">
        <v>95</v>
      </c>
      <c r="C63" s="22">
        <f t="shared" si="8"/>
        <v>1</v>
      </c>
      <c r="D63" s="42">
        <f t="shared" si="20"/>
        <v>1</v>
      </c>
      <c r="E63" s="22">
        <f t="shared" si="9"/>
        <v>0</v>
      </c>
      <c r="F63" s="22">
        <f t="shared" si="21"/>
        <v>2</v>
      </c>
      <c r="G63" s="22">
        <f t="shared" si="22"/>
        <v>1</v>
      </c>
      <c r="H63" s="24">
        <v>581147</v>
      </c>
      <c r="I63" s="37">
        <v>7218</v>
      </c>
      <c r="J63" s="37"/>
      <c r="K63" s="65">
        <v>9469</v>
      </c>
      <c r="L63" s="37">
        <v>2329</v>
      </c>
      <c r="M63" s="24">
        <f t="shared" si="11"/>
        <v>9469</v>
      </c>
      <c r="N63" s="32">
        <f t="shared" si="24"/>
        <v>12.4202654405856</v>
      </c>
      <c r="O63" s="32">
        <f t="shared" si="12"/>
        <v>16.2936399912587</v>
      </c>
      <c r="P63" s="32">
        <f t="shared" si="4"/>
        <v>16.2936399912587</v>
      </c>
      <c r="Q63" s="24">
        <f t="shared" si="13"/>
        <v>9547</v>
      </c>
      <c r="R63" s="33">
        <f t="shared" si="14"/>
        <v>0.243950979365246</v>
      </c>
      <c r="S63" s="33">
        <f t="shared" si="25"/>
        <v>0.762276903580103</v>
      </c>
      <c r="T63" s="6" t="str">
        <f t="shared" si="15"/>
        <v>Контейнеры: 7218 по ФГИС УТКО / 9469 по ТС</v>
      </c>
      <c r="U63" s="6" t="str">
        <f t="shared" si="27"/>
        <v>Наполнение ФГИС УТКО 76%</v>
      </c>
      <c r="V63" s="34" t="str">
        <f t="shared" si="26"/>
        <v>Аномальные данные территориальной схемы</v>
      </c>
      <c r="X63" s="6">
        <f t="shared" si="28"/>
        <v>0.995965328960714</v>
      </c>
      <c r="Y63" s="6" t="str">
        <f t="shared" si="16"/>
        <v>ниже </v>
      </c>
      <c r="Z63" s="6" t="str">
        <f t="shared" si="17"/>
        <v>Обеспеченность контейнерами ниже среднего по России на 100%</v>
      </c>
      <c r="AA63" s="6" t="str">
        <f t="shared" si="18"/>
        <v>Потребность в контейнерах по данным субъекта 2329 шт. (24%)</v>
      </c>
      <c r="AB63" s="9" t="str">
        <f t="shared" si="19"/>
        <v>10/7/2 (24%)</v>
      </c>
    </row>
    <row r="64" spans="2:28">
      <c r="B64" s="25" t="s">
        <v>96</v>
      </c>
      <c r="C64" s="22">
        <f t="shared" si="8"/>
        <v>2</v>
      </c>
      <c r="D64" s="42">
        <f t="shared" si="20"/>
        <v>2</v>
      </c>
      <c r="E64" s="22">
        <f t="shared" si="9"/>
        <v>0</v>
      </c>
      <c r="F64" s="22">
        <f t="shared" si="21"/>
        <v>2</v>
      </c>
      <c r="G64" s="22">
        <f t="shared" si="22"/>
        <v>2</v>
      </c>
      <c r="H64" s="24">
        <v>500591</v>
      </c>
      <c r="I64" s="37">
        <v>3611</v>
      </c>
      <c r="J64" s="37"/>
      <c r="K64" s="65">
        <v>6856</v>
      </c>
      <c r="L64" s="37">
        <v>4302</v>
      </c>
      <c r="M64" s="24">
        <f t="shared" si="11"/>
        <v>6856</v>
      </c>
      <c r="N64" s="32">
        <f t="shared" si="24"/>
        <v>7.21347367411719</v>
      </c>
      <c r="O64" s="32">
        <f t="shared" si="12"/>
        <v>13.695811550747</v>
      </c>
      <c r="P64" s="32">
        <f t="shared" si="4"/>
        <v>13.695811550747</v>
      </c>
      <c r="Q64" s="24">
        <f t="shared" si="13"/>
        <v>7913</v>
      </c>
      <c r="R64" s="33">
        <f t="shared" si="14"/>
        <v>0.543662327814988</v>
      </c>
      <c r="S64" s="33">
        <f t="shared" si="25"/>
        <v>0.52669194865811</v>
      </c>
      <c r="T64" s="6" t="str">
        <f t="shared" si="15"/>
        <v>Контейнеры: 3611 по ФГИС УТКО / 6856 по ТС</v>
      </c>
      <c r="U64" s="6" t="str">
        <f t="shared" si="27"/>
        <v>Наполнение ФГИС УТКО 53%</v>
      </c>
      <c r="V64" s="34" t="str">
        <f t="shared" si="26"/>
        <v>Аномальные данные территориальной схемы</v>
      </c>
      <c r="X64" s="6">
        <f t="shared" si="28"/>
        <v>0.996655875988911</v>
      </c>
      <c r="Y64" s="6" t="str">
        <f t="shared" si="16"/>
        <v>ниже </v>
      </c>
      <c r="Z64" s="6" t="str">
        <f t="shared" si="17"/>
        <v>Обеспеченность контейнерами ниже среднего по России на 100%</v>
      </c>
      <c r="AA64" s="6" t="str">
        <f t="shared" si="18"/>
        <v>Потребность в контейнерах по данным субъекта 4302 шт. (54%)</v>
      </c>
      <c r="AB64" s="9" t="str">
        <f t="shared" si="19"/>
        <v>8/4/4 (54%)</v>
      </c>
    </row>
    <row r="65" spans="2:28">
      <c r="B65" s="25" t="s">
        <v>147</v>
      </c>
      <c r="C65" s="22">
        <f t="shared" si="8"/>
        <v>1</v>
      </c>
      <c r="D65" s="42">
        <f t="shared" si="20"/>
        <v>1</v>
      </c>
      <c r="E65" s="22">
        <f t="shared" si="9"/>
        <v>0</v>
      </c>
      <c r="F65" s="22">
        <f t="shared" si="21"/>
        <v>2</v>
      </c>
      <c r="G65" s="22">
        <f t="shared" si="22"/>
        <v>1</v>
      </c>
      <c r="H65" s="24">
        <v>210765</v>
      </c>
      <c r="I65" s="37">
        <v>2829</v>
      </c>
      <c r="J65" s="37"/>
      <c r="K65" s="65">
        <v>4936</v>
      </c>
      <c r="L65" s="37">
        <v>700</v>
      </c>
      <c r="M65" s="24">
        <f t="shared" si="11"/>
        <v>4936</v>
      </c>
      <c r="N65" s="32">
        <f t="shared" si="24"/>
        <v>13.4225322041136</v>
      </c>
      <c r="O65" s="32">
        <f t="shared" si="12"/>
        <v>23.4194482006026</v>
      </c>
      <c r="P65" s="32">
        <f t="shared" si="4"/>
        <v>23.4194482006026</v>
      </c>
      <c r="Q65" s="24">
        <f t="shared" si="13"/>
        <v>3529</v>
      </c>
      <c r="R65" s="33">
        <f t="shared" si="14"/>
        <v>0.198356474922074</v>
      </c>
      <c r="S65" s="33">
        <f t="shared" si="25"/>
        <v>0.573136142625608</v>
      </c>
      <c r="T65" s="6" t="str">
        <f t="shared" si="15"/>
        <v>Контейнеры: 2829 по ФГИС УТКО / 4936 по ТС</v>
      </c>
      <c r="U65" s="6" t="str">
        <f t="shared" si="27"/>
        <v>Наполнение ФГИС УТКО 57%</v>
      </c>
      <c r="V65" s="34" t="str">
        <f t="shared" si="26"/>
        <v>Аномальные данные территориальной схемы</v>
      </c>
      <c r="X65" s="6">
        <f t="shared" si="28"/>
        <v>0.998508604368111</v>
      </c>
      <c r="Y65" s="6" t="str">
        <f t="shared" si="16"/>
        <v>ниже </v>
      </c>
      <c r="Z65" s="6" t="str">
        <f t="shared" si="17"/>
        <v>Обеспеченность контейнерами ниже среднего по России на 100%</v>
      </c>
      <c r="AA65" s="6" t="str">
        <f t="shared" si="18"/>
        <v>Потребность в контейнерах по данным субъекта 700 шт. (20%)</v>
      </c>
      <c r="AB65" s="9" t="str">
        <f t="shared" si="19"/>
        <v>4/3/1 (20%)</v>
      </c>
    </row>
    <row r="66" spans="2:28">
      <c r="B66" s="25" t="s">
        <v>88</v>
      </c>
      <c r="C66" s="22">
        <f t="shared" si="8"/>
        <v>0</v>
      </c>
      <c r="D66" s="42">
        <f t="shared" si="20"/>
        <v>0</v>
      </c>
      <c r="E66" s="22">
        <f t="shared" si="9"/>
        <v>0</v>
      </c>
      <c r="F66" s="22">
        <f t="shared" si="21"/>
        <v>0</v>
      </c>
      <c r="G66" s="22">
        <f t="shared" si="22"/>
        <v>0</v>
      </c>
      <c r="H66" s="24">
        <v>4064361</v>
      </c>
      <c r="I66" s="37">
        <v>103522</v>
      </c>
      <c r="J66" s="37"/>
      <c r="K66" s="65">
        <v>88879</v>
      </c>
      <c r="L66" s="37">
        <v>10195</v>
      </c>
      <c r="M66" s="24">
        <f t="shared" si="11"/>
        <v>103522</v>
      </c>
      <c r="N66" s="32">
        <f t="shared" si="24"/>
        <v>25.4706705432908</v>
      </c>
      <c r="O66" s="32">
        <f t="shared" si="12"/>
        <v>21.8678901800308</v>
      </c>
      <c r="P66" s="32">
        <f t="shared" si="4"/>
        <v>25.4706705432908</v>
      </c>
      <c r="Q66" s="24">
        <f t="shared" si="13"/>
        <v>113717</v>
      </c>
      <c r="R66" s="33">
        <f t="shared" si="14"/>
        <v>0.0896523826692579</v>
      </c>
      <c r="S66" s="33">
        <f t="shared" si="25"/>
        <v>1</v>
      </c>
      <c r="T66" s="6" t="str">
        <f t="shared" si="15"/>
        <v>Контейнеры: 103522 по ФГИС УТКО / 88879 по ТС</v>
      </c>
      <c r="U66" s="6" t="str">
        <f t="shared" si="27"/>
        <v>Наполнение ФГИС УТКО более 100%</v>
      </c>
      <c r="V66" s="34" t="str">
        <f t="shared" si="26"/>
        <v>Аномальные данные территориальной схемы</v>
      </c>
      <c r="X66" s="6">
        <f t="shared" si="28"/>
        <v>0.951941899384678</v>
      </c>
      <c r="Y66" s="6" t="str">
        <f t="shared" si="16"/>
        <v>ниже </v>
      </c>
      <c r="Z66" s="6" t="str">
        <f t="shared" si="17"/>
        <v>Обеспеченность контейнерами ниже среднего по России на 95%</v>
      </c>
      <c r="AA66" s="6" t="str">
        <f t="shared" si="18"/>
        <v>Потребность в контейнерах по данным субъекта 10195 шт. (9%)</v>
      </c>
      <c r="AB66" s="9" t="str">
        <f t="shared" si="19"/>
        <v>114/104/10 (9%)</v>
      </c>
    </row>
    <row r="67" spans="2:28">
      <c r="B67" s="25" t="s">
        <v>157</v>
      </c>
      <c r="C67" s="22">
        <f t="shared" si="8"/>
        <v>2</v>
      </c>
      <c r="D67" s="42">
        <f t="shared" si="20"/>
        <v>2</v>
      </c>
      <c r="E67" s="22">
        <f t="shared" si="9"/>
        <v>2</v>
      </c>
      <c r="F67" s="22">
        <f t="shared" si="21"/>
        <v>0</v>
      </c>
      <c r="G67" s="22">
        <f t="shared" si="22"/>
        <v>2</v>
      </c>
      <c r="H67" s="24">
        <v>971922</v>
      </c>
      <c r="I67" s="37">
        <v>7328</v>
      </c>
      <c r="J67" s="37"/>
      <c r="K67" s="65">
        <v>7110</v>
      </c>
      <c r="L67" s="37">
        <v>0</v>
      </c>
      <c r="M67" s="24">
        <f t="shared" si="11"/>
        <v>7328</v>
      </c>
      <c r="N67" s="32">
        <f t="shared" si="24"/>
        <v>7.53969968783503</v>
      </c>
      <c r="O67" s="32">
        <f t="shared" si="12"/>
        <v>7.31540185323514</v>
      </c>
      <c r="P67" s="32">
        <f t="shared" si="4"/>
        <v>7.53969968783503</v>
      </c>
      <c r="Q67" s="24">
        <f t="shared" si="13"/>
        <v>7328</v>
      </c>
      <c r="R67" s="33">
        <f t="shared" si="14"/>
        <v>0</v>
      </c>
      <c r="S67" s="33">
        <f t="shared" si="25"/>
        <v>1</v>
      </c>
      <c r="T67" s="6" t="str">
        <f t="shared" si="15"/>
        <v>Контейнеры: 7328 по ФГИС УТКО / 7110 по ТС</v>
      </c>
      <c r="U67" s="6" t="str">
        <f t="shared" si="27"/>
        <v>Наполнение ФГИС УТКО более 100%</v>
      </c>
      <c r="V67" s="34" t="str">
        <f t="shared" si="26"/>
        <v>Аномальные данные территориальной схемы</v>
      </c>
      <c r="X67" s="6">
        <f t="shared" si="28"/>
        <v>0.996903103658124</v>
      </c>
      <c r="Y67" s="6" t="str">
        <f t="shared" si="16"/>
        <v>ниже </v>
      </c>
      <c r="Z67" s="6" t="str">
        <f t="shared" si="17"/>
        <v>Обеспеченность контейнерами ниже среднего по России на 100%</v>
      </c>
      <c r="AA67" s="6" t="str">
        <f t="shared" si="18"/>
        <v>Потребность в КП не представлена</v>
      </c>
      <c r="AB67" s="9" t="str">
        <f t="shared" si="19"/>
        <v>7/7/0 (0%)</v>
      </c>
    </row>
    <row r="68" spans="2:28">
      <c r="B68" s="25" t="s">
        <v>136</v>
      </c>
      <c r="C68" s="22">
        <f t="shared" si="8"/>
        <v>2</v>
      </c>
      <c r="D68" s="42">
        <f t="shared" si="20"/>
        <v>2</v>
      </c>
      <c r="E68" s="22">
        <f t="shared" si="9"/>
        <v>2</v>
      </c>
      <c r="F68" s="22">
        <f t="shared" si="21"/>
        <v>0</v>
      </c>
      <c r="G68" s="22">
        <f t="shared" si="22"/>
        <v>2</v>
      </c>
      <c r="H68" s="24">
        <v>3232224</v>
      </c>
      <c r="I68" s="37">
        <v>18260</v>
      </c>
      <c r="J68" s="37"/>
      <c r="K68" s="65">
        <v>5315</v>
      </c>
      <c r="L68" s="37">
        <v>0</v>
      </c>
      <c r="M68" s="24">
        <f t="shared" si="11"/>
        <v>18260</v>
      </c>
      <c r="N68" s="32">
        <f t="shared" si="24"/>
        <v>5.64936093538072</v>
      </c>
      <c r="O68" s="32">
        <f t="shared" si="12"/>
        <v>1.64437860742325</v>
      </c>
      <c r="P68" s="32">
        <f t="shared" si="4"/>
        <v>5.64936093538072</v>
      </c>
      <c r="Q68" s="24">
        <f t="shared" si="13"/>
        <v>18260</v>
      </c>
      <c r="R68" s="33">
        <f t="shared" si="14"/>
        <v>0</v>
      </c>
      <c r="S68" s="33">
        <f t="shared" si="25"/>
        <v>1</v>
      </c>
      <c r="T68" s="6" t="str">
        <f t="shared" si="15"/>
        <v>Контейнеры: 18260 по ФГИС УТКО / 5315 по ТС</v>
      </c>
      <c r="U68" s="6" t="str">
        <f t="shared" si="27"/>
        <v>Наполнение ФГИС УТКО более 100%</v>
      </c>
      <c r="V68" s="34" t="str">
        <f t="shared" si="26"/>
        <v>Аномальные данные территориальной схемы</v>
      </c>
      <c r="X68" s="6">
        <f t="shared" si="28"/>
        <v>0.992283115829333</v>
      </c>
      <c r="Y68" s="6" t="str">
        <f t="shared" si="16"/>
        <v>ниже </v>
      </c>
      <c r="Z68" s="6" t="str">
        <f t="shared" si="17"/>
        <v>Обеспеченность контейнерами ниже среднего по России на 99%</v>
      </c>
      <c r="AA68" s="6" t="str">
        <f t="shared" si="18"/>
        <v>Потребность в КП не представлена</v>
      </c>
      <c r="AB68" s="9" t="str">
        <f t="shared" si="19"/>
        <v>18/18/0 (0%)</v>
      </c>
    </row>
    <row r="69" spans="2:28">
      <c r="B69" s="25" t="s">
        <v>158</v>
      </c>
      <c r="C69" s="22">
        <f t="shared" si="8"/>
        <v>2</v>
      </c>
      <c r="D69" s="42">
        <f t="shared" si="20"/>
        <v>2</v>
      </c>
      <c r="E69" s="22">
        <f t="shared" si="9"/>
        <v>2</v>
      </c>
      <c r="F69" s="22">
        <f t="shared" si="21"/>
        <v>2</v>
      </c>
      <c r="G69" s="22">
        <f t="shared" si="22"/>
        <v>2</v>
      </c>
      <c r="H69" s="24">
        <v>527220</v>
      </c>
      <c r="I69" s="37">
        <v>319</v>
      </c>
      <c r="J69" s="37"/>
      <c r="K69" s="65">
        <v>1395</v>
      </c>
      <c r="L69" s="37">
        <v>0</v>
      </c>
      <c r="M69" s="24">
        <f t="shared" si="11"/>
        <v>1395</v>
      </c>
      <c r="N69" s="32">
        <f t="shared" si="24"/>
        <v>0.605060506050605</v>
      </c>
      <c r="O69" s="32">
        <f t="shared" si="12"/>
        <v>2.64595425059747</v>
      </c>
      <c r="P69" s="32">
        <f t="shared" si="4"/>
        <v>2.64595425059747</v>
      </c>
      <c r="Q69" s="24">
        <f t="shared" si="13"/>
        <v>319</v>
      </c>
      <c r="R69" s="33">
        <f t="shared" si="14"/>
        <v>0</v>
      </c>
      <c r="S69" s="33">
        <f t="shared" si="25"/>
        <v>0.228673835125448</v>
      </c>
      <c r="T69" s="6" t="str">
        <f t="shared" si="15"/>
        <v>Контейнеры: 319 по ФГИС УТКО / 1395 по ТС</v>
      </c>
      <c r="U69" s="6" t="str">
        <f t="shared" si="27"/>
        <v>Наполнение ФГИС УТКО 23%</v>
      </c>
      <c r="V69" s="34" t="str">
        <f t="shared" si="26"/>
        <v>Аномальные данные территориальной схемы</v>
      </c>
      <c r="X69" s="6">
        <f t="shared" si="28"/>
        <v>0.999865186963284</v>
      </c>
      <c r="Y69" s="6" t="str">
        <f t="shared" si="16"/>
        <v>ниже </v>
      </c>
      <c r="Z69" s="6" t="str">
        <f t="shared" si="17"/>
        <v>Обеспеченность контейнерами ниже среднего по России на 100%</v>
      </c>
      <c r="AA69" s="6" t="str">
        <f t="shared" si="18"/>
        <v>Потребность в КП не представлена</v>
      </c>
      <c r="AB69" s="9" t="str">
        <f t="shared" si="19"/>
        <v>0/0/0 (0%)</v>
      </c>
    </row>
    <row r="70" spans="2:28">
      <c r="B70" s="25" t="s">
        <v>120</v>
      </c>
      <c r="C70" s="22">
        <f t="shared" si="8"/>
        <v>1</v>
      </c>
      <c r="D70" s="42">
        <f t="shared" si="20"/>
        <v>1</v>
      </c>
      <c r="E70" s="22">
        <f t="shared" si="9"/>
        <v>2</v>
      </c>
      <c r="F70" s="22">
        <f t="shared" si="21"/>
        <v>0</v>
      </c>
      <c r="G70" s="22">
        <f t="shared" si="22"/>
        <v>1</v>
      </c>
      <c r="H70" s="24">
        <v>266770</v>
      </c>
      <c r="I70" s="37">
        <v>2375</v>
      </c>
      <c r="J70" s="37"/>
      <c r="K70" s="65">
        <v>1795</v>
      </c>
      <c r="L70" s="37">
        <v>819</v>
      </c>
      <c r="M70" s="24">
        <f t="shared" si="11"/>
        <v>2375</v>
      </c>
      <c r="N70" s="32">
        <f t="shared" si="24"/>
        <v>8.90280016493609</v>
      </c>
      <c r="O70" s="32">
        <f t="shared" si="12"/>
        <v>6.72864265097275</v>
      </c>
      <c r="P70" s="32">
        <f t="shared" si="4"/>
        <v>8.90280016493609</v>
      </c>
      <c r="Q70" s="24">
        <f t="shared" si="13"/>
        <v>3194</v>
      </c>
      <c r="R70" s="33">
        <f t="shared" si="14"/>
        <v>0.256418284283031</v>
      </c>
      <c r="S70" s="33">
        <f t="shared" si="25"/>
        <v>1</v>
      </c>
      <c r="T70" s="6" t="str">
        <f t="shared" si="15"/>
        <v>Контейнеры: 2375 по ФГИС УТКО / 1795 по ТС</v>
      </c>
      <c r="U70" s="6" t="str">
        <f t="shared" si="27"/>
        <v>Наполнение ФГИС УТКО более 100%</v>
      </c>
      <c r="V70" s="34" t="str">
        <f t="shared" si="26"/>
        <v>Аномальные данные территориальной схемы</v>
      </c>
      <c r="X70" s="6">
        <f t="shared" si="28"/>
        <v>0.998650179187234</v>
      </c>
      <c r="Y70" s="6" t="str">
        <f t="shared" si="16"/>
        <v>ниже </v>
      </c>
      <c r="Z70" s="6" t="str">
        <f t="shared" si="17"/>
        <v>Обеспеченность контейнерами ниже среднего по России на 100%</v>
      </c>
      <c r="AA70" s="6" t="str">
        <f t="shared" si="18"/>
        <v>Потребность в контейнерах по данным субъекта 819 шт. (26%)</v>
      </c>
      <c r="AB70" s="9" t="str">
        <f t="shared" si="19"/>
        <v>3/2/1 (26%)</v>
      </c>
    </row>
    <row r="71" spans="2:28">
      <c r="B71" s="25" t="s">
        <v>112</v>
      </c>
      <c r="C71" s="22">
        <f t="shared" si="8"/>
        <v>2</v>
      </c>
      <c r="D71" s="42">
        <f t="shared" si="20"/>
        <v>2</v>
      </c>
      <c r="E71" s="22">
        <f t="shared" si="9"/>
        <v>0</v>
      </c>
      <c r="F71" s="22">
        <f t="shared" si="21"/>
        <v>2</v>
      </c>
      <c r="G71" s="22">
        <f t="shared" si="22"/>
        <v>2</v>
      </c>
      <c r="H71" s="24">
        <v>523856</v>
      </c>
      <c r="I71" s="37">
        <v>8628</v>
      </c>
      <c r="J71" s="37"/>
      <c r="K71" s="65">
        <v>12100</v>
      </c>
      <c r="L71" s="37">
        <v>0</v>
      </c>
      <c r="M71" s="24">
        <f t="shared" si="11"/>
        <v>12100</v>
      </c>
      <c r="N71" s="32">
        <f t="shared" si="24"/>
        <v>16.4701750099264</v>
      </c>
      <c r="O71" s="32">
        <f t="shared" si="12"/>
        <v>23.0979505818393</v>
      </c>
      <c r="P71" s="32">
        <f t="shared" si="4"/>
        <v>23.0979505818393</v>
      </c>
      <c r="Q71" s="24">
        <f t="shared" si="13"/>
        <v>8628</v>
      </c>
      <c r="R71" s="33">
        <f t="shared" si="14"/>
        <v>0</v>
      </c>
      <c r="S71" s="33">
        <f t="shared" si="25"/>
        <v>0.713057851239669</v>
      </c>
      <c r="T71" s="6" t="str">
        <f t="shared" si="15"/>
        <v>Контейнеры: 8628 по ФГИС УТКО / 12100 по ТС</v>
      </c>
      <c r="U71" s="6" t="str">
        <f t="shared" si="27"/>
        <v>Наполнение ФГИС УТКО 71%</v>
      </c>
      <c r="V71" s="34" t="str">
        <f t="shared" si="26"/>
        <v>Аномальные данные территориальной схемы</v>
      </c>
      <c r="X71" s="6">
        <f t="shared" si="28"/>
        <v>0.99635370883765</v>
      </c>
      <c r="Y71" s="6" t="str">
        <f t="shared" si="16"/>
        <v>ниже </v>
      </c>
      <c r="Z71" s="6" t="str">
        <f t="shared" si="17"/>
        <v>Обеспеченность контейнерами ниже среднего по России на 100%</v>
      </c>
      <c r="AA71" s="6" t="str">
        <f t="shared" si="18"/>
        <v>Потребность в КП не представлена</v>
      </c>
      <c r="AB71" s="9" t="str">
        <f t="shared" si="19"/>
        <v>9/9/0 (0%)</v>
      </c>
    </row>
    <row r="72" spans="2:28">
      <c r="B72" s="25" t="s">
        <v>97</v>
      </c>
      <c r="C72" s="22">
        <f t="shared" si="8"/>
        <v>0</v>
      </c>
      <c r="D72" s="42">
        <f t="shared" si="20"/>
        <v>0</v>
      </c>
      <c r="E72" s="22">
        <f t="shared" si="9"/>
        <v>0</v>
      </c>
      <c r="F72" s="22">
        <f t="shared" si="21"/>
        <v>0</v>
      </c>
      <c r="G72" s="22">
        <f t="shared" si="22"/>
        <v>0</v>
      </c>
      <c r="H72" s="24">
        <v>720610</v>
      </c>
      <c r="I72" s="37">
        <v>16588</v>
      </c>
      <c r="J72" s="37"/>
      <c r="K72" s="65">
        <v>14171</v>
      </c>
      <c r="L72" s="37">
        <v>1117</v>
      </c>
      <c r="M72" s="24">
        <f t="shared" si="11"/>
        <v>16588</v>
      </c>
      <c r="N72" s="32">
        <f t="shared" si="24"/>
        <v>23.0193863532285</v>
      </c>
      <c r="O72" s="32">
        <f t="shared" si="12"/>
        <v>19.6652835791899</v>
      </c>
      <c r="P72" s="32">
        <f t="shared" si="4"/>
        <v>23.0193863532285</v>
      </c>
      <c r="Q72" s="24">
        <f t="shared" si="13"/>
        <v>17705</v>
      </c>
      <c r="R72" s="33">
        <f t="shared" si="14"/>
        <v>0.063089522733691</v>
      </c>
      <c r="S72" s="33">
        <f t="shared" si="25"/>
        <v>1</v>
      </c>
      <c r="T72" s="6" t="str">
        <f t="shared" si="15"/>
        <v>Контейнеры: 16588 по ФГИС УТКО / 14171 по ТС</v>
      </c>
      <c r="U72" s="6" t="str">
        <f t="shared" si="27"/>
        <v>Наполнение ФГИС УТКО более 100%</v>
      </c>
      <c r="V72" s="34" t="str">
        <f t="shared" si="26"/>
        <v>Аномальные данные территориальной схемы</v>
      </c>
      <c r="X72" s="6">
        <f t="shared" si="28"/>
        <v>0.992517665156535</v>
      </c>
      <c r="Y72" s="6" t="str">
        <f t="shared" si="16"/>
        <v>ниже </v>
      </c>
      <c r="Z72" s="6" t="str">
        <f t="shared" si="17"/>
        <v>Обеспеченность контейнерами ниже среднего по России на 99%</v>
      </c>
      <c r="AA72" s="6" t="str">
        <f t="shared" si="18"/>
        <v>Потребность в контейнерах по данным субъекта 1117 шт. (6%)</v>
      </c>
      <c r="AB72" s="9" t="str">
        <f t="shared" si="19"/>
        <v>18/17/1 (6%)</v>
      </c>
    </row>
    <row r="73" spans="2:28">
      <c r="B73" s="25" t="s">
        <v>98</v>
      </c>
      <c r="C73" s="22">
        <f t="shared" si="8"/>
        <v>0</v>
      </c>
      <c r="D73" s="42">
        <f t="shared" si="20"/>
        <v>0</v>
      </c>
      <c r="E73" s="22">
        <f t="shared" si="9"/>
        <v>0</v>
      </c>
      <c r="F73" s="22">
        <f t="shared" si="21"/>
        <v>0</v>
      </c>
      <c r="G73" s="22">
        <f t="shared" si="22"/>
        <v>0</v>
      </c>
      <c r="H73" s="24">
        <v>1909499</v>
      </c>
      <c r="I73" s="37">
        <v>25528</v>
      </c>
      <c r="J73" s="37"/>
      <c r="K73" s="65">
        <v>22908</v>
      </c>
      <c r="L73" s="37">
        <v>663</v>
      </c>
      <c r="M73" s="24">
        <f t="shared" si="11"/>
        <v>25528</v>
      </c>
      <c r="N73" s="32">
        <f t="shared" si="24"/>
        <v>13.3689517512185</v>
      </c>
      <c r="O73" s="32">
        <f t="shared" si="12"/>
        <v>11.9968640989076</v>
      </c>
      <c r="P73" s="32">
        <f t="shared" si="4"/>
        <v>13.3689517512185</v>
      </c>
      <c r="Q73" s="24">
        <f t="shared" si="13"/>
        <v>26191</v>
      </c>
      <c r="R73" s="33">
        <f t="shared" si="14"/>
        <v>0.025314039173762</v>
      </c>
      <c r="S73" s="33">
        <f t="shared" si="25"/>
        <v>1</v>
      </c>
      <c r="T73" s="6" t="str">
        <f t="shared" si="15"/>
        <v>Контейнеры: 25528 по ФГИС УТКО / 22908 по ТС</v>
      </c>
      <c r="U73" s="6" t="str">
        <f t="shared" si="27"/>
        <v>Наполнение ФГИС УТКО более 100%</v>
      </c>
      <c r="V73" s="34" t="str">
        <f t="shared" si="26"/>
        <v>Аномальные данные территориальной схемы</v>
      </c>
      <c r="X73" s="6">
        <f t="shared" si="28"/>
        <v>0.988931384813037</v>
      </c>
      <c r="Y73" s="6" t="str">
        <f t="shared" si="16"/>
        <v>ниже </v>
      </c>
      <c r="Z73" s="6" t="str">
        <f t="shared" si="17"/>
        <v>Обеспеченность контейнерами ниже среднего по России на 99%</v>
      </c>
      <c r="AA73" s="6" t="str">
        <f t="shared" si="18"/>
        <v>Потребность в контейнерах по данным субъекта 663 шт. (3%)</v>
      </c>
      <c r="AB73" s="9" t="str">
        <f t="shared" si="19"/>
        <v>26/26/1 (3%)</v>
      </c>
    </row>
    <row r="74" spans="2:28">
      <c r="B74" s="25" t="s">
        <v>110</v>
      </c>
      <c r="C74" s="22">
        <f t="shared" si="8"/>
        <v>0</v>
      </c>
      <c r="D74" s="42">
        <f t="shared" si="20"/>
        <v>0</v>
      </c>
      <c r="E74" s="22">
        <f t="shared" si="9"/>
        <v>0</v>
      </c>
      <c r="F74" s="22">
        <f t="shared" si="21"/>
        <v>0</v>
      </c>
      <c r="G74" s="22">
        <f t="shared" si="22"/>
        <v>0</v>
      </c>
      <c r="H74" s="24">
        <v>669854</v>
      </c>
      <c r="I74" s="37">
        <v>9210</v>
      </c>
      <c r="J74" s="37"/>
      <c r="K74" s="65">
        <v>10076</v>
      </c>
      <c r="L74" s="37">
        <v>174</v>
      </c>
      <c r="M74" s="24">
        <f t="shared" si="11"/>
        <v>10076</v>
      </c>
      <c r="N74" s="32">
        <f t="shared" si="24"/>
        <v>13.7492647651578</v>
      </c>
      <c r="O74" s="32">
        <f t="shared" si="12"/>
        <v>15.0420837973648</v>
      </c>
      <c r="P74" s="32">
        <f t="shared" si="4"/>
        <v>15.0420837973648</v>
      </c>
      <c r="Q74" s="24">
        <f t="shared" si="13"/>
        <v>9384</v>
      </c>
      <c r="R74" s="33">
        <f t="shared" si="14"/>
        <v>0.018542199488491</v>
      </c>
      <c r="S74" s="33">
        <f t="shared" si="25"/>
        <v>0.914053195712584</v>
      </c>
      <c r="T74" s="6" t="str">
        <f t="shared" si="15"/>
        <v>Контейнеры: 9210 по ФГИС УТКО / 10076 по ТС</v>
      </c>
      <c r="U74" s="6" t="str">
        <f t="shared" si="27"/>
        <v>Наполнение ФГИС УТКО 91%</v>
      </c>
      <c r="V74" s="34" t="str">
        <f t="shared" si="26"/>
        <v>Аномальные данные территориальной схемы</v>
      </c>
      <c r="X74" s="6">
        <f t="shared" si="28"/>
        <v>0.996034214618974</v>
      </c>
      <c r="Y74" s="6" t="str">
        <f t="shared" si="16"/>
        <v>ниже </v>
      </c>
      <c r="Z74" s="6" t="str">
        <f t="shared" si="17"/>
        <v>Обеспеченность контейнерами ниже среднего по России на 100%</v>
      </c>
      <c r="AA74" s="6" t="str">
        <f t="shared" si="18"/>
        <v>Потребность в контейнерах по данным субъекта 174 шт. (2%)</v>
      </c>
      <c r="AB74" s="9" t="str">
        <f t="shared" si="19"/>
        <v>9/9/0 (2%)</v>
      </c>
    </row>
    <row r="75" spans="2:28">
      <c r="B75" s="25" t="s">
        <v>115</v>
      </c>
      <c r="C75" s="22">
        <f t="shared" si="8"/>
        <v>2</v>
      </c>
      <c r="D75" s="42">
        <f t="shared" si="20"/>
        <v>2</v>
      </c>
      <c r="E75" s="22">
        <f t="shared" si="9"/>
        <v>0</v>
      </c>
      <c r="F75" s="22">
        <f t="shared" si="21"/>
        <v>1</v>
      </c>
      <c r="G75" s="22">
        <f t="shared" si="22"/>
        <v>2</v>
      </c>
      <c r="H75" s="24">
        <v>765891</v>
      </c>
      <c r="I75" s="37">
        <v>14766</v>
      </c>
      <c r="J75" s="37"/>
      <c r="K75" s="65">
        <v>16860</v>
      </c>
      <c r="L75" s="37">
        <v>0</v>
      </c>
      <c r="M75" s="24">
        <f t="shared" si="11"/>
        <v>16860</v>
      </c>
      <c r="N75" s="32">
        <f t="shared" si="24"/>
        <v>19.2795058304641</v>
      </c>
      <c r="O75" s="32">
        <f t="shared" si="12"/>
        <v>22.0135763444145</v>
      </c>
      <c r="P75" s="32">
        <f t="shared" si="4"/>
        <v>22.0135763444145</v>
      </c>
      <c r="Q75" s="24">
        <f t="shared" si="13"/>
        <v>14766</v>
      </c>
      <c r="R75" s="33">
        <f t="shared" si="14"/>
        <v>0</v>
      </c>
      <c r="S75" s="33">
        <f t="shared" si="25"/>
        <v>0.875800711743772</v>
      </c>
      <c r="T75" s="6" t="str">
        <f t="shared" si="15"/>
        <v>Контейнеры: 14766 по ФГИС УТКО / 16860 по ТС</v>
      </c>
      <c r="U75" s="6" t="str">
        <f t="shared" si="27"/>
        <v>Наполнение ФГИС УТКО 88%</v>
      </c>
      <c r="V75" s="34" t="str">
        <f t="shared" si="26"/>
        <v>Аномальные данные территориальной схемы</v>
      </c>
      <c r="X75" s="6">
        <f t="shared" si="28"/>
        <v>0.993759720062208</v>
      </c>
      <c r="Y75" s="6" t="str">
        <f t="shared" si="16"/>
        <v>ниже </v>
      </c>
      <c r="Z75" s="6" t="str">
        <f t="shared" si="17"/>
        <v>Обеспеченность контейнерами ниже среднего по России на 99%</v>
      </c>
      <c r="AA75" s="6" t="str">
        <f t="shared" si="18"/>
        <v>Потребность в КП не представлена</v>
      </c>
      <c r="AB75" s="9" t="str">
        <f t="shared" si="19"/>
        <v>15/15/0 (0%)</v>
      </c>
    </row>
    <row r="76" spans="2:28">
      <c r="B76" s="25" t="s">
        <v>159</v>
      </c>
      <c r="C76" s="22">
        <f t="shared" si="8"/>
        <v>2</v>
      </c>
      <c r="D76" s="42">
        <f t="shared" si="20"/>
        <v>2</v>
      </c>
      <c r="E76" s="22">
        <f t="shared" si="9"/>
        <v>0</v>
      </c>
      <c r="F76" s="22">
        <f t="shared" si="21"/>
        <v>2</v>
      </c>
      <c r="G76" s="22">
        <f t="shared" si="22"/>
        <v>2</v>
      </c>
      <c r="H76" s="24">
        <v>1001664</v>
      </c>
      <c r="I76" s="37">
        <v>10461</v>
      </c>
      <c r="J76" s="37"/>
      <c r="K76" s="65">
        <v>14286</v>
      </c>
      <c r="L76" s="37">
        <v>0</v>
      </c>
      <c r="M76" s="24">
        <f t="shared" si="11"/>
        <v>14286</v>
      </c>
      <c r="N76" s="32">
        <f t="shared" si="24"/>
        <v>10.4436218133027</v>
      </c>
      <c r="O76" s="32">
        <f t="shared" si="12"/>
        <v>14.2622675867357</v>
      </c>
      <c r="P76" s="32">
        <f t="shared" si="4"/>
        <v>14.2622675867357</v>
      </c>
      <c r="Q76" s="24">
        <f t="shared" si="13"/>
        <v>10461</v>
      </c>
      <c r="R76" s="33">
        <f t="shared" si="14"/>
        <v>0</v>
      </c>
      <c r="S76" s="33">
        <f t="shared" si="25"/>
        <v>0.732255354892902</v>
      </c>
      <c r="T76" s="6" t="str">
        <f t="shared" si="15"/>
        <v>Контейнеры: 10461 по ФГИС УТКО / 14286 по ТС</v>
      </c>
      <c r="U76" s="6" t="str">
        <f t="shared" si="27"/>
        <v>Наполнение ФГИС УТКО 73%</v>
      </c>
      <c r="V76" s="34" t="str">
        <f t="shared" si="26"/>
        <v>Аномальные данные территориальной схемы</v>
      </c>
      <c r="X76" s="6">
        <f t="shared" si="28"/>
        <v>0.99557906214078</v>
      </c>
      <c r="Y76" s="6" t="str">
        <f t="shared" si="16"/>
        <v>ниже </v>
      </c>
      <c r="Z76" s="6" t="str">
        <f t="shared" si="17"/>
        <v>Обеспеченность контейнерами ниже среднего по России на 100%</v>
      </c>
      <c r="AA76" s="6" t="str">
        <f t="shared" si="18"/>
        <v>Потребность в КП не представлена</v>
      </c>
      <c r="AB76" s="9" t="str">
        <f t="shared" si="19"/>
        <v>10/10/0 (0%)</v>
      </c>
    </row>
    <row r="77" spans="2:28">
      <c r="B77" s="25" t="s">
        <v>151</v>
      </c>
      <c r="C77" s="22">
        <f t="shared" si="8"/>
        <v>0</v>
      </c>
      <c r="D77" s="42">
        <f t="shared" si="20"/>
        <v>0</v>
      </c>
      <c r="E77" s="22">
        <f t="shared" si="9"/>
        <v>0</v>
      </c>
      <c r="F77" s="22">
        <f t="shared" si="21"/>
        <v>0</v>
      </c>
      <c r="G77" s="22">
        <f t="shared" si="22"/>
        <v>0</v>
      </c>
      <c r="H77" s="24">
        <v>678879</v>
      </c>
      <c r="I77" s="37">
        <v>6272</v>
      </c>
      <c r="J77" s="37"/>
      <c r="K77" s="65">
        <v>6035</v>
      </c>
      <c r="L77" s="37">
        <v>1020</v>
      </c>
      <c r="M77" s="24">
        <f t="shared" si="11"/>
        <v>6272</v>
      </c>
      <c r="N77" s="32">
        <f t="shared" si="24"/>
        <v>9.2387597789886</v>
      </c>
      <c r="O77" s="32">
        <f t="shared" si="12"/>
        <v>8.88965485749301</v>
      </c>
      <c r="P77" s="32">
        <f t="shared" si="4"/>
        <v>9.2387597789886</v>
      </c>
      <c r="Q77" s="24">
        <f t="shared" si="13"/>
        <v>7292</v>
      </c>
      <c r="R77" s="33">
        <f t="shared" si="14"/>
        <v>0.139879319802523</v>
      </c>
      <c r="S77" s="33">
        <f t="shared" si="25"/>
        <v>1</v>
      </c>
      <c r="T77" s="6" t="str">
        <f t="shared" si="15"/>
        <v>Контейнеры: 6272 по ФГИС УТКО / 6035 по ТС</v>
      </c>
      <c r="U77" s="6" t="str">
        <f t="shared" si="27"/>
        <v>Наполнение ФГИС УТКО более 100%</v>
      </c>
      <c r="V77" s="34" t="str">
        <f t="shared" si="26"/>
        <v>Аномальные данные территориальной схемы</v>
      </c>
      <c r="X77" s="6">
        <f t="shared" si="28"/>
        <v>0.996918317668537</v>
      </c>
      <c r="Y77" s="6" t="str">
        <f t="shared" si="16"/>
        <v>ниже </v>
      </c>
      <c r="Z77" s="6" t="str">
        <f t="shared" si="17"/>
        <v>Обеспеченность контейнерами ниже среднего по России на 100%</v>
      </c>
      <c r="AA77" s="6" t="str">
        <f t="shared" si="18"/>
        <v>Потребность в контейнерах по данным субъекта 1020 шт. (14%)</v>
      </c>
      <c r="AB77" s="9" t="str">
        <f t="shared" si="19"/>
        <v>7/6/1 (14%)</v>
      </c>
    </row>
    <row r="78" spans="2:28">
      <c r="B78" s="25" t="s">
        <v>75</v>
      </c>
      <c r="C78" s="22">
        <f t="shared" si="8"/>
        <v>1</v>
      </c>
      <c r="D78" s="42">
        <f t="shared" si="20"/>
        <v>1</v>
      </c>
      <c r="E78" s="22">
        <f t="shared" si="9"/>
        <v>0</v>
      </c>
      <c r="F78" s="22">
        <f t="shared" si="21"/>
        <v>0</v>
      </c>
      <c r="G78" s="22">
        <f t="shared" si="22"/>
        <v>1</v>
      </c>
      <c r="H78" s="24">
        <v>4003016</v>
      </c>
      <c r="I78" s="37">
        <v>32765</v>
      </c>
      <c r="J78" s="37"/>
      <c r="K78" s="65">
        <v>34973</v>
      </c>
      <c r="L78" s="37">
        <v>11907</v>
      </c>
      <c r="M78" s="24">
        <f t="shared" si="11"/>
        <v>34973</v>
      </c>
      <c r="N78" s="32">
        <f t="shared" si="24"/>
        <v>8.18507845084806</v>
      </c>
      <c r="O78" s="32">
        <f t="shared" si="12"/>
        <v>8.73666255643245</v>
      </c>
      <c r="P78" s="32">
        <f t="shared" si="4"/>
        <v>8.73666255643245</v>
      </c>
      <c r="Q78" s="24">
        <f t="shared" si="13"/>
        <v>44672</v>
      </c>
      <c r="R78" s="33">
        <f t="shared" si="14"/>
        <v>0.266542800859599</v>
      </c>
      <c r="S78" s="33">
        <f t="shared" si="25"/>
        <v>0.936865582020416</v>
      </c>
      <c r="T78" s="6" t="str">
        <f t="shared" si="15"/>
        <v>Контейнеры: 32765 по ФГИС УТКО / 34973 по ТС</v>
      </c>
      <c r="U78" s="6" t="str">
        <f t="shared" si="27"/>
        <v>Наполнение ФГИС УТКО 94%</v>
      </c>
      <c r="V78" s="34" t="str">
        <f t="shared" si="26"/>
        <v>Аномальные данные территориальной схемы</v>
      </c>
      <c r="X78" s="6">
        <f t="shared" si="28"/>
        <v>0.981121103522889</v>
      </c>
      <c r="Y78" s="6" t="str">
        <f t="shared" si="16"/>
        <v>ниже </v>
      </c>
      <c r="Z78" s="6" t="str">
        <f t="shared" si="17"/>
        <v>Обеспеченность контейнерами ниже среднего по России на 98%</v>
      </c>
      <c r="AA78" s="6" t="str">
        <f t="shared" si="18"/>
        <v>Потребность в контейнерах по данным субъекта 11907 шт. (27%)</v>
      </c>
      <c r="AB78" s="9" t="str">
        <f t="shared" si="19"/>
        <v>45/33/12 (27%)</v>
      </c>
    </row>
    <row r="79" spans="2:28">
      <c r="B79" s="25" t="s">
        <v>154</v>
      </c>
      <c r="C79" s="22">
        <f t="shared" si="8"/>
        <v>2</v>
      </c>
      <c r="D79" s="42">
        <f t="shared" si="20"/>
        <v>2</v>
      </c>
      <c r="E79" s="22">
        <f t="shared" si="9"/>
        <v>2</v>
      </c>
      <c r="F79" s="22">
        <f t="shared" si="21"/>
        <v>2</v>
      </c>
      <c r="G79" s="22">
        <f t="shared" si="22"/>
        <v>2</v>
      </c>
      <c r="H79" s="24">
        <v>337544</v>
      </c>
      <c r="I79" s="37">
        <v>967</v>
      </c>
      <c r="J79" s="37"/>
      <c r="K79" s="65">
        <v>2500</v>
      </c>
      <c r="L79" s="37">
        <v>0</v>
      </c>
      <c r="M79" s="24">
        <f t="shared" si="11"/>
        <v>2500</v>
      </c>
      <c r="N79" s="32">
        <f t="shared" si="24"/>
        <v>2.86481169862299</v>
      </c>
      <c r="O79" s="32">
        <f t="shared" si="12"/>
        <v>7.40644182684331</v>
      </c>
      <c r="P79" s="32">
        <f t="shared" si="4"/>
        <v>7.40644182684331</v>
      </c>
      <c r="Q79" s="24">
        <f t="shared" si="13"/>
        <v>967</v>
      </c>
      <c r="R79" s="33">
        <f t="shared" si="14"/>
        <v>0</v>
      </c>
      <c r="S79" s="33">
        <f t="shared" si="25"/>
        <v>0.3868</v>
      </c>
      <c r="T79" s="6" t="str">
        <f t="shared" si="15"/>
        <v>Контейнеры: 967 по ФГИС УТКО / 2500 по ТС</v>
      </c>
      <c r="U79" s="6" t="str">
        <f t="shared" si="27"/>
        <v>Наполнение ФГИС УТКО 39%</v>
      </c>
      <c r="V79" s="34" t="str">
        <f t="shared" si="26"/>
        <v>Аномальные данные территориальной схемы</v>
      </c>
      <c r="X79" s="6">
        <f t="shared" si="28"/>
        <v>0.999591334775847</v>
      </c>
      <c r="Y79" s="6" t="str">
        <f t="shared" si="16"/>
        <v>ниже </v>
      </c>
      <c r="Z79" s="6" t="str">
        <f t="shared" si="17"/>
        <v>Обеспеченность контейнерами ниже среднего по России на 100%</v>
      </c>
      <c r="AA79" s="6" t="str">
        <f t="shared" si="18"/>
        <v>Потребность в КП не представлена</v>
      </c>
      <c r="AB79" s="9" t="str">
        <f t="shared" si="19"/>
        <v>1/1/0 (0%)</v>
      </c>
    </row>
    <row r="80" spans="2:28">
      <c r="B80" s="25" t="s">
        <v>152</v>
      </c>
      <c r="C80" s="22">
        <f t="shared" si="8"/>
        <v>2</v>
      </c>
      <c r="D80" s="42">
        <f t="shared" si="20"/>
        <v>2</v>
      </c>
      <c r="E80" s="22">
        <f t="shared" si="9"/>
        <v>0</v>
      </c>
      <c r="F80" s="22">
        <f t="shared" si="21"/>
        <v>2</v>
      </c>
      <c r="G80" s="22">
        <f t="shared" si="22"/>
        <v>2</v>
      </c>
      <c r="H80" s="24">
        <v>528175</v>
      </c>
      <c r="I80" s="37">
        <v>4867</v>
      </c>
      <c r="J80" s="37"/>
      <c r="K80" s="65">
        <v>10198</v>
      </c>
      <c r="L80" s="37">
        <v>5744</v>
      </c>
      <c r="M80" s="24">
        <f t="shared" si="11"/>
        <v>10198</v>
      </c>
      <c r="N80" s="32">
        <f t="shared" si="24"/>
        <v>9.21474889951247</v>
      </c>
      <c r="O80" s="32">
        <f t="shared" si="12"/>
        <v>19.3079945093956</v>
      </c>
      <c r="P80" s="32">
        <f t="shared" si="4"/>
        <v>19.3079945093956</v>
      </c>
      <c r="Q80" s="24">
        <f t="shared" si="13"/>
        <v>10611</v>
      </c>
      <c r="R80" s="33">
        <f t="shared" si="14"/>
        <v>0.541325040052775</v>
      </c>
      <c r="S80" s="33">
        <f t="shared" si="25"/>
        <v>0.477250441262993</v>
      </c>
      <c r="T80" s="6" t="str">
        <f t="shared" si="15"/>
        <v>Контейнеры: 4867 по ФГИС УТКО / 10198 по ТС</v>
      </c>
      <c r="U80" s="6" t="str">
        <f t="shared" si="27"/>
        <v>Наполнение ФГИС УТКО 48%</v>
      </c>
      <c r="V80" s="34" t="str">
        <f t="shared" si="26"/>
        <v>Аномальные данные территориальной схемы</v>
      </c>
      <c r="X80" s="6">
        <f t="shared" si="28"/>
        <v>0.995515670430726</v>
      </c>
      <c r="Y80" s="6" t="str">
        <f t="shared" si="16"/>
        <v>ниже </v>
      </c>
      <c r="Z80" s="6" t="str">
        <f t="shared" si="17"/>
        <v>Обеспеченность контейнерами ниже среднего по России на 100%</v>
      </c>
      <c r="AA80" s="6" t="str">
        <f t="shared" si="18"/>
        <v>Потребность в контейнерах по данным субъекта 5744 шт. (54%)</v>
      </c>
      <c r="AB80" s="9" t="str">
        <f t="shared" si="19"/>
        <v>11/5/6 (54%)</v>
      </c>
    </row>
    <row r="81" spans="2:28">
      <c r="B81" s="25" t="s">
        <v>140</v>
      </c>
      <c r="C81" s="22">
        <f t="shared" ref="C81:C104" si="29">IF(D81&gt;$D$8,2,IF(D81&gt;$D$9,1,0))</f>
        <v>0</v>
      </c>
      <c r="D81" s="42">
        <f t="shared" si="20"/>
        <v>0</v>
      </c>
      <c r="E81" s="22">
        <f t="shared" ref="E81:E104" si="30">IF(O81&lt;$O$7,2,IF(Q81&lt;$O$9,1,0))</f>
        <v>0</v>
      </c>
      <c r="F81" s="22">
        <f t="shared" si="21"/>
        <v>1</v>
      </c>
      <c r="G81" s="22">
        <f t="shared" si="22"/>
        <v>0</v>
      </c>
      <c r="H81" s="24">
        <v>4152518</v>
      </c>
      <c r="I81" s="37">
        <v>44330</v>
      </c>
      <c r="J81" s="37"/>
      <c r="K81" s="65">
        <v>51754</v>
      </c>
      <c r="L81" s="37">
        <v>4141</v>
      </c>
      <c r="M81" s="24">
        <f t="shared" si="11"/>
        <v>51754</v>
      </c>
      <c r="N81" s="32">
        <f t="shared" si="24"/>
        <v>10.67545041346</v>
      </c>
      <c r="O81" s="32">
        <f t="shared" si="12"/>
        <v>12.463281315096</v>
      </c>
      <c r="P81" s="32">
        <f t="shared" si="4"/>
        <v>12.463281315096</v>
      </c>
      <c r="Q81" s="24">
        <f t="shared" ref="Q81:Q104" si="31">I81+L81</f>
        <v>48471</v>
      </c>
      <c r="R81" s="33">
        <f t="shared" ref="R81:R104" si="32">L81/(I81+L81)</f>
        <v>0.0854325266654288</v>
      </c>
      <c r="S81" s="33">
        <f t="shared" si="25"/>
        <v>0.856552150558411</v>
      </c>
      <c r="T81" s="6" t="str">
        <f t="shared" si="15"/>
        <v>Контейнеры: 44330 по ФГИС УТКО / 51754 по ТС</v>
      </c>
      <c r="U81" s="6" t="str">
        <f t="shared" si="27"/>
        <v>Наполнение ФГИС УТКО 86%</v>
      </c>
      <c r="V81" s="34" t="str">
        <f t="shared" si="26"/>
        <v>Аномальные данные территориальной схемы</v>
      </c>
      <c r="X81" s="6">
        <f t="shared" si="28"/>
        <v>0.979515602812902</v>
      </c>
      <c r="Y81" s="6" t="str">
        <f t="shared" si="16"/>
        <v>ниже </v>
      </c>
      <c r="Z81" s="6" t="str">
        <f t="shared" si="17"/>
        <v>Обеспеченность контейнерами ниже среднего по России на 98%</v>
      </c>
      <c r="AA81" s="6" t="str">
        <f t="shared" si="18"/>
        <v>Потребность в контейнерах по данным субъекта 4141 шт. (9%)</v>
      </c>
      <c r="AB81" s="9" t="str">
        <f t="shared" ref="AB81:AB104" si="33">_xlfn.TEXTJOIN(,0,ROUND((I81+L81)/1000,0),"/",ROUND(I81/1000,0),"/",ROUND(L81/1000,0)," (",TEXT(R81,"0%"),")")</f>
        <v>48/44/4 (9%)</v>
      </c>
    </row>
    <row r="82" spans="2:28">
      <c r="B82" s="25" t="s">
        <v>135</v>
      </c>
      <c r="C82" s="22">
        <f t="shared" si="29"/>
        <v>1</v>
      </c>
      <c r="D82" s="42">
        <f t="shared" si="20"/>
        <v>1</v>
      </c>
      <c r="E82" s="22">
        <f t="shared" si="30"/>
        <v>0</v>
      </c>
      <c r="F82" s="22">
        <f t="shared" si="21"/>
        <v>0</v>
      </c>
      <c r="G82" s="22">
        <f t="shared" si="22"/>
        <v>1</v>
      </c>
      <c r="H82" s="24">
        <v>1082231</v>
      </c>
      <c r="I82" s="37">
        <v>25841</v>
      </c>
      <c r="J82" s="37"/>
      <c r="K82" s="65">
        <v>23532</v>
      </c>
      <c r="L82" s="37">
        <v>6889</v>
      </c>
      <c r="M82" s="24">
        <f t="shared" si="11"/>
        <v>25841</v>
      </c>
      <c r="N82" s="32">
        <f t="shared" ref="N82:N104" si="34">I82/$H82*1000</f>
        <v>23.8775270713923</v>
      </c>
      <c r="O82" s="32">
        <f t="shared" si="12"/>
        <v>21.7439714811348</v>
      </c>
      <c r="P82" s="32">
        <f t="shared" si="4"/>
        <v>23.8775270713923</v>
      </c>
      <c r="Q82" s="24">
        <f t="shared" si="31"/>
        <v>32730</v>
      </c>
      <c r="R82" s="33">
        <f t="shared" si="32"/>
        <v>0.210479682248702</v>
      </c>
      <c r="S82" s="33">
        <f t="shared" ref="S82:S104" si="35">I82/MAX(I82,K82)</f>
        <v>1</v>
      </c>
      <c r="T82" s="6" t="str">
        <f t="shared" si="15"/>
        <v>Контейнеры: 25841 по ФГИС УТКО / 23532 по ТС</v>
      </c>
      <c r="U82" s="6" t="str">
        <f t="shared" si="27"/>
        <v>Наполнение ФГИС УТКО более 100%</v>
      </c>
      <c r="V82" s="34" t="str">
        <f t="shared" si="26"/>
        <v>Аномальные данные территориальной схемы</v>
      </c>
      <c r="X82" s="6">
        <f t="shared" si="28"/>
        <v>0.986167928866049</v>
      </c>
      <c r="Y82" s="6" t="str">
        <f t="shared" si="16"/>
        <v>ниже </v>
      </c>
      <c r="Z82" s="6" t="str">
        <f t="shared" si="17"/>
        <v>Обеспеченность контейнерами ниже среднего по России на 99%</v>
      </c>
      <c r="AA82" s="6" t="str">
        <f t="shared" si="18"/>
        <v>Потребность в контейнерах по данным субъекта 6889 шт. (21%)</v>
      </c>
      <c r="AB82" s="9" t="str">
        <f t="shared" si="33"/>
        <v>33/26/7 (21%)</v>
      </c>
    </row>
    <row r="83" spans="2:28">
      <c r="B83" s="25" t="s">
        <v>100</v>
      </c>
      <c r="C83" s="22">
        <f t="shared" si="29"/>
        <v>2</v>
      </c>
      <c r="D83" s="42">
        <f t="shared" si="20"/>
        <v>2</v>
      </c>
      <c r="E83" s="22">
        <f t="shared" si="30"/>
        <v>0</v>
      </c>
      <c r="F83" s="22">
        <f t="shared" si="21"/>
        <v>2</v>
      </c>
      <c r="G83" s="22">
        <f t="shared" si="22"/>
        <v>2</v>
      </c>
      <c r="H83" s="24">
        <v>3127842</v>
      </c>
      <c r="I83" s="37">
        <v>43181</v>
      </c>
      <c r="J83" s="37"/>
      <c r="K83" s="65">
        <v>55224</v>
      </c>
      <c r="L83" s="37">
        <v>0</v>
      </c>
      <c r="M83" s="24">
        <f t="shared" si="11"/>
        <v>55224</v>
      </c>
      <c r="N83" s="32">
        <f t="shared" si="34"/>
        <v>13.8053648489917</v>
      </c>
      <c r="O83" s="32">
        <f t="shared" si="12"/>
        <v>17.6556232699734</v>
      </c>
      <c r="P83" s="32">
        <f t="shared" ref="P83:P84" si="36">MAX(N83,O83)</f>
        <v>17.6556232699734</v>
      </c>
      <c r="Q83" s="24">
        <f t="shared" si="31"/>
        <v>43181</v>
      </c>
      <c r="R83" s="33">
        <f t="shared" si="32"/>
        <v>0</v>
      </c>
      <c r="S83" s="33">
        <f t="shared" si="35"/>
        <v>0.781924525568593</v>
      </c>
      <c r="T83" s="6" t="str">
        <f t="shared" si="15"/>
        <v>Контейнеры: 43181 по ФГИС УТКО / 55224 по ТС</v>
      </c>
      <c r="U83" s="6" t="str">
        <f t="shared" ref="U83:U104" si="37">_xlfn.TEXTJOIN(,0,"Наполнение ФГИС УТКО"," ",IF(I83&lt;=K83,TEXT(S83,"0%"),"более 100%"))</f>
        <v>Наполнение ФГИС УТКО 78%</v>
      </c>
      <c r="V83" s="34" t="str">
        <f t="shared" si="26"/>
        <v>Аномальные данные территориальной схемы</v>
      </c>
      <c r="X83" s="6">
        <f t="shared" ref="X83:X104" si="38">IF(Q83&gt;=$Q$15,Q83/$Q$15-1,1-Q83/$Q$15)</f>
        <v>0.981751217120833</v>
      </c>
      <c r="Y83" s="6" t="str">
        <f t="shared" si="16"/>
        <v>ниже </v>
      </c>
      <c r="Z83" s="6" t="str">
        <f t="shared" si="17"/>
        <v>Обеспеченность контейнерами ниже среднего по России на 98%</v>
      </c>
      <c r="AA83" s="6" t="str">
        <f t="shared" si="18"/>
        <v>Потребность в КП не представлена</v>
      </c>
      <c r="AB83" s="9" t="str">
        <f t="shared" si="33"/>
        <v>43/43/0 (0%)</v>
      </c>
    </row>
    <row r="84" spans="2:28">
      <c r="B84" s="25" t="s">
        <v>102</v>
      </c>
      <c r="C84" s="22">
        <f t="shared" si="29"/>
        <v>1</v>
      </c>
      <c r="D84" s="42">
        <f t="shared" si="20"/>
        <v>1</v>
      </c>
      <c r="E84" s="22">
        <f t="shared" si="30"/>
        <v>0</v>
      </c>
      <c r="F84" s="22">
        <f t="shared" si="21"/>
        <v>1</v>
      </c>
      <c r="G84" s="22">
        <f t="shared" si="22"/>
        <v>1</v>
      </c>
      <c r="H84" s="24">
        <v>2385163</v>
      </c>
      <c r="I84" s="37">
        <v>25836</v>
      </c>
      <c r="J84" s="37"/>
      <c r="K84" s="65">
        <v>31548</v>
      </c>
      <c r="L84" s="37">
        <v>6435</v>
      </c>
      <c r="M84" s="24">
        <f t="shared" ref="M84:M104" si="39">MAX(I84,K84)</f>
        <v>31548</v>
      </c>
      <c r="N84" s="32">
        <f t="shared" si="34"/>
        <v>10.8319641047593</v>
      </c>
      <c r="O84" s="32">
        <f t="shared" ref="O84:O104" si="40">K84/$H84*1000</f>
        <v>13.2267689881153</v>
      </c>
      <c r="P84" s="32">
        <f t="shared" si="36"/>
        <v>13.2267689881153</v>
      </c>
      <c r="Q84" s="24">
        <f t="shared" si="31"/>
        <v>32271</v>
      </c>
      <c r="R84" s="33">
        <f t="shared" si="32"/>
        <v>0.19940503857953</v>
      </c>
      <c r="S84" s="33">
        <f t="shared" si="35"/>
        <v>0.818942563712438</v>
      </c>
      <c r="T84" s="6" t="str">
        <f t="shared" ref="T84:T104" si="41">_xlfn.TEXTJOIN(,0,"Контейнеры: ",I84," по ФГИС УТКО / ",K84," по ТС")</f>
        <v>Контейнеры: 25836 по ФГИС УТКО / 31548 по ТС</v>
      </c>
      <c r="U84" s="6" t="str">
        <f t="shared" si="37"/>
        <v>Наполнение ФГИС УТКО 82%</v>
      </c>
      <c r="V84" s="34" t="str">
        <f t="shared" si="26"/>
        <v>Аномальные данные территориальной схемы</v>
      </c>
      <c r="X84" s="6">
        <f t="shared" si="38"/>
        <v>0.986361907498817</v>
      </c>
      <c r="Y84" s="6" t="str">
        <f t="shared" ref="Y84:Y104" si="42">IF(Q84&gt;=$Q$15,"выше ","ниже ")</f>
        <v>ниже </v>
      </c>
      <c r="Z84" s="6" t="str">
        <f t="shared" ref="Z84:Z104" si="43">_xlfn.TEXTJOIN(,0,"Обеспеченность контейнерами ",Y84,"среднего по России на ",TEXT(X84,"0%"))</f>
        <v>Обеспеченность контейнерами ниже среднего по России на 99%</v>
      </c>
      <c r="AA84" s="6" t="str">
        <f t="shared" ref="AA84:AA104" si="44">IF(L84&gt;0,_xlfn.TEXTJOIN(,0,"Потребность в контейнерах по данным субъекта ",L84," шт. (",TEXT(R84,"0%"),")"),"Потребность в КП не представлена")</f>
        <v>Потребность в контейнерах по данным субъекта 6435 шт. (20%)</v>
      </c>
      <c r="AB84" s="9" t="str">
        <f t="shared" si="33"/>
        <v>32/26/6 (20%)</v>
      </c>
    </row>
    <row r="85" spans="2:28">
      <c r="B85" s="25" t="s">
        <v>130</v>
      </c>
      <c r="C85" s="22">
        <f t="shared" si="29"/>
        <v>0</v>
      </c>
      <c r="D85" s="42">
        <f t="shared" si="20"/>
        <v>0</v>
      </c>
      <c r="E85" s="22">
        <f t="shared" si="30"/>
        <v>0</v>
      </c>
      <c r="F85" s="22">
        <f t="shared" si="21"/>
        <v>0</v>
      </c>
      <c r="G85" s="22">
        <f t="shared" si="22"/>
        <v>0</v>
      </c>
      <c r="H85" s="24">
        <v>457590</v>
      </c>
      <c r="I85" s="37">
        <v>9937</v>
      </c>
      <c r="J85" s="37"/>
      <c r="K85" s="65">
        <v>10256</v>
      </c>
      <c r="L85" s="37">
        <v>608</v>
      </c>
      <c r="M85" s="24">
        <f t="shared" si="39"/>
        <v>10256</v>
      </c>
      <c r="N85" s="32">
        <f t="shared" si="34"/>
        <v>21.7159465897419</v>
      </c>
      <c r="O85" s="32">
        <f t="shared" si="40"/>
        <v>22.4130772088551</v>
      </c>
      <c r="P85" s="32">
        <f t="shared" ref="P85:P104" si="45">MAX(N85,O85)</f>
        <v>22.4130772088551</v>
      </c>
      <c r="Q85" s="24">
        <f t="shared" si="31"/>
        <v>10545</v>
      </c>
      <c r="R85" s="33">
        <f t="shared" si="32"/>
        <v>0.0576576576576577</v>
      </c>
      <c r="S85" s="33">
        <f t="shared" si="35"/>
        <v>0.968896255850234</v>
      </c>
      <c r="T85" s="6" t="str">
        <f t="shared" si="41"/>
        <v>Контейнеры: 9937 по ФГИС УТКО / 10256 по ТС</v>
      </c>
      <c r="U85" s="6" t="str">
        <f t="shared" si="37"/>
        <v>Наполнение ФГИС УТКО 97%</v>
      </c>
      <c r="V85" s="34" t="str">
        <f t="shared" si="26"/>
        <v>Аномальные данные территориальной схемы</v>
      </c>
      <c r="X85" s="6">
        <f t="shared" si="38"/>
        <v>0.99554356278315</v>
      </c>
      <c r="Y85" s="6" t="str">
        <f t="shared" si="42"/>
        <v>ниже </v>
      </c>
      <c r="Z85" s="6" t="str">
        <f t="shared" si="43"/>
        <v>Обеспеченность контейнерами ниже среднего по России на 100%</v>
      </c>
      <c r="AA85" s="6" t="str">
        <f t="shared" si="44"/>
        <v>Потребность в контейнерах по данным субъекта 608 шт. (6%)</v>
      </c>
      <c r="AB85" s="9" t="str">
        <f t="shared" si="33"/>
        <v>11/10/1 (6%)</v>
      </c>
    </row>
    <row r="86" spans="2:28">
      <c r="B86" s="25" t="s">
        <v>122</v>
      </c>
      <c r="C86" s="22">
        <f t="shared" si="29"/>
        <v>0</v>
      </c>
      <c r="D86" s="42">
        <f t="shared" si="20"/>
        <v>0</v>
      </c>
      <c r="E86" s="22">
        <f t="shared" si="30"/>
        <v>0</v>
      </c>
      <c r="F86" s="22">
        <f t="shared" si="21"/>
        <v>2</v>
      </c>
      <c r="G86" s="22">
        <f t="shared" si="22"/>
        <v>0</v>
      </c>
      <c r="H86" s="24">
        <v>4222695</v>
      </c>
      <c r="I86" s="37">
        <v>90015</v>
      </c>
      <c r="J86" s="37"/>
      <c r="K86" s="65">
        <v>117708</v>
      </c>
      <c r="L86" s="37">
        <v>8871</v>
      </c>
      <c r="M86" s="24">
        <f t="shared" si="39"/>
        <v>117708</v>
      </c>
      <c r="N86" s="32">
        <f t="shared" si="34"/>
        <v>21.3169551672569</v>
      </c>
      <c r="O86" s="32">
        <f t="shared" si="40"/>
        <v>27.8750892498748</v>
      </c>
      <c r="P86" s="32">
        <f t="shared" si="45"/>
        <v>27.8750892498748</v>
      </c>
      <c r="Q86" s="24">
        <f t="shared" si="31"/>
        <v>98886</v>
      </c>
      <c r="R86" s="33">
        <f t="shared" si="32"/>
        <v>0.0897093622959772</v>
      </c>
      <c r="S86" s="33">
        <f t="shared" si="35"/>
        <v>0.76473136915078</v>
      </c>
      <c r="T86" s="6" t="str">
        <f t="shared" si="41"/>
        <v>Контейнеры: 90015 по ФГИС УТКО / 117708 по ТС</v>
      </c>
      <c r="U86" s="6" t="str">
        <f t="shared" si="37"/>
        <v>Наполнение ФГИС УТКО 76%</v>
      </c>
      <c r="V86" s="34" t="str">
        <f t="shared" si="26"/>
        <v>Аномальные данные территориальной схемы</v>
      </c>
      <c r="X86" s="6">
        <f t="shared" si="38"/>
        <v>0.958209649063493</v>
      </c>
      <c r="Y86" s="6" t="str">
        <f t="shared" si="42"/>
        <v>ниже </v>
      </c>
      <c r="Z86" s="6" t="str">
        <f t="shared" si="43"/>
        <v>Обеспеченность контейнерами ниже среднего по России на 96%</v>
      </c>
      <c r="AA86" s="6" t="str">
        <f t="shared" si="44"/>
        <v>Потребность в контейнерах по данным субъекта 8871 шт. (9%)</v>
      </c>
      <c r="AB86" s="9" t="str">
        <f t="shared" si="33"/>
        <v>99/90/9 (9%)</v>
      </c>
    </row>
    <row r="87" spans="2:28">
      <c r="B87" s="25" t="s">
        <v>103</v>
      </c>
      <c r="C87" s="22">
        <f t="shared" si="29"/>
        <v>1</v>
      </c>
      <c r="D87" s="42">
        <f t="shared" si="20"/>
        <v>1</v>
      </c>
      <c r="E87" s="22">
        <f t="shared" si="30"/>
        <v>0</v>
      </c>
      <c r="F87" s="22">
        <f t="shared" si="21"/>
        <v>2</v>
      </c>
      <c r="G87" s="22">
        <f t="shared" si="22"/>
        <v>1</v>
      </c>
      <c r="H87" s="24">
        <v>863987</v>
      </c>
      <c r="I87" s="37">
        <v>12460</v>
      </c>
      <c r="J87" s="37"/>
      <c r="K87" s="65">
        <v>18510</v>
      </c>
      <c r="L87" s="37">
        <v>4272</v>
      </c>
      <c r="M87" s="24">
        <f t="shared" si="39"/>
        <v>18510</v>
      </c>
      <c r="N87" s="32">
        <f t="shared" si="34"/>
        <v>14.4215132866582</v>
      </c>
      <c r="O87" s="32">
        <f t="shared" si="40"/>
        <v>21.4239334619618</v>
      </c>
      <c r="P87" s="32">
        <f t="shared" si="45"/>
        <v>21.4239334619618</v>
      </c>
      <c r="Q87" s="24">
        <f t="shared" si="31"/>
        <v>16732</v>
      </c>
      <c r="R87" s="33">
        <f t="shared" si="32"/>
        <v>0.25531914893617</v>
      </c>
      <c r="S87" s="33">
        <f t="shared" si="35"/>
        <v>0.673149648838466</v>
      </c>
      <c r="T87" s="6" t="str">
        <f t="shared" si="41"/>
        <v>Контейнеры: 12460 по ФГИС УТКО / 18510 по ТС</v>
      </c>
      <c r="U87" s="6" t="str">
        <f t="shared" si="37"/>
        <v>Наполнение ФГИС УТКО 67%</v>
      </c>
      <c r="V87" s="34" t="str">
        <f t="shared" si="26"/>
        <v>Аномальные данные территориальной схемы</v>
      </c>
      <c r="X87" s="6">
        <f t="shared" si="38"/>
        <v>0.992928866049091</v>
      </c>
      <c r="Y87" s="6" t="str">
        <f t="shared" si="42"/>
        <v>ниже </v>
      </c>
      <c r="Z87" s="6" t="str">
        <f t="shared" si="43"/>
        <v>Обеспеченность контейнерами ниже среднего по России на 99%</v>
      </c>
      <c r="AA87" s="6" t="str">
        <f t="shared" si="44"/>
        <v>Потребность в контейнерах по данным субъекта 4272 шт. (26%)</v>
      </c>
      <c r="AB87" s="9" t="str">
        <f t="shared" si="33"/>
        <v>17/12/4 (26%)</v>
      </c>
    </row>
    <row r="88" spans="2:28">
      <c r="B88" s="25" t="s">
        <v>105</v>
      </c>
      <c r="C88" s="22">
        <f t="shared" si="29"/>
        <v>1</v>
      </c>
      <c r="D88" s="42">
        <f t="shared" si="20"/>
        <v>1</v>
      </c>
      <c r="E88" s="22">
        <f t="shared" si="30"/>
        <v>0</v>
      </c>
      <c r="F88" s="22">
        <f t="shared" si="21"/>
        <v>2</v>
      </c>
      <c r="G88" s="22">
        <f t="shared" si="22"/>
        <v>1</v>
      </c>
      <c r="H88" s="24">
        <v>2886108</v>
      </c>
      <c r="I88" s="37">
        <v>19550</v>
      </c>
      <c r="J88" s="37"/>
      <c r="K88" s="65">
        <v>26698</v>
      </c>
      <c r="L88" s="37">
        <v>3810</v>
      </c>
      <c r="M88" s="24">
        <f t="shared" si="39"/>
        <v>26698</v>
      </c>
      <c r="N88" s="32">
        <f t="shared" si="34"/>
        <v>6.77382828362625</v>
      </c>
      <c r="O88" s="32">
        <f t="shared" si="40"/>
        <v>9.25052007755773</v>
      </c>
      <c r="P88" s="32">
        <f t="shared" si="45"/>
        <v>9.25052007755773</v>
      </c>
      <c r="Q88" s="24">
        <f t="shared" si="31"/>
        <v>23360</v>
      </c>
      <c r="R88" s="33">
        <f t="shared" si="32"/>
        <v>0.163099315068493</v>
      </c>
      <c r="S88" s="33">
        <f t="shared" si="35"/>
        <v>0.732264589107798</v>
      </c>
      <c r="T88" s="6" t="str">
        <f t="shared" si="41"/>
        <v>Контейнеры: 19550 по ФГИС УТКО / 26698 по ТС</v>
      </c>
      <c r="U88" s="6" t="str">
        <f t="shared" si="37"/>
        <v>Наполнение ФГИС УТКО 73%</v>
      </c>
      <c r="V88" s="34" t="str">
        <f t="shared" si="26"/>
        <v>Аномальные данные территориальной схемы</v>
      </c>
      <c r="X88" s="6">
        <f t="shared" si="38"/>
        <v>0.99012779768747</v>
      </c>
      <c r="Y88" s="6" t="str">
        <f t="shared" si="42"/>
        <v>ниже </v>
      </c>
      <c r="Z88" s="6" t="str">
        <f t="shared" si="43"/>
        <v>Обеспеченность контейнерами ниже среднего по России на 99%</v>
      </c>
      <c r="AA88" s="6" t="str">
        <f t="shared" si="44"/>
        <v>Потребность в контейнерах по данным субъекта 3810 шт. (16%)</v>
      </c>
      <c r="AB88" s="9" t="str">
        <f t="shared" si="33"/>
        <v>23/20/4 (16%)</v>
      </c>
    </row>
    <row r="89" spans="2:28">
      <c r="B89" s="25" t="s">
        <v>125</v>
      </c>
      <c r="C89" s="22">
        <f t="shared" si="29"/>
        <v>2</v>
      </c>
      <c r="D89" s="42">
        <f t="shared" si="20"/>
        <v>2</v>
      </c>
      <c r="E89" s="22">
        <f t="shared" si="30"/>
        <v>0</v>
      </c>
      <c r="F89" s="22">
        <f t="shared" si="21"/>
        <v>2</v>
      </c>
      <c r="G89" s="22">
        <f t="shared" si="22"/>
        <v>2</v>
      </c>
      <c r="H89" s="24">
        <v>956292</v>
      </c>
      <c r="I89" s="37">
        <v>10692</v>
      </c>
      <c r="J89" s="37"/>
      <c r="K89" s="65">
        <v>14055</v>
      </c>
      <c r="L89" s="37">
        <v>14250</v>
      </c>
      <c r="M89" s="24">
        <f t="shared" si="39"/>
        <v>14055</v>
      </c>
      <c r="N89" s="32">
        <f t="shared" si="34"/>
        <v>11.1806853973473</v>
      </c>
      <c r="O89" s="32">
        <f t="shared" si="40"/>
        <v>14.697393683101</v>
      </c>
      <c r="P89" s="32">
        <f t="shared" si="45"/>
        <v>14.697393683101</v>
      </c>
      <c r="Q89" s="24">
        <f t="shared" si="31"/>
        <v>24942</v>
      </c>
      <c r="R89" s="33">
        <f t="shared" si="32"/>
        <v>0.571325475102237</v>
      </c>
      <c r="S89" s="33">
        <f t="shared" si="35"/>
        <v>0.760725720384205</v>
      </c>
      <c r="T89" s="6" t="str">
        <f t="shared" si="41"/>
        <v>Контейнеры: 10692 по ФГИС УТКО / 14055 по ТС</v>
      </c>
      <c r="U89" s="6" t="str">
        <f t="shared" si="37"/>
        <v>Наполнение ФГИС УТКО 76%</v>
      </c>
      <c r="V89" s="34" t="str">
        <f t="shared" si="26"/>
        <v>Аномальные данные территориальной схемы</v>
      </c>
      <c r="X89" s="6">
        <f t="shared" si="38"/>
        <v>0.989459226452093</v>
      </c>
      <c r="Y89" s="6" t="str">
        <f t="shared" si="42"/>
        <v>ниже </v>
      </c>
      <c r="Z89" s="6" t="str">
        <f t="shared" si="43"/>
        <v>Обеспеченность контейнерами ниже среднего по России на 99%</v>
      </c>
      <c r="AA89" s="6" t="str">
        <f t="shared" si="44"/>
        <v>Потребность в контейнерах по данным субъекта 14250 шт. (57%)</v>
      </c>
      <c r="AB89" s="9" t="str">
        <f t="shared" si="33"/>
        <v>25/11/14 (57%)</v>
      </c>
    </row>
    <row r="90" spans="2:28">
      <c r="B90" s="25" t="s">
        <v>156</v>
      </c>
      <c r="C90" s="22">
        <f t="shared" si="29"/>
        <v>1</v>
      </c>
      <c r="D90" s="42">
        <f t="shared" si="20"/>
        <v>1</v>
      </c>
      <c r="E90" s="22">
        <f t="shared" si="30"/>
        <v>0</v>
      </c>
      <c r="F90" s="22">
        <f t="shared" si="21"/>
        <v>0</v>
      </c>
      <c r="G90" s="22">
        <f t="shared" si="22"/>
        <v>1</v>
      </c>
      <c r="H90" s="24">
        <v>1199747</v>
      </c>
      <c r="I90" s="37">
        <v>20453</v>
      </c>
      <c r="J90" s="37"/>
      <c r="K90" s="65">
        <v>21122</v>
      </c>
      <c r="L90" s="37">
        <v>5200</v>
      </c>
      <c r="M90" s="24">
        <f t="shared" si="39"/>
        <v>21122</v>
      </c>
      <c r="N90" s="32">
        <f t="shared" si="34"/>
        <v>17.0477609029237</v>
      </c>
      <c r="O90" s="32">
        <f t="shared" si="40"/>
        <v>17.6053784672935</v>
      </c>
      <c r="P90" s="32">
        <f t="shared" si="45"/>
        <v>17.6053784672935</v>
      </c>
      <c r="Q90" s="24">
        <f t="shared" si="31"/>
        <v>25653</v>
      </c>
      <c r="R90" s="33">
        <f t="shared" si="32"/>
        <v>0.202705336607804</v>
      </c>
      <c r="S90" s="33">
        <f t="shared" si="35"/>
        <v>0.96832686298646</v>
      </c>
      <c r="T90" s="6" t="str">
        <f t="shared" si="41"/>
        <v>Контейнеры: 20453 по ФГИС УТКО / 21122 по ТС</v>
      </c>
      <c r="U90" s="6" t="str">
        <f t="shared" si="37"/>
        <v>Наполнение ФГИС УТКО 97%</v>
      </c>
      <c r="V90" s="34" t="str">
        <f t="shared" si="26"/>
        <v>Аномальные данные территориальной схемы</v>
      </c>
      <c r="X90" s="6">
        <f t="shared" si="38"/>
        <v>0.989158749746433</v>
      </c>
      <c r="Y90" s="6" t="str">
        <f t="shared" si="42"/>
        <v>ниже </v>
      </c>
      <c r="Z90" s="6" t="str">
        <f t="shared" si="43"/>
        <v>Обеспеченность контейнерами ниже среднего по России на 99%</v>
      </c>
      <c r="AA90" s="6" t="str">
        <f t="shared" si="44"/>
        <v>Потребность в контейнерах по данным субъекта 5200 шт. (20%)</v>
      </c>
      <c r="AB90" s="9" t="str">
        <f t="shared" si="33"/>
        <v>26/20/5 (20%)</v>
      </c>
    </row>
    <row r="91" spans="2:28">
      <c r="B91" s="25" t="s">
        <v>116</v>
      </c>
      <c r="C91" s="22">
        <f t="shared" si="29"/>
        <v>0</v>
      </c>
      <c r="D91" s="42">
        <f t="shared" si="20"/>
        <v>0</v>
      </c>
      <c r="E91" s="22">
        <f t="shared" si="30"/>
        <v>0</v>
      </c>
      <c r="F91" s="22">
        <f t="shared" si="21"/>
        <v>0</v>
      </c>
      <c r="G91" s="22">
        <f t="shared" si="22"/>
        <v>0</v>
      </c>
      <c r="H91" s="24">
        <v>1043385</v>
      </c>
      <c r="I91" s="37">
        <v>21478</v>
      </c>
      <c r="J91" s="37"/>
      <c r="K91" s="65">
        <v>21262</v>
      </c>
      <c r="L91" s="37">
        <v>3227</v>
      </c>
      <c r="M91" s="24">
        <f t="shared" si="39"/>
        <v>21478</v>
      </c>
      <c r="N91" s="32">
        <f t="shared" si="34"/>
        <v>20.5849231108364</v>
      </c>
      <c r="O91" s="32">
        <f t="shared" si="40"/>
        <v>20.3779046085577</v>
      </c>
      <c r="P91" s="32">
        <f t="shared" si="45"/>
        <v>20.5849231108364</v>
      </c>
      <c r="Q91" s="24">
        <f t="shared" si="31"/>
        <v>24705</v>
      </c>
      <c r="R91" s="33">
        <f t="shared" si="32"/>
        <v>0.130621331714228</v>
      </c>
      <c r="S91" s="33">
        <f t="shared" si="35"/>
        <v>1</v>
      </c>
      <c r="T91" s="6" t="str">
        <f t="shared" si="41"/>
        <v>Контейнеры: 21478 по ФГИС УТКО / 21262 по ТС</v>
      </c>
      <c r="U91" s="6" t="str">
        <f t="shared" si="37"/>
        <v>Наполнение ФГИС УТКО более 100%</v>
      </c>
      <c r="V91" s="34" t="str">
        <f t="shared" si="26"/>
        <v>Аномальные данные территориальной схемы</v>
      </c>
      <c r="X91" s="6">
        <f t="shared" si="38"/>
        <v>0.989559385353979</v>
      </c>
      <c r="Y91" s="6" t="str">
        <f t="shared" si="42"/>
        <v>ниже </v>
      </c>
      <c r="Z91" s="6" t="str">
        <f t="shared" si="43"/>
        <v>Обеспеченность контейнерами ниже среднего по России на 99%</v>
      </c>
      <c r="AA91" s="6" t="str">
        <f t="shared" si="44"/>
        <v>Потребность в контейнерах по данным субъекта 3227 шт. (13%)</v>
      </c>
      <c r="AB91" s="9" t="str">
        <f t="shared" si="33"/>
        <v>25/21/3 (13%)</v>
      </c>
    </row>
    <row r="92" spans="2:28">
      <c r="B92" s="25" t="s">
        <v>73</v>
      </c>
      <c r="C92" s="22">
        <f t="shared" si="29"/>
        <v>1</v>
      </c>
      <c r="D92" s="42">
        <f t="shared" si="20"/>
        <v>1</v>
      </c>
      <c r="E92" s="22">
        <f t="shared" si="30"/>
        <v>0</v>
      </c>
      <c r="F92" s="22">
        <f t="shared" si="21"/>
        <v>2</v>
      </c>
      <c r="G92" s="22">
        <f t="shared" si="22"/>
        <v>1</v>
      </c>
      <c r="H92" s="24">
        <v>1471140</v>
      </c>
      <c r="I92" s="37">
        <v>16568</v>
      </c>
      <c r="J92" s="37"/>
      <c r="K92" s="65">
        <v>30772</v>
      </c>
      <c r="L92" s="37">
        <v>3370</v>
      </c>
      <c r="M92" s="24">
        <f t="shared" si="39"/>
        <v>30772</v>
      </c>
      <c r="N92" s="32">
        <f t="shared" si="34"/>
        <v>11.2620144921625</v>
      </c>
      <c r="O92" s="32">
        <f t="shared" si="40"/>
        <v>20.9171118996153</v>
      </c>
      <c r="P92" s="32">
        <f t="shared" si="45"/>
        <v>20.9171118996153</v>
      </c>
      <c r="Q92" s="24">
        <f t="shared" si="31"/>
        <v>19938</v>
      </c>
      <c r="R92" s="33">
        <f t="shared" si="32"/>
        <v>0.169023974320393</v>
      </c>
      <c r="S92" s="33">
        <f t="shared" si="35"/>
        <v>0.538411542961133</v>
      </c>
      <c r="T92" s="6" t="str">
        <f t="shared" si="41"/>
        <v>Контейнеры: 16568 по ФГИС УТКО / 30772 по ТС</v>
      </c>
      <c r="U92" s="6" t="str">
        <f t="shared" si="37"/>
        <v>Наполнение ФГИС УТКО 54%</v>
      </c>
      <c r="V92" s="34" t="str">
        <f t="shared" si="26"/>
        <v>Аномальные данные территориальной схемы</v>
      </c>
      <c r="X92" s="6">
        <f t="shared" si="38"/>
        <v>0.99157397389952</v>
      </c>
      <c r="Y92" s="6" t="str">
        <f t="shared" si="42"/>
        <v>ниже </v>
      </c>
      <c r="Z92" s="6" t="str">
        <f t="shared" si="43"/>
        <v>Обеспеченность контейнерами ниже среднего по России на 99%</v>
      </c>
      <c r="AA92" s="6" t="str">
        <f t="shared" si="44"/>
        <v>Потребность в контейнерах по данным субъекта 3370 шт. (17%)</v>
      </c>
      <c r="AB92" s="9" t="str">
        <f t="shared" si="33"/>
        <v>20/17/3 (17%)</v>
      </c>
    </row>
    <row r="93" spans="2:28">
      <c r="B93" s="25" t="s">
        <v>83</v>
      </c>
      <c r="C93" s="22">
        <f t="shared" si="29"/>
        <v>2</v>
      </c>
      <c r="D93" s="42">
        <f t="shared" ref="D93:D104" si="46">E93*$E$11+F93*$F$11+G93*$G$11</f>
        <v>2</v>
      </c>
      <c r="E93" s="22">
        <f t="shared" si="30"/>
        <v>0</v>
      </c>
      <c r="F93" s="22">
        <f t="shared" ref="F93:F104" si="47">IF(S93&lt;$S$7,2,IF(S93&lt;$S$9,1,0))</f>
        <v>0</v>
      </c>
      <c r="G93" s="22">
        <f t="shared" ref="G93:G104" si="48">IF(OR(R93&gt;$R$8,R93&lt;=$R$7),2,IF(R93&gt;$R$10,1,0))</f>
        <v>2</v>
      </c>
      <c r="H93" s="24">
        <v>1615454</v>
      </c>
      <c r="I93" s="37">
        <v>27758</v>
      </c>
      <c r="J93" s="37"/>
      <c r="K93" s="65">
        <v>25223</v>
      </c>
      <c r="L93" s="37">
        <v>0</v>
      </c>
      <c r="M93" s="24">
        <f t="shared" si="39"/>
        <v>27758</v>
      </c>
      <c r="N93" s="32">
        <f t="shared" si="34"/>
        <v>17.1827857679637</v>
      </c>
      <c r="O93" s="32">
        <f t="shared" si="40"/>
        <v>15.6135674553407</v>
      </c>
      <c r="P93" s="32">
        <f t="shared" si="45"/>
        <v>17.1827857679637</v>
      </c>
      <c r="Q93" s="24">
        <f t="shared" si="31"/>
        <v>27758</v>
      </c>
      <c r="R93" s="33">
        <f t="shared" si="32"/>
        <v>0</v>
      </c>
      <c r="S93" s="33">
        <f t="shared" si="35"/>
        <v>1</v>
      </c>
      <c r="T93" s="6" t="str">
        <f t="shared" si="41"/>
        <v>Контейнеры: 27758 по ФГИС УТКО / 25223 по ТС</v>
      </c>
      <c r="U93" s="6" t="str">
        <f t="shared" si="37"/>
        <v>Наполнение ФГИС УТКО более 100%</v>
      </c>
      <c r="V93" s="34" t="str">
        <f t="shared" si="26"/>
        <v>Аномальные данные территориальной схемы</v>
      </c>
      <c r="X93" s="6">
        <f t="shared" si="38"/>
        <v>0.988269152748665</v>
      </c>
      <c r="Y93" s="6" t="str">
        <f t="shared" si="42"/>
        <v>ниже </v>
      </c>
      <c r="Z93" s="6" t="str">
        <f t="shared" si="43"/>
        <v>Обеспеченность контейнерами ниже среднего по России на 99%</v>
      </c>
      <c r="AA93" s="6" t="str">
        <f t="shared" si="44"/>
        <v>Потребность в КП не представлена</v>
      </c>
      <c r="AB93" s="9" t="str">
        <f t="shared" si="33"/>
        <v>28/28/0 (0%)</v>
      </c>
    </row>
    <row r="94" spans="2:28">
      <c r="B94" s="25" t="s">
        <v>99</v>
      </c>
      <c r="C94" s="22">
        <f t="shared" si="29"/>
        <v>1</v>
      </c>
      <c r="D94" s="42">
        <f t="shared" si="46"/>
        <v>1</v>
      </c>
      <c r="E94" s="22">
        <f t="shared" si="30"/>
        <v>2</v>
      </c>
      <c r="F94" s="22">
        <f t="shared" si="47"/>
        <v>0</v>
      </c>
      <c r="G94" s="22">
        <f t="shared" si="48"/>
        <v>1</v>
      </c>
      <c r="H94" s="24">
        <v>1434557</v>
      </c>
      <c r="I94" s="37">
        <v>17493</v>
      </c>
      <c r="J94" s="37"/>
      <c r="K94" s="65">
        <v>127</v>
      </c>
      <c r="L94" s="37">
        <v>7506</v>
      </c>
      <c r="M94" s="24">
        <f t="shared" si="39"/>
        <v>17493</v>
      </c>
      <c r="N94" s="32">
        <f t="shared" si="34"/>
        <v>12.1940083245211</v>
      </c>
      <c r="O94" s="32">
        <f t="shared" si="40"/>
        <v>0.0885290720410552</v>
      </c>
      <c r="P94" s="32">
        <f t="shared" si="45"/>
        <v>12.1940083245211</v>
      </c>
      <c r="Q94" s="24">
        <f t="shared" si="31"/>
        <v>24999</v>
      </c>
      <c r="R94" s="33">
        <f t="shared" si="32"/>
        <v>0.300252010080403</v>
      </c>
      <c r="S94" s="33">
        <f t="shared" si="35"/>
        <v>1</v>
      </c>
      <c r="T94" s="6" t="str">
        <f t="shared" si="41"/>
        <v>Контейнеры: 17493 по ФГИС УТКО / 127 по ТС</v>
      </c>
      <c r="U94" s="6" t="str">
        <f t="shared" si="37"/>
        <v>Наполнение ФГИС УТКО более 100%</v>
      </c>
      <c r="V94" s="34" t="str">
        <f t="shared" si="26"/>
        <v>Аномальные данные территориальной схемы</v>
      </c>
      <c r="X94" s="6">
        <f t="shared" si="38"/>
        <v>0.989435137602272</v>
      </c>
      <c r="Y94" s="6" t="str">
        <f t="shared" si="42"/>
        <v>ниже </v>
      </c>
      <c r="Z94" s="6" t="str">
        <f t="shared" si="43"/>
        <v>Обеспеченность контейнерами ниже среднего по России на 99%</v>
      </c>
      <c r="AA94" s="6" t="str">
        <f t="shared" si="44"/>
        <v>Потребность в контейнерах по данным субъекта 7506 шт. (30%)</v>
      </c>
      <c r="AB94" s="9" t="str">
        <f t="shared" si="33"/>
        <v>25/17/8 (30%)</v>
      </c>
    </row>
    <row r="95" spans="2:28">
      <c r="B95" s="25" t="s">
        <v>128</v>
      </c>
      <c r="C95" s="22">
        <f t="shared" si="29"/>
        <v>0</v>
      </c>
      <c r="D95" s="42">
        <f t="shared" si="46"/>
        <v>0</v>
      </c>
      <c r="E95" s="22">
        <f t="shared" si="30"/>
        <v>0</v>
      </c>
      <c r="F95" s="22">
        <f t="shared" si="47"/>
        <v>2</v>
      </c>
      <c r="G95" s="22">
        <f t="shared" si="48"/>
        <v>0</v>
      </c>
      <c r="H95" s="24">
        <v>1172782</v>
      </c>
      <c r="I95" s="37">
        <v>15166</v>
      </c>
      <c r="J95" s="37"/>
      <c r="K95" s="65">
        <v>19317</v>
      </c>
      <c r="L95" s="37">
        <v>81</v>
      </c>
      <c r="M95" s="24">
        <f t="shared" si="39"/>
        <v>19317</v>
      </c>
      <c r="N95" s="32">
        <f t="shared" si="34"/>
        <v>12.9316445852682</v>
      </c>
      <c r="O95" s="32">
        <f t="shared" si="40"/>
        <v>16.471091814165</v>
      </c>
      <c r="P95" s="32">
        <f t="shared" si="45"/>
        <v>16.471091814165</v>
      </c>
      <c r="Q95" s="24">
        <f t="shared" si="31"/>
        <v>15247</v>
      </c>
      <c r="R95" s="33">
        <f t="shared" si="32"/>
        <v>0.00531252049583525</v>
      </c>
      <c r="S95" s="33">
        <f t="shared" si="35"/>
        <v>0.785111559766009</v>
      </c>
      <c r="T95" s="6" t="str">
        <f t="shared" si="41"/>
        <v>Контейнеры: 15166 по ФГИС УТКО / 19317 по ТС</v>
      </c>
      <c r="U95" s="6" t="str">
        <f t="shared" si="37"/>
        <v>Наполнение ФГИС УТКО 79%</v>
      </c>
      <c r="V95" s="34" t="str">
        <f t="shared" si="26"/>
        <v>Аномальные данные территориальной схемы</v>
      </c>
      <c r="X95" s="6">
        <f t="shared" si="38"/>
        <v>0.993556443978633</v>
      </c>
      <c r="Y95" s="6" t="str">
        <f t="shared" si="42"/>
        <v>ниже </v>
      </c>
      <c r="Z95" s="6" t="str">
        <f t="shared" si="43"/>
        <v>Обеспеченность контейнерами ниже среднего по России на 99%</v>
      </c>
      <c r="AA95" s="6" t="str">
        <f t="shared" si="44"/>
        <v>Потребность в контейнерах по данным субъекта 81 шт. (1%)</v>
      </c>
      <c r="AB95" s="9" t="str">
        <f t="shared" si="33"/>
        <v>15/15/0 (1%)</v>
      </c>
    </row>
    <row r="96" spans="2:28">
      <c r="B96" s="25" t="s">
        <v>145</v>
      </c>
      <c r="C96" s="22">
        <f t="shared" si="29"/>
        <v>1</v>
      </c>
      <c r="D96" s="42">
        <f t="shared" si="46"/>
        <v>1</v>
      </c>
      <c r="E96" s="22">
        <f t="shared" si="30"/>
        <v>2</v>
      </c>
      <c r="F96" s="22">
        <f t="shared" si="47"/>
        <v>0</v>
      </c>
      <c r="G96" s="22">
        <f t="shared" si="48"/>
        <v>1</v>
      </c>
      <c r="H96" s="24">
        <v>1278132</v>
      </c>
      <c r="I96" s="37">
        <v>26988</v>
      </c>
      <c r="J96" s="37"/>
      <c r="K96" s="65">
        <v>0</v>
      </c>
      <c r="L96" s="37">
        <v>4978</v>
      </c>
      <c r="M96" s="24">
        <f t="shared" si="39"/>
        <v>26988</v>
      </c>
      <c r="N96" s="32">
        <f t="shared" si="34"/>
        <v>21.1151899803776</v>
      </c>
      <c r="O96" s="32">
        <f t="shared" si="40"/>
        <v>0</v>
      </c>
      <c r="P96" s="32">
        <f t="shared" si="45"/>
        <v>21.1151899803776</v>
      </c>
      <c r="Q96" s="24">
        <f t="shared" si="31"/>
        <v>31966</v>
      </c>
      <c r="R96" s="33">
        <f t="shared" si="32"/>
        <v>0.155727960958518</v>
      </c>
      <c r="S96" s="33">
        <f t="shared" si="35"/>
        <v>1</v>
      </c>
      <c r="T96" s="6" t="str">
        <f t="shared" si="41"/>
        <v>Контейнеры: 26988 по ФГИС УТКО / 0 по ТС</v>
      </c>
      <c r="U96" s="6" t="str">
        <f t="shared" si="37"/>
        <v>Наполнение ФГИС УТКО более 100%</v>
      </c>
      <c r="V96" s="34" t="str">
        <f t="shared" si="26"/>
        <v>Данные о количестве КП требуют проверки</v>
      </c>
      <c r="X96" s="6">
        <f t="shared" si="38"/>
        <v>0.986490803975928</v>
      </c>
      <c r="Y96" s="6" t="str">
        <f t="shared" si="42"/>
        <v>ниже </v>
      </c>
      <c r="Z96" s="6" t="str">
        <f t="shared" si="43"/>
        <v>Обеспеченность контейнерами ниже среднего по России на 99%</v>
      </c>
      <c r="AA96" s="6" t="str">
        <f t="shared" si="44"/>
        <v>Потребность в контейнерах по данным субъекта 4978 шт. (16%)</v>
      </c>
      <c r="AB96" s="9" t="str">
        <f t="shared" si="33"/>
        <v>32/27/5 (16%)</v>
      </c>
    </row>
    <row r="97" spans="2:28">
      <c r="B97" s="25" t="s">
        <v>84</v>
      </c>
      <c r="C97" s="22">
        <f t="shared" si="29"/>
        <v>0</v>
      </c>
      <c r="D97" s="42">
        <f t="shared" si="46"/>
        <v>0</v>
      </c>
      <c r="E97" s="22">
        <f t="shared" si="30"/>
        <v>0</v>
      </c>
      <c r="F97" s="22">
        <f t="shared" si="47"/>
        <v>0</v>
      </c>
      <c r="G97" s="22">
        <f t="shared" si="48"/>
        <v>0</v>
      </c>
      <c r="H97" s="24">
        <v>1759386</v>
      </c>
      <c r="I97" s="37">
        <v>39609</v>
      </c>
      <c r="J97" s="37"/>
      <c r="K97" s="65">
        <v>40802</v>
      </c>
      <c r="L97" s="37">
        <v>5894</v>
      </c>
      <c r="M97" s="24">
        <f t="shared" si="39"/>
        <v>40802</v>
      </c>
      <c r="N97" s="32">
        <f t="shared" si="34"/>
        <v>22.5129675921032</v>
      </c>
      <c r="O97" s="32">
        <f t="shared" si="40"/>
        <v>23.1910450577645</v>
      </c>
      <c r="P97" s="32">
        <f t="shared" si="45"/>
        <v>23.1910450577645</v>
      </c>
      <c r="Q97" s="24">
        <f t="shared" si="31"/>
        <v>45503</v>
      </c>
      <c r="R97" s="33">
        <f t="shared" si="32"/>
        <v>0.129529921104103</v>
      </c>
      <c r="S97" s="33">
        <f t="shared" si="35"/>
        <v>0.970761237194255</v>
      </c>
      <c r="T97" s="6" t="str">
        <f t="shared" si="41"/>
        <v>Контейнеры: 39609 по ФГИС УТКО / 40802 по ТС</v>
      </c>
      <c r="U97" s="6" t="str">
        <f t="shared" si="37"/>
        <v>Наполнение ФГИС УТКО 97%</v>
      </c>
      <c r="V97" s="34" t="str">
        <f t="shared" si="26"/>
        <v>Аномальные данные территориальной схемы</v>
      </c>
      <c r="X97" s="6">
        <f t="shared" si="38"/>
        <v>0.980769913449185</v>
      </c>
      <c r="Y97" s="6" t="str">
        <f t="shared" si="42"/>
        <v>ниже </v>
      </c>
      <c r="Z97" s="6" t="str">
        <f t="shared" si="43"/>
        <v>Обеспеченность контейнерами ниже среднего по России на 98%</v>
      </c>
      <c r="AA97" s="6" t="str">
        <f t="shared" si="44"/>
        <v>Потребность в контейнерах по данным субъекта 5894 шт. (13%)</v>
      </c>
      <c r="AB97" s="9" t="str">
        <f t="shared" si="33"/>
        <v>46/40/6 (13%)</v>
      </c>
    </row>
    <row r="98" spans="2:22">
      <c r="B98" s="25" t="s">
        <v>163</v>
      </c>
      <c r="C98" s="64">
        <v>0</v>
      </c>
      <c r="D98" s="64">
        <v>0</v>
      </c>
      <c r="E98" s="64">
        <v>0</v>
      </c>
      <c r="F98" s="64">
        <v>0</v>
      </c>
      <c r="G98" s="64">
        <v>0</v>
      </c>
      <c r="H98" s="24"/>
      <c r="I98" s="37">
        <v>0</v>
      </c>
      <c r="J98" s="37"/>
      <c r="K98" s="65">
        <v>0</v>
      </c>
      <c r="L98" s="37">
        <v>0</v>
      </c>
      <c r="M98" s="24"/>
      <c r="N98" s="32"/>
      <c r="O98" s="32"/>
      <c r="P98" s="32"/>
      <c r="Q98" s="24">
        <f t="shared" si="31"/>
        <v>0</v>
      </c>
      <c r="R98" s="33"/>
      <c r="S98" s="33"/>
      <c r="T98" s="6"/>
      <c r="V98" s="34"/>
    </row>
    <row r="99" spans="2:28">
      <c r="B99" s="25" t="s">
        <v>79</v>
      </c>
      <c r="C99" s="22">
        <f t="shared" si="29"/>
        <v>0</v>
      </c>
      <c r="D99" s="42">
        <f t="shared" si="46"/>
        <v>0</v>
      </c>
      <c r="E99" s="22">
        <f t="shared" si="30"/>
        <v>0</v>
      </c>
      <c r="F99" s="22">
        <f t="shared" si="47"/>
        <v>2</v>
      </c>
      <c r="G99" s="22">
        <f t="shared" si="48"/>
        <v>0</v>
      </c>
      <c r="H99" s="24">
        <v>3395798</v>
      </c>
      <c r="I99" s="37">
        <v>37721</v>
      </c>
      <c r="J99" s="37"/>
      <c r="K99" s="65">
        <v>63592</v>
      </c>
      <c r="L99" s="37">
        <v>4604</v>
      </c>
      <c r="M99" s="24">
        <f t="shared" si="39"/>
        <v>63592</v>
      </c>
      <c r="N99" s="32">
        <f t="shared" si="34"/>
        <v>11.108140119053</v>
      </c>
      <c r="O99" s="32">
        <f t="shared" si="40"/>
        <v>18.7266733769205</v>
      </c>
      <c r="P99" s="32">
        <f t="shared" si="45"/>
        <v>18.7266733769205</v>
      </c>
      <c r="Q99" s="24">
        <f t="shared" si="31"/>
        <v>42325</v>
      </c>
      <c r="R99" s="33">
        <f t="shared" si="32"/>
        <v>0.108777318369758</v>
      </c>
      <c r="S99" s="33">
        <f t="shared" si="35"/>
        <v>0.593172097119134</v>
      </c>
      <c r="T99" s="6" t="str">
        <f t="shared" si="41"/>
        <v>Контейнеры: 37721 по ФГИС УТКО / 63592 по ТС</v>
      </c>
      <c r="U99" s="6" t="str">
        <f t="shared" si="37"/>
        <v>Наполнение ФГИС УТКО 59%</v>
      </c>
      <c r="V99" s="34" t="str">
        <f t="shared" ref="V99:V104" si="49">IF(O99&gt;$O$8,$V$107,IF(Q99&gt;$Q$10,$V$108,IF(I99&gt;K99*(1+$K$10),$V$109,"")))</f>
        <v>Аномальные данные территориальной схемы</v>
      </c>
      <c r="X99" s="6">
        <f t="shared" si="38"/>
        <v>0.982112972479546</v>
      </c>
      <c r="Y99" s="6" t="str">
        <f t="shared" si="42"/>
        <v>ниже </v>
      </c>
      <c r="Z99" s="6" t="str">
        <f t="shared" si="43"/>
        <v>Обеспеченность контейнерами ниже среднего по России на 98%</v>
      </c>
      <c r="AA99" s="6" t="str">
        <f t="shared" si="44"/>
        <v>Потребность в контейнерах по данным субъекта 4604 шт. (11%)</v>
      </c>
      <c r="AB99" s="9" t="str">
        <f t="shared" si="33"/>
        <v>42/38/5 (11%)</v>
      </c>
    </row>
    <row r="100" spans="2:28">
      <c r="B100" s="25" t="s">
        <v>117</v>
      </c>
      <c r="C100" s="22">
        <f t="shared" si="29"/>
        <v>0</v>
      </c>
      <c r="D100" s="42">
        <f t="shared" si="46"/>
        <v>0</v>
      </c>
      <c r="E100" s="22">
        <f t="shared" si="30"/>
        <v>2</v>
      </c>
      <c r="F100" s="22">
        <f t="shared" si="47"/>
        <v>2</v>
      </c>
      <c r="G100" s="22">
        <f t="shared" si="48"/>
        <v>0</v>
      </c>
      <c r="H100" s="24">
        <v>1552866</v>
      </c>
      <c r="I100" s="37">
        <v>5807</v>
      </c>
      <c r="J100" s="37"/>
      <c r="K100" s="65">
        <v>7900</v>
      </c>
      <c r="L100" s="37">
        <v>200</v>
      </c>
      <c r="M100" s="24">
        <f t="shared" si="39"/>
        <v>7900</v>
      </c>
      <c r="N100" s="32">
        <f t="shared" si="34"/>
        <v>3.73953708819692</v>
      </c>
      <c r="O100" s="32">
        <f t="shared" si="40"/>
        <v>5.08736748695638</v>
      </c>
      <c r="P100" s="32">
        <f t="shared" si="45"/>
        <v>5.08736748695638</v>
      </c>
      <c r="Q100" s="24">
        <f t="shared" si="31"/>
        <v>6007</v>
      </c>
      <c r="R100" s="33">
        <f t="shared" si="32"/>
        <v>0.0332944897619444</v>
      </c>
      <c r="S100" s="33">
        <f t="shared" si="35"/>
        <v>0.735063291139241</v>
      </c>
      <c r="T100" s="6" t="str">
        <f t="shared" si="41"/>
        <v>Контейнеры: 5807 по ФГИС УТКО / 7900 по ТС</v>
      </c>
      <c r="U100" s="6" t="str">
        <f t="shared" si="37"/>
        <v>Наполнение ФГИС УТКО 74%</v>
      </c>
      <c r="V100" s="34" t="str">
        <f t="shared" si="49"/>
        <v>Аномальные данные территориальной схемы</v>
      </c>
      <c r="X100" s="6">
        <f t="shared" si="38"/>
        <v>0.997461373318007</v>
      </c>
      <c r="Y100" s="6" t="str">
        <f t="shared" si="42"/>
        <v>ниже </v>
      </c>
      <c r="Z100" s="6" t="str">
        <f t="shared" si="43"/>
        <v>Обеспеченность контейнерами ниже среднего по России на 100%</v>
      </c>
      <c r="AA100" s="6" t="str">
        <f t="shared" si="44"/>
        <v>Потребность в контейнерах по данным субъекта 200 шт. (3%)</v>
      </c>
      <c r="AB100" s="9" t="str">
        <f t="shared" si="33"/>
        <v>6/6/0 (3%)</v>
      </c>
    </row>
    <row r="101" spans="2:28">
      <c r="B101" s="25" t="s">
        <v>82</v>
      </c>
      <c r="C101" s="22">
        <f t="shared" si="29"/>
        <v>0</v>
      </c>
      <c r="D101" s="42">
        <f t="shared" si="46"/>
        <v>0</v>
      </c>
      <c r="E101" s="22">
        <f t="shared" si="30"/>
        <v>0</v>
      </c>
      <c r="F101" s="22">
        <f t="shared" si="47"/>
        <v>0</v>
      </c>
      <c r="G101" s="22">
        <f t="shared" si="48"/>
        <v>0</v>
      </c>
      <c r="H101" s="24">
        <v>1167061</v>
      </c>
      <c r="I101" s="37">
        <v>28065</v>
      </c>
      <c r="J101" s="37"/>
      <c r="K101" s="65">
        <v>29565</v>
      </c>
      <c r="L101" s="37">
        <v>951</v>
      </c>
      <c r="M101" s="24">
        <f t="shared" si="39"/>
        <v>29565</v>
      </c>
      <c r="N101" s="32">
        <f t="shared" si="34"/>
        <v>24.0475862015782</v>
      </c>
      <c r="O101" s="32">
        <f t="shared" si="40"/>
        <v>25.3328660626994</v>
      </c>
      <c r="P101" s="32">
        <f t="shared" si="45"/>
        <v>25.3328660626994</v>
      </c>
      <c r="Q101" s="24">
        <f t="shared" si="31"/>
        <v>29016</v>
      </c>
      <c r="R101" s="33">
        <f t="shared" si="32"/>
        <v>0.0327750206782465</v>
      </c>
      <c r="S101" s="33">
        <f t="shared" si="35"/>
        <v>0.949264332825977</v>
      </c>
      <c r="T101" s="6" t="str">
        <f t="shared" si="41"/>
        <v>Контейнеры: 28065 по ФГИС УТКО / 29565 по ТС</v>
      </c>
      <c r="U101" s="6" t="str">
        <f t="shared" si="37"/>
        <v>Наполнение ФГИС УТКО 95%</v>
      </c>
      <c r="V101" s="34" t="str">
        <f t="shared" si="49"/>
        <v>Аномальные данные территориальной схемы</v>
      </c>
      <c r="X101" s="6">
        <f t="shared" si="38"/>
        <v>0.987737507607005</v>
      </c>
      <c r="Y101" s="6" t="str">
        <f t="shared" si="42"/>
        <v>ниже </v>
      </c>
      <c r="Z101" s="6" t="str">
        <f t="shared" si="43"/>
        <v>Обеспеченность контейнерами ниже среднего по России на 99%</v>
      </c>
      <c r="AA101" s="6" t="str">
        <f t="shared" si="44"/>
        <v>Потребность в контейнерах по данным субъекта 951 шт. (3%)</v>
      </c>
      <c r="AB101" s="9" t="str">
        <f t="shared" si="33"/>
        <v>29/28/1 (3%)</v>
      </c>
    </row>
    <row r="102" spans="2:28">
      <c r="B102" s="25" t="s">
        <v>149</v>
      </c>
      <c r="C102" s="22">
        <f t="shared" si="29"/>
        <v>1</v>
      </c>
      <c r="D102" s="42">
        <f t="shared" si="46"/>
        <v>1</v>
      </c>
      <c r="E102" s="22">
        <f t="shared" si="30"/>
        <v>0</v>
      </c>
      <c r="F102" s="22">
        <f t="shared" si="47"/>
        <v>0</v>
      </c>
      <c r="G102" s="22">
        <f t="shared" si="48"/>
        <v>1</v>
      </c>
      <c r="H102" s="24">
        <v>48029</v>
      </c>
      <c r="I102" s="37">
        <v>1292</v>
      </c>
      <c r="J102" s="37"/>
      <c r="K102" s="65">
        <v>1202</v>
      </c>
      <c r="L102" s="37">
        <v>399</v>
      </c>
      <c r="M102" s="24">
        <f t="shared" si="39"/>
        <v>1292</v>
      </c>
      <c r="N102" s="32">
        <f t="shared" si="34"/>
        <v>26.9004143330071</v>
      </c>
      <c r="O102" s="32">
        <f t="shared" si="40"/>
        <v>25.0265464615128</v>
      </c>
      <c r="P102" s="32">
        <f t="shared" si="45"/>
        <v>26.9004143330071</v>
      </c>
      <c r="Q102" s="24">
        <f t="shared" si="31"/>
        <v>1691</v>
      </c>
      <c r="R102" s="33">
        <f t="shared" si="32"/>
        <v>0.235955056179775</v>
      </c>
      <c r="S102" s="33">
        <f t="shared" si="35"/>
        <v>1</v>
      </c>
      <c r="T102" s="6" t="str">
        <f t="shared" si="41"/>
        <v>Контейнеры: 1292 по ФГИС УТКО / 1202 по ТС</v>
      </c>
      <c r="U102" s="6" t="str">
        <f t="shared" si="37"/>
        <v>Наполнение ФГИС УТКО более 100%</v>
      </c>
      <c r="V102" s="34" t="str">
        <f t="shared" si="49"/>
        <v>Аномальные данные территориальной схемы</v>
      </c>
      <c r="X102" s="6">
        <f t="shared" si="38"/>
        <v>0.999285364121983</v>
      </c>
      <c r="Y102" s="6" t="str">
        <f t="shared" si="42"/>
        <v>ниже </v>
      </c>
      <c r="Z102" s="6" t="str">
        <f t="shared" si="43"/>
        <v>Обеспеченность контейнерами ниже среднего по России на 100%</v>
      </c>
      <c r="AA102" s="6" t="str">
        <f t="shared" si="44"/>
        <v>Потребность в контейнерах по данным субъекта 399 шт. (24%)</v>
      </c>
      <c r="AB102" s="9" t="str">
        <f t="shared" si="33"/>
        <v>2/1/0 (24%)</v>
      </c>
    </row>
    <row r="103" spans="2:28">
      <c r="B103" s="25" t="s">
        <v>114</v>
      </c>
      <c r="C103" s="22">
        <f t="shared" si="29"/>
        <v>0</v>
      </c>
      <c r="D103" s="42">
        <f t="shared" si="46"/>
        <v>0</v>
      </c>
      <c r="E103" s="22">
        <f t="shared" si="30"/>
        <v>0</v>
      </c>
      <c r="F103" s="22">
        <f t="shared" si="47"/>
        <v>0</v>
      </c>
      <c r="G103" s="22">
        <f t="shared" si="48"/>
        <v>0</v>
      </c>
      <c r="H103" s="24">
        <v>515960</v>
      </c>
      <c r="I103" s="37">
        <v>15887</v>
      </c>
      <c r="J103" s="37"/>
      <c r="K103" s="65">
        <v>12817</v>
      </c>
      <c r="L103" s="37">
        <v>306</v>
      </c>
      <c r="M103" s="24">
        <f t="shared" si="39"/>
        <v>15887</v>
      </c>
      <c r="N103" s="32">
        <f t="shared" si="34"/>
        <v>30.7911466005117</v>
      </c>
      <c r="O103" s="32">
        <f t="shared" si="40"/>
        <v>24.8410729513916</v>
      </c>
      <c r="P103" s="32">
        <f t="shared" si="45"/>
        <v>30.7911466005117</v>
      </c>
      <c r="Q103" s="24">
        <f t="shared" si="31"/>
        <v>16193</v>
      </c>
      <c r="R103" s="33">
        <f t="shared" si="32"/>
        <v>0.0188970542827148</v>
      </c>
      <c r="S103" s="33">
        <f t="shared" si="35"/>
        <v>1</v>
      </c>
      <c r="T103" s="6" t="str">
        <f t="shared" si="41"/>
        <v>Контейнеры: 15887 по ФГИС УТКО / 12817 по ТС</v>
      </c>
      <c r="U103" s="6" t="str">
        <f t="shared" si="37"/>
        <v>Наполнение ФГИС УТКО более 100%</v>
      </c>
      <c r="V103" s="34" t="str">
        <f t="shared" si="49"/>
        <v>Аномальные данные территориальной схемы</v>
      </c>
      <c r="X103" s="6">
        <f t="shared" si="38"/>
        <v>0.993156653593887</v>
      </c>
      <c r="Y103" s="6" t="str">
        <f t="shared" si="42"/>
        <v>ниже </v>
      </c>
      <c r="Z103" s="6" t="str">
        <f t="shared" si="43"/>
        <v>Обеспеченность контейнерами ниже среднего по России на 99%</v>
      </c>
      <c r="AA103" s="6" t="str">
        <f t="shared" si="44"/>
        <v>Потребность в контейнерах по данным субъекта 306 шт. (2%)</v>
      </c>
      <c r="AB103" s="9" t="str">
        <f t="shared" si="33"/>
        <v>16/16/0 (2%)</v>
      </c>
    </row>
    <row r="104" spans="2:28">
      <c r="B104" s="25" t="s">
        <v>80</v>
      </c>
      <c r="C104" s="22">
        <f t="shared" si="29"/>
        <v>0</v>
      </c>
      <c r="D104" s="42">
        <f t="shared" si="46"/>
        <v>0</v>
      </c>
      <c r="E104" s="22">
        <f t="shared" si="30"/>
        <v>0</v>
      </c>
      <c r="F104" s="22">
        <f t="shared" si="47"/>
        <v>0</v>
      </c>
      <c r="G104" s="22">
        <f t="shared" si="48"/>
        <v>0</v>
      </c>
      <c r="H104" s="24">
        <v>1187558</v>
      </c>
      <c r="I104" s="37">
        <v>16756</v>
      </c>
      <c r="J104" s="37"/>
      <c r="K104" s="65">
        <v>17051</v>
      </c>
      <c r="L104" s="37">
        <v>1117</v>
      </c>
      <c r="M104" s="24">
        <f t="shared" si="39"/>
        <v>17051</v>
      </c>
      <c r="N104" s="32">
        <f t="shared" si="34"/>
        <v>14.1096266456038</v>
      </c>
      <c r="O104" s="32">
        <f t="shared" si="40"/>
        <v>14.3580355654208</v>
      </c>
      <c r="P104" s="32">
        <f t="shared" si="45"/>
        <v>14.3580355654208</v>
      </c>
      <c r="Q104" s="24">
        <f t="shared" si="31"/>
        <v>17873</v>
      </c>
      <c r="R104" s="33">
        <f t="shared" si="32"/>
        <v>0.0624965031052425</v>
      </c>
      <c r="S104" s="33">
        <f t="shared" si="35"/>
        <v>0.982698961937716</v>
      </c>
      <c r="T104" s="6" t="str">
        <f t="shared" si="41"/>
        <v>Контейнеры: 16756 по ФГИС УТКО / 17051 по ТС</v>
      </c>
      <c r="U104" s="6" t="str">
        <f t="shared" si="37"/>
        <v>Наполнение ФГИС УТКО 98%</v>
      </c>
      <c r="V104" s="34" t="str">
        <f t="shared" si="49"/>
        <v>Аномальные данные территориальной схемы</v>
      </c>
      <c r="X104" s="6">
        <f t="shared" si="38"/>
        <v>0.992446666441274</v>
      </c>
      <c r="Y104" s="6" t="str">
        <f t="shared" si="42"/>
        <v>ниже </v>
      </c>
      <c r="Z104" s="6" t="str">
        <f t="shared" si="43"/>
        <v>Обеспеченность контейнерами ниже среднего по России на 99%</v>
      </c>
      <c r="AA104" s="6" t="str">
        <f t="shared" si="44"/>
        <v>Потребность в контейнерах по данным субъекта 1117 шт. (6%)</v>
      </c>
      <c r="AB104" s="9" t="str">
        <f t="shared" si="33"/>
        <v>18/17/1 (6%)</v>
      </c>
    </row>
    <row r="106" spans="22:22">
      <c r="V106" s="6" t="s">
        <v>239</v>
      </c>
    </row>
    <row r="107" spans="2:22">
      <c r="B107" s="25"/>
      <c r="V107" s="25" t="s">
        <v>240</v>
      </c>
    </row>
    <row r="108" spans="22:22">
      <c r="V108" s="25" t="s">
        <v>241</v>
      </c>
    </row>
    <row r="109" spans="8:22">
      <c r="H109" s="16"/>
      <c r="V109" s="25" t="s">
        <v>242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9"/>
  <dimension ref="B2:AB109"/>
  <sheetViews>
    <sheetView workbookViewId="0">
      <pane xSplit="2" ySplit="15" topLeftCell="C16" activePane="bottomRight" state="frozen"/>
      <selection/>
      <selection pane="topRight"/>
      <selection pane="bottomLeft"/>
      <selection pane="bottomRight" activeCell="A1" sqref="A1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4" width="13.5" style="7" customWidth="1"/>
    <col min="5" max="5" width="14.3583333333333" style="8" customWidth="1"/>
    <col min="6" max="6" width="47.8583333333333" style="7" customWidth="1"/>
    <col min="7" max="7" width="13.5" style="7" customWidth="1"/>
    <col min="8" max="13" width="13.5" style="9" customWidth="1"/>
    <col min="14" max="19" width="13.5" style="11" customWidth="1"/>
    <col min="20" max="20" width="58.5" style="11" customWidth="1"/>
    <col min="21" max="21" width="32" style="6" customWidth="1"/>
    <col min="22" max="22" width="42.8583333333333" style="6" customWidth="1"/>
    <col min="23" max="23" width="61.6416666666667" style="6" customWidth="1"/>
    <col min="24" max="24" width="12.1416666666667" style="6" customWidth="1"/>
    <col min="25" max="25" width="12" style="6" customWidth="1"/>
    <col min="26" max="26" width="48.5" style="6" customWidth="1"/>
    <col min="27" max="27" width="56.3583333333333" style="6" customWidth="1"/>
    <col min="28" max="16384" width="10.8583333333333" style="6"/>
  </cols>
  <sheetData>
    <row r="2" ht="15.6" spans="2:2">
      <c r="B2" s="4" t="s">
        <v>215</v>
      </c>
    </row>
    <row r="4" s="4" customFormat="1" ht="15.6" spans="2:21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pans="2:21">
      <c r="B5" s="6" t="s">
        <v>216</v>
      </c>
      <c r="C5" s="15">
        <v>45566</v>
      </c>
      <c r="F5" s="8"/>
      <c r="H5" s="7"/>
      <c r="N5" s="9"/>
      <c r="U5" s="11"/>
    </row>
    <row r="7" spans="2:19">
      <c r="B7" s="6" t="s">
        <v>173</v>
      </c>
      <c r="R7" s="17"/>
      <c r="S7" s="17"/>
    </row>
    <row r="8" spans="2:18">
      <c r="B8" s="6" t="s">
        <v>174</v>
      </c>
      <c r="D8" s="11">
        <v>1.5</v>
      </c>
      <c r="K8" s="6"/>
      <c r="O8" s="29"/>
      <c r="Q8" s="6"/>
      <c r="R8" s="17"/>
    </row>
    <row r="9" spans="2:19">
      <c r="B9" s="6" t="s">
        <v>175</v>
      </c>
      <c r="D9" s="11">
        <v>0.5</v>
      </c>
      <c r="S9" s="17"/>
    </row>
    <row r="10" spans="2:18">
      <c r="B10" s="6" t="s">
        <v>176</v>
      </c>
      <c r="K10" s="16"/>
      <c r="R10" s="17"/>
    </row>
    <row r="11" spans="2:7">
      <c r="B11" s="6" t="s">
        <v>177</v>
      </c>
      <c r="C11" s="17"/>
      <c r="E11" s="18"/>
      <c r="F11" s="17"/>
      <c r="G11" s="17"/>
    </row>
    <row r="12" spans="3:17">
      <c r="C12" s="17"/>
      <c r="E12" s="18"/>
      <c r="F12" s="17"/>
      <c r="G12" s="17"/>
      <c r="K12" s="6"/>
      <c r="O12" s="6"/>
      <c r="Q12" s="6"/>
    </row>
    <row r="14" s="5" customFormat="1" ht="45" spans="2:28">
      <c r="B14" s="5" t="s">
        <v>2</v>
      </c>
      <c r="C14" s="19" t="s">
        <v>178</v>
      </c>
      <c r="D14" s="19" t="s">
        <v>179</v>
      </c>
      <c r="E14" s="20" t="s">
        <v>254</v>
      </c>
      <c r="F14" s="19" t="s">
        <v>181</v>
      </c>
      <c r="G14" s="19"/>
      <c r="H14" s="21"/>
      <c r="I14" s="21"/>
      <c r="J14" s="21"/>
      <c r="K14" s="21"/>
      <c r="L14" s="21"/>
      <c r="M14" s="21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s="5" customFormat="1" spans="2:28">
      <c r="B15" s="5" t="s">
        <v>182</v>
      </c>
      <c r="C15" s="22"/>
      <c r="D15" s="22"/>
      <c r="E15" s="23" t="str">
        <f>_xlfn.TEXTJOIN(,0,COUNTIF(E16:E104,$E$106)," / ",COUNTIF(E16:E104,$E$107)," / ",COUNTIF(E16:E104,$E$108)+COUNTIF(E16:E104,$E$109))</f>
        <v>89 / 0 / 0</v>
      </c>
      <c r="F15" s="22"/>
      <c r="G15" s="22"/>
      <c r="H15" s="24"/>
      <c r="I15" s="24"/>
      <c r="J15" s="24"/>
      <c r="K15" s="24"/>
      <c r="L15" s="24"/>
      <c r="M15" s="24"/>
      <c r="N15" s="32"/>
      <c r="O15" s="32"/>
      <c r="P15" s="32"/>
      <c r="Q15" s="32"/>
      <c r="R15" s="33"/>
      <c r="S15" s="33"/>
      <c r="T15" s="33"/>
      <c r="AB15" s="6"/>
    </row>
    <row r="16" ht="30" spans="2:22">
      <c r="B16" s="25" t="s">
        <v>146</v>
      </c>
      <c r="C16" s="22">
        <f>IF(OR(G16=2,D16&gt;$D$8),2,IF(OR(G16=1,D16&gt;$D$9),1,0))</f>
        <v>2</v>
      </c>
      <c r="D16" s="22">
        <f>IF(E16="в разработке",2,IF(E16="утверждена",0,1))</f>
        <v>2</v>
      </c>
      <c r="E16" s="26" t="s">
        <v>255</v>
      </c>
      <c r="F16" s="22" t="str">
        <f>_xlfn.TEXTJOIN(,0,"Дорожная карта по контейнерам и КП ",E16)</f>
        <v>Дорожная карта по контейнерам и КП в разработке</v>
      </c>
      <c r="G16" s="22"/>
      <c r="H16" s="24"/>
      <c r="I16" s="24"/>
      <c r="J16" s="24"/>
      <c r="K16" s="24"/>
      <c r="L16" s="24"/>
      <c r="M16" s="24"/>
      <c r="N16" s="32"/>
      <c r="O16" s="32"/>
      <c r="P16" s="32"/>
      <c r="Q16" s="32"/>
      <c r="R16" s="33"/>
      <c r="S16" s="33"/>
      <c r="T16" s="6"/>
      <c r="V16" s="34"/>
    </row>
    <row r="17" ht="30" spans="2:22">
      <c r="B17" s="25" t="s">
        <v>150</v>
      </c>
      <c r="C17" s="22">
        <f t="shared" ref="C17:C80" si="0">IF(OR(G17=2,D17&gt;$D$8),2,IF(OR(G17=1,D17&gt;$D$9),1,0))</f>
        <v>2</v>
      </c>
      <c r="D17" s="22">
        <f t="shared" ref="D17:D80" si="1">IF(E17="в разработке",2,IF(E17="утверждена",0,1))</f>
        <v>2</v>
      </c>
      <c r="E17" s="26" t="s">
        <v>255</v>
      </c>
      <c r="F17" s="22" t="str">
        <f t="shared" ref="F17:F80" si="2">_xlfn.TEXTJOIN(,0,"Дорожная карта по контейнерам и КП ",E17)</f>
        <v>Дорожная карта по контейнерам и КП в разработке</v>
      </c>
      <c r="G17" s="22"/>
      <c r="H17" s="24"/>
      <c r="I17" s="24"/>
      <c r="J17" s="24"/>
      <c r="K17" s="24"/>
      <c r="L17" s="24"/>
      <c r="M17" s="24"/>
      <c r="N17" s="32"/>
      <c r="O17" s="32"/>
      <c r="P17" s="32"/>
      <c r="Q17" s="32"/>
      <c r="R17" s="33"/>
      <c r="S17" s="33"/>
      <c r="T17" s="6"/>
      <c r="V17" s="34"/>
    </row>
    <row r="18" ht="30" spans="2:22">
      <c r="B18" s="25" t="s">
        <v>133</v>
      </c>
      <c r="C18" s="22">
        <f t="shared" si="0"/>
        <v>2</v>
      </c>
      <c r="D18" s="22">
        <f t="shared" si="1"/>
        <v>2</v>
      </c>
      <c r="E18" s="26" t="s">
        <v>255</v>
      </c>
      <c r="F18" s="22" t="str">
        <f t="shared" si="2"/>
        <v>Дорожная карта по контейнерам и КП в разработке</v>
      </c>
      <c r="G18" s="22"/>
      <c r="H18" s="24"/>
      <c r="I18" s="24"/>
      <c r="J18" s="24"/>
      <c r="K18" s="24"/>
      <c r="L18" s="24"/>
      <c r="M18" s="24"/>
      <c r="N18" s="32"/>
      <c r="O18" s="32"/>
      <c r="P18" s="32"/>
      <c r="Q18" s="32"/>
      <c r="R18" s="33"/>
      <c r="S18" s="33"/>
      <c r="T18" s="6"/>
      <c r="V18" s="34"/>
    </row>
    <row r="19" ht="30" spans="2:22">
      <c r="B19" s="25" t="s">
        <v>121</v>
      </c>
      <c r="C19" s="22">
        <f t="shared" si="0"/>
        <v>2</v>
      </c>
      <c r="D19" s="22">
        <f t="shared" si="1"/>
        <v>2</v>
      </c>
      <c r="E19" s="26" t="s">
        <v>255</v>
      </c>
      <c r="F19" s="22" t="str">
        <f t="shared" si="2"/>
        <v>Дорожная карта по контейнерам и КП в разработке</v>
      </c>
      <c r="G19" s="22"/>
      <c r="H19" s="24"/>
      <c r="I19" s="24"/>
      <c r="J19" s="24"/>
      <c r="K19" s="24"/>
      <c r="L19" s="24"/>
      <c r="M19" s="24"/>
      <c r="N19" s="32"/>
      <c r="O19" s="32"/>
      <c r="P19" s="32"/>
      <c r="Q19" s="32"/>
      <c r="R19" s="33"/>
      <c r="S19" s="33"/>
      <c r="T19" s="6"/>
      <c r="V19" s="34"/>
    </row>
    <row r="20" ht="30" spans="2:22">
      <c r="B20" s="25" t="s">
        <v>106</v>
      </c>
      <c r="C20" s="22">
        <f t="shared" si="0"/>
        <v>2</v>
      </c>
      <c r="D20" s="22">
        <f t="shared" si="1"/>
        <v>2</v>
      </c>
      <c r="E20" s="26" t="s">
        <v>255</v>
      </c>
      <c r="F20" s="22" t="str">
        <f t="shared" si="2"/>
        <v>Дорожная карта по контейнерам и КП в разработке</v>
      </c>
      <c r="G20" s="22"/>
      <c r="H20" s="24"/>
      <c r="I20" s="24"/>
      <c r="J20" s="24"/>
      <c r="K20" s="24"/>
      <c r="L20" s="24"/>
      <c r="M20" s="24"/>
      <c r="N20" s="32"/>
      <c r="O20" s="32"/>
      <c r="P20" s="32"/>
      <c r="Q20" s="32"/>
      <c r="R20" s="33"/>
      <c r="S20" s="33"/>
      <c r="T20" s="6"/>
      <c r="V20" s="34"/>
    </row>
    <row r="21" ht="30" spans="2:22">
      <c r="B21" s="25" t="s">
        <v>91</v>
      </c>
      <c r="C21" s="22">
        <f t="shared" si="0"/>
        <v>2</v>
      </c>
      <c r="D21" s="22">
        <f t="shared" si="1"/>
        <v>2</v>
      </c>
      <c r="E21" s="26" t="s">
        <v>255</v>
      </c>
      <c r="F21" s="22" t="str">
        <f t="shared" si="2"/>
        <v>Дорожная карта по контейнерам и КП в разработке</v>
      </c>
      <c r="G21" s="22"/>
      <c r="H21" s="24"/>
      <c r="I21" s="24"/>
      <c r="J21" s="24"/>
      <c r="K21" s="24"/>
      <c r="L21" s="24"/>
      <c r="M21" s="24"/>
      <c r="N21" s="32"/>
      <c r="O21" s="32"/>
      <c r="P21" s="32"/>
      <c r="Q21" s="32"/>
      <c r="R21" s="33"/>
      <c r="S21" s="33"/>
      <c r="T21" s="6"/>
      <c r="V21" s="34"/>
    </row>
    <row r="22" ht="30" spans="2:22">
      <c r="B22" s="25" t="s">
        <v>113</v>
      </c>
      <c r="C22" s="22">
        <f t="shared" si="0"/>
        <v>2</v>
      </c>
      <c r="D22" s="22">
        <f t="shared" si="1"/>
        <v>2</v>
      </c>
      <c r="E22" s="26" t="s">
        <v>255</v>
      </c>
      <c r="F22" s="22" t="str">
        <f t="shared" si="2"/>
        <v>Дорожная карта по контейнерам и КП в разработке</v>
      </c>
      <c r="G22" s="22"/>
      <c r="H22" s="24"/>
      <c r="I22" s="24"/>
      <c r="J22" s="24"/>
      <c r="K22" s="24"/>
      <c r="L22" s="24"/>
      <c r="M22" s="24"/>
      <c r="N22" s="32"/>
      <c r="O22" s="32"/>
      <c r="P22" s="32"/>
      <c r="Q22" s="32"/>
      <c r="R22" s="33"/>
      <c r="S22" s="33"/>
      <c r="T22" s="6"/>
      <c r="V22" s="34"/>
    </row>
    <row r="23" ht="30" spans="2:22">
      <c r="B23" s="25" t="s">
        <v>86</v>
      </c>
      <c r="C23" s="22">
        <f t="shared" si="0"/>
        <v>2</v>
      </c>
      <c r="D23" s="22">
        <f t="shared" si="1"/>
        <v>2</v>
      </c>
      <c r="E23" s="26" t="s">
        <v>255</v>
      </c>
      <c r="F23" s="22" t="str">
        <f t="shared" si="2"/>
        <v>Дорожная карта по контейнерам и КП в разработке</v>
      </c>
      <c r="G23" s="22"/>
      <c r="H23" s="24"/>
      <c r="I23" s="24"/>
      <c r="J23" s="24"/>
      <c r="K23" s="24"/>
      <c r="L23" s="24"/>
      <c r="M23" s="24"/>
      <c r="N23" s="32"/>
      <c r="O23" s="32"/>
      <c r="P23" s="32"/>
      <c r="Q23" s="32"/>
      <c r="R23" s="33"/>
      <c r="S23" s="33"/>
      <c r="T23" s="6"/>
      <c r="V23" s="34"/>
    </row>
    <row r="24" ht="30" spans="2:22">
      <c r="B24" s="25" t="s">
        <v>107</v>
      </c>
      <c r="C24" s="22">
        <f t="shared" si="0"/>
        <v>2</v>
      </c>
      <c r="D24" s="22">
        <f t="shared" si="1"/>
        <v>2</v>
      </c>
      <c r="E24" s="26" t="s">
        <v>255</v>
      </c>
      <c r="F24" s="22" t="str">
        <f t="shared" si="2"/>
        <v>Дорожная карта по контейнерам и КП в разработке</v>
      </c>
      <c r="G24" s="22"/>
      <c r="H24" s="24"/>
      <c r="I24" s="24"/>
      <c r="J24" s="24"/>
      <c r="K24" s="24"/>
      <c r="L24" s="24"/>
      <c r="M24" s="24"/>
      <c r="N24" s="32"/>
      <c r="O24" s="32"/>
      <c r="P24" s="32"/>
      <c r="Q24" s="32"/>
      <c r="R24" s="33"/>
      <c r="S24" s="33"/>
      <c r="T24" s="6"/>
      <c r="V24" s="34"/>
    </row>
    <row r="25" ht="30" spans="2:22">
      <c r="B25" s="25" t="s">
        <v>137</v>
      </c>
      <c r="C25" s="22">
        <f t="shared" si="0"/>
        <v>2</v>
      </c>
      <c r="D25" s="22">
        <f t="shared" si="1"/>
        <v>2</v>
      </c>
      <c r="E25" s="26" t="s">
        <v>255</v>
      </c>
      <c r="F25" s="22" t="str">
        <f t="shared" si="2"/>
        <v>Дорожная карта по контейнерам и КП в разработке</v>
      </c>
      <c r="G25" s="22"/>
      <c r="H25" s="24"/>
      <c r="I25" s="24"/>
      <c r="J25" s="24"/>
      <c r="K25" s="24"/>
      <c r="L25" s="24"/>
      <c r="M25" s="24"/>
      <c r="N25" s="32"/>
      <c r="O25" s="32"/>
      <c r="P25" s="32"/>
      <c r="Q25" s="32"/>
      <c r="R25" s="33"/>
      <c r="S25" s="33"/>
      <c r="T25" s="6"/>
      <c r="V25" s="34"/>
    </row>
    <row r="26" ht="30" spans="2:22">
      <c r="B26" s="25" t="s">
        <v>68</v>
      </c>
      <c r="C26" s="22">
        <f t="shared" si="0"/>
        <v>2</v>
      </c>
      <c r="D26" s="22">
        <f t="shared" si="1"/>
        <v>2</v>
      </c>
      <c r="E26" s="26" t="s">
        <v>255</v>
      </c>
      <c r="F26" s="22" t="str">
        <f t="shared" si="2"/>
        <v>Дорожная карта по контейнерам и КП в разработке</v>
      </c>
      <c r="G26" s="22"/>
      <c r="H26" s="24"/>
      <c r="I26" s="24"/>
      <c r="J26" s="24"/>
      <c r="K26" s="24"/>
      <c r="L26" s="24"/>
      <c r="M26" s="24"/>
      <c r="N26" s="32"/>
      <c r="O26" s="32"/>
      <c r="P26" s="32"/>
      <c r="Q26" s="32"/>
      <c r="R26" s="33"/>
      <c r="S26" s="33"/>
      <c r="T26" s="6"/>
      <c r="V26" s="34"/>
    </row>
    <row r="27" ht="30" spans="2:22">
      <c r="B27" s="25" t="s">
        <v>71</v>
      </c>
      <c r="C27" s="22">
        <f t="shared" si="0"/>
        <v>2</v>
      </c>
      <c r="D27" s="22">
        <f t="shared" si="1"/>
        <v>2</v>
      </c>
      <c r="E27" s="26" t="s">
        <v>255</v>
      </c>
      <c r="F27" s="22" t="str">
        <f t="shared" si="2"/>
        <v>Дорожная карта по контейнерам и КП в разработке</v>
      </c>
      <c r="G27" s="22"/>
      <c r="H27" s="24"/>
      <c r="I27" s="24"/>
      <c r="J27" s="24"/>
      <c r="K27" s="24"/>
      <c r="L27" s="24"/>
      <c r="M27" s="24"/>
      <c r="N27" s="32"/>
      <c r="O27" s="32"/>
      <c r="P27" s="32"/>
      <c r="Q27" s="32"/>
      <c r="R27" s="33"/>
      <c r="S27" s="33"/>
      <c r="T27" s="6"/>
      <c r="V27" s="34"/>
    </row>
    <row r="28" ht="30" spans="2:22">
      <c r="B28" s="25" t="s">
        <v>118</v>
      </c>
      <c r="C28" s="22">
        <f t="shared" si="0"/>
        <v>2</v>
      </c>
      <c r="D28" s="22">
        <f t="shared" si="1"/>
        <v>2</v>
      </c>
      <c r="E28" s="26" t="s">
        <v>255</v>
      </c>
      <c r="F28" s="22" t="str">
        <f t="shared" si="2"/>
        <v>Дорожная карта по контейнерам и КП в разработке</v>
      </c>
      <c r="G28" s="22"/>
      <c r="H28" s="24"/>
      <c r="I28" s="24"/>
      <c r="J28" s="24"/>
      <c r="K28" s="24"/>
      <c r="L28" s="24"/>
      <c r="M28" s="24"/>
      <c r="N28" s="32"/>
      <c r="O28" s="32"/>
      <c r="P28" s="32"/>
      <c r="Q28" s="32"/>
      <c r="R28" s="33"/>
      <c r="S28" s="33"/>
      <c r="T28" s="6"/>
      <c r="V28" s="34"/>
    </row>
    <row r="29" ht="30" spans="2:22">
      <c r="B29" s="25" t="s">
        <v>160</v>
      </c>
      <c r="C29" s="22">
        <f t="shared" si="0"/>
        <v>2</v>
      </c>
      <c r="D29" s="22">
        <f t="shared" si="1"/>
        <v>2</v>
      </c>
      <c r="E29" s="26" t="s">
        <v>255</v>
      </c>
      <c r="F29" s="22" t="str">
        <f t="shared" si="2"/>
        <v>Дорожная карта по контейнерам и КП в разработке</v>
      </c>
      <c r="G29" s="22"/>
      <c r="H29" s="24"/>
      <c r="I29" s="24"/>
      <c r="J29" s="24"/>
      <c r="K29" s="24"/>
      <c r="L29" s="24"/>
      <c r="M29" s="24"/>
      <c r="N29" s="32"/>
      <c r="O29" s="32"/>
      <c r="P29" s="32"/>
      <c r="Q29" s="32"/>
      <c r="R29" s="33"/>
      <c r="S29" s="33"/>
      <c r="T29" s="6"/>
      <c r="V29" s="34"/>
    </row>
    <row r="30" ht="30" spans="2:22">
      <c r="B30" s="25" t="s">
        <v>131</v>
      </c>
      <c r="C30" s="22">
        <f t="shared" si="0"/>
        <v>2</v>
      </c>
      <c r="D30" s="22">
        <f t="shared" si="1"/>
        <v>2</v>
      </c>
      <c r="E30" s="26" t="s">
        <v>255</v>
      </c>
      <c r="F30" s="22" t="str">
        <f t="shared" si="2"/>
        <v>Дорожная карта по контейнерам и КП в разработке</v>
      </c>
      <c r="G30" s="22"/>
      <c r="H30" s="24"/>
      <c r="I30" s="24"/>
      <c r="J30" s="24"/>
      <c r="K30" s="24"/>
      <c r="L30" s="24"/>
      <c r="M30" s="24"/>
      <c r="N30" s="32"/>
      <c r="O30" s="32"/>
      <c r="P30" s="32"/>
      <c r="Q30" s="32"/>
      <c r="R30" s="33"/>
      <c r="S30" s="33"/>
      <c r="T30" s="6"/>
      <c r="V30" s="34"/>
    </row>
    <row r="31" ht="30" spans="2:22">
      <c r="B31" s="25" t="s">
        <v>155</v>
      </c>
      <c r="C31" s="22">
        <f t="shared" si="0"/>
        <v>2</v>
      </c>
      <c r="D31" s="22">
        <f t="shared" si="1"/>
        <v>2</v>
      </c>
      <c r="E31" s="26" t="s">
        <v>255</v>
      </c>
      <c r="F31" s="22" t="str">
        <f t="shared" si="2"/>
        <v>Дорожная карта по контейнерам и КП в разработке</v>
      </c>
      <c r="G31" s="22"/>
      <c r="H31" s="24"/>
      <c r="I31" s="24"/>
      <c r="J31" s="24"/>
      <c r="K31" s="24"/>
      <c r="L31" s="24"/>
      <c r="M31" s="24"/>
      <c r="N31" s="32"/>
      <c r="O31" s="32"/>
      <c r="P31" s="32"/>
      <c r="Q31" s="32"/>
      <c r="R31" s="33"/>
      <c r="S31" s="33"/>
      <c r="T31" s="6"/>
      <c r="V31" s="34"/>
    </row>
    <row r="32" ht="30" spans="2:22">
      <c r="B32" s="25" t="s">
        <v>161</v>
      </c>
      <c r="C32" s="22">
        <f t="shared" si="0"/>
        <v>2</v>
      </c>
      <c r="D32" s="22">
        <f t="shared" si="1"/>
        <v>2</v>
      </c>
      <c r="E32" s="26" t="s">
        <v>255</v>
      </c>
      <c r="F32" s="22" t="str">
        <f t="shared" si="2"/>
        <v>Дорожная карта по контейнерам и КП в разработке</v>
      </c>
      <c r="G32" s="22"/>
      <c r="H32" s="24"/>
      <c r="I32" s="24"/>
      <c r="J32" s="24"/>
      <c r="K32" s="24"/>
      <c r="L32" s="24"/>
      <c r="M32" s="24"/>
      <c r="N32" s="32"/>
      <c r="O32" s="32"/>
      <c r="P32" s="32"/>
      <c r="Q32" s="32"/>
      <c r="R32" s="33"/>
      <c r="S32" s="33"/>
      <c r="T32" s="6"/>
      <c r="V32" s="34"/>
    </row>
    <row r="33" ht="30" spans="2:22">
      <c r="B33" s="25" t="s">
        <v>81</v>
      </c>
      <c r="C33" s="22">
        <f t="shared" si="0"/>
        <v>2</v>
      </c>
      <c r="D33" s="22">
        <f t="shared" si="1"/>
        <v>2</v>
      </c>
      <c r="E33" s="26" t="s">
        <v>255</v>
      </c>
      <c r="F33" s="22" t="str">
        <f t="shared" si="2"/>
        <v>Дорожная карта по контейнерам и КП в разработке</v>
      </c>
      <c r="G33" s="22"/>
      <c r="H33" s="24"/>
      <c r="I33" s="24"/>
      <c r="J33" s="24"/>
      <c r="K33" s="24"/>
      <c r="L33" s="24"/>
      <c r="M33" s="24"/>
      <c r="N33" s="32"/>
      <c r="O33" s="32"/>
      <c r="P33" s="32"/>
      <c r="Q33" s="32"/>
      <c r="R33" s="33"/>
      <c r="S33" s="33"/>
      <c r="T33" s="6"/>
      <c r="V33" s="34"/>
    </row>
    <row r="34" ht="30" spans="2:22">
      <c r="B34" s="25" t="s">
        <v>148</v>
      </c>
      <c r="C34" s="22">
        <f t="shared" si="0"/>
        <v>2</v>
      </c>
      <c r="D34" s="22">
        <f t="shared" si="1"/>
        <v>2</v>
      </c>
      <c r="E34" s="26" t="s">
        <v>255</v>
      </c>
      <c r="F34" s="22" t="str">
        <f t="shared" si="2"/>
        <v>Дорожная карта по контейнерам и КП в разработке</v>
      </c>
      <c r="G34" s="22"/>
      <c r="H34" s="24"/>
      <c r="I34" s="24"/>
      <c r="J34" s="24"/>
      <c r="K34" s="24"/>
      <c r="L34" s="24"/>
      <c r="M34" s="24"/>
      <c r="N34" s="32"/>
      <c r="O34" s="32"/>
      <c r="P34" s="32"/>
      <c r="Q34" s="32"/>
      <c r="R34" s="33"/>
      <c r="S34" s="33"/>
      <c r="T34" s="6"/>
      <c r="V34" s="34"/>
    </row>
    <row r="35" ht="30" spans="2:22">
      <c r="B35" s="25" t="s">
        <v>126</v>
      </c>
      <c r="C35" s="22">
        <f t="shared" si="0"/>
        <v>2</v>
      </c>
      <c r="D35" s="22">
        <f t="shared" si="1"/>
        <v>2</v>
      </c>
      <c r="E35" s="26" t="s">
        <v>255</v>
      </c>
      <c r="F35" s="22" t="str">
        <f t="shared" si="2"/>
        <v>Дорожная карта по контейнерам и КП в разработке</v>
      </c>
      <c r="G35" s="22"/>
      <c r="H35" s="24"/>
      <c r="I35" s="24"/>
      <c r="J35" s="24"/>
      <c r="K35" s="24"/>
      <c r="L35" s="24"/>
      <c r="M35" s="24"/>
      <c r="N35" s="32"/>
      <c r="O35" s="32"/>
      <c r="P35" s="32"/>
      <c r="Q35" s="32"/>
      <c r="R35" s="33"/>
      <c r="S35" s="33"/>
      <c r="T35" s="6"/>
      <c r="V35" s="34"/>
    </row>
    <row r="36" ht="30" spans="2:22">
      <c r="B36" s="25" t="s">
        <v>119</v>
      </c>
      <c r="C36" s="22">
        <f t="shared" si="0"/>
        <v>2</v>
      </c>
      <c r="D36" s="22">
        <f t="shared" si="1"/>
        <v>2</v>
      </c>
      <c r="E36" s="26" t="s">
        <v>255</v>
      </c>
      <c r="F36" s="22" t="str">
        <f t="shared" si="2"/>
        <v>Дорожная карта по контейнерам и КП в разработке</v>
      </c>
      <c r="G36" s="22"/>
      <c r="H36" s="24"/>
      <c r="I36" s="24"/>
      <c r="J36" s="24"/>
      <c r="K36" s="24"/>
      <c r="L36" s="24"/>
      <c r="M36" s="24"/>
      <c r="N36" s="32"/>
      <c r="O36" s="32"/>
      <c r="P36" s="32"/>
      <c r="Q36" s="32"/>
      <c r="R36" s="33"/>
      <c r="S36" s="33"/>
      <c r="T36" s="6"/>
      <c r="V36" s="34"/>
    </row>
    <row r="37" ht="30" spans="2:22">
      <c r="B37" s="25" t="s">
        <v>87</v>
      </c>
      <c r="C37" s="22">
        <f t="shared" si="0"/>
        <v>2</v>
      </c>
      <c r="D37" s="22">
        <f t="shared" si="1"/>
        <v>2</v>
      </c>
      <c r="E37" s="26" t="s">
        <v>255</v>
      </c>
      <c r="F37" s="22" t="str">
        <f t="shared" si="2"/>
        <v>Дорожная карта по контейнерам и КП в разработке</v>
      </c>
      <c r="G37" s="22"/>
      <c r="H37" s="24"/>
      <c r="I37" s="24"/>
      <c r="J37" s="24"/>
      <c r="K37" s="24"/>
      <c r="L37" s="24"/>
      <c r="M37" s="24"/>
      <c r="N37" s="32"/>
      <c r="O37" s="32"/>
      <c r="P37" s="32"/>
      <c r="Q37" s="32"/>
      <c r="R37" s="33"/>
      <c r="S37" s="33"/>
      <c r="T37" s="6"/>
      <c r="V37" s="34"/>
    </row>
    <row r="38" ht="30" spans="2:22">
      <c r="B38" s="25" t="s">
        <v>134</v>
      </c>
      <c r="C38" s="22">
        <f t="shared" si="0"/>
        <v>2</v>
      </c>
      <c r="D38" s="22">
        <f t="shared" si="1"/>
        <v>2</v>
      </c>
      <c r="E38" s="26" t="s">
        <v>255</v>
      </c>
      <c r="F38" s="22" t="str">
        <f t="shared" si="2"/>
        <v>Дорожная карта по контейнерам и КП в разработке</v>
      </c>
      <c r="G38" s="22"/>
      <c r="H38" s="24"/>
      <c r="I38" s="24"/>
      <c r="J38" s="24"/>
      <c r="K38" s="24"/>
      <c r="L38" s="24"/>
      <c r="M38" s="24"/>
      <c r="N38" s="32"/>
      <c r="O38" s="32"/>
      <c r="P38" s="32"/>
      <c r="Q38" s="32"/>
      <c r="R38" s="33"/>
      <c r="S38" s="33"/>
      <c r="T38" s="6"/>
      <c r="V38" s="34"/>
    </row>
    <row r="39" ht="30" spans="2:22">
      <c r="B39" s="25" t="s">
        <v>138</v>
      </c>
      <c r="C39" s="22">
        <f t="shared" si="0"/>
        <v>2</v>
      </c>
      <c r="D39" s="22">
        <f t="shared" si="1"/>
        <v>2</v>
      </c>
      <c r="E39" s="26" t="s">
        <v>255</v>
      </c>
      <c r="F39" s="22" t="str">
        <f t="shared" si="2"/>
        <v>Дорожная карта по контейнерам и КП в разработке</v>
      </c>
      <c r="G39" s="22"/>
      <c r="H39" s="24"/>
      <c r="I39" s="24"/>
      <c r="J39" s="24"/>
      <c r="K39" s="24"/>
      <c r="L39" s="24"/>
      <c r="M39" s="24"/>
      <c r="N39" s="32"/>
      <c r="O39" s="32"/>
      <c r="P39" s="32"/>
      <c r="Q39" s="32"/>
      <c r="R39" s="33"/>
      <c r="S39" s="33"/>
      <c r="T39" s="6"/>
      <c r="V39" s="34"/>
    </row>
    <row r="40" ht="30" spans="2:22">
      <c r="B40" s="25" t="s">
        <v>109</v>
      </c>
      <c r="C40" s="22">
        <f t="shared" si="0"/>
        <v>2</v>
      </c>
      <c r="D40" s="22">
        <f t="shared" si="1"/>
        <v>2</v>
      </c>
      <c r="E40" s="26" t="s">
        <v>255</v>
      </c>
      <c r="F40" s="22" t="str">
        <f t="shared" si="2"/>
        <v>Дорожная карта по контейнерам и КП в разработке</v>
      </c>
      <c r="G40" s="22"/>
      <c r="H40" s="24"/>
      <c r="I40" s="24"/>
      <c r="J40" s="24"/>
      <c r="K40" s="24"/>
      <c r="L40" s="24"/>
      <c r="M40" s="24"/>
      <c r="N40" s="32"/>
      <c r="O40" s="32"/>
      <c r="P40" s="32"/>
      <c r="Q40" s="32"/>
      <c r="R40" s="33"/>
      <c r="S40" s="33"/>
      <c r="T40" s="6"/>
      <c r="V40" s="34"/>
    </row>
    <row r="41" ht="30" spans="2:22">
      <c r="B41" s="25" t="s">
        <v>76</v>
      </c>
      <c r="C41" s="22">
        <f t="shared" si="0"/>
        <v>2</v>
      </c>
      <c r="D41" s="22">
        <f t="shared" si="1"/>
        <v>2</v>
      </c>
      <c r="E41" s="26" t="s">
        <v>255</v>
      </c>
      <c r="F41" s="22" t="str">
        <f t="shared" si="2"/>
        <v>Дорожная карта по контейнерам и КП в разработке</v>
      </c>
      <c r="G41" s="22"/>
      <c r="H41" s="24"/>
      <c r="I41" s="24"/>
      <c r="J41" s="24"/>
      <c r="K41" s="24"/>
      <c r="L41" s="24"/>
      <c r="M41" s="24"/>
      <c r="N41" s="32"/>
      <c r="O41" s="32"/>
      <c r="P41" s="32"/>
      <c r="Q41" s="32"/>
      <c r="R41" s="33"/>
      <c r="S41" s="33"/>
      <c r="T41" s="6"/>
      <c r="V41" s="34"/>
    </row>
    <row r="42" ht="30" spans="2:22">
      <c r="B42" s="25" t="s">
        <v>89</v>
      </c>
      <c r="C42" s="22">
        <f t="shared" si="0"/>
        <v>2</v>
      </c>
      <c r="D42" s="22">
        <f t="shared" si="1"/>
        <v>2</v>
      </c>
      <c r="E42" s="26" t="s">
        <v>255</v>
      </c>
      <c r="F42" s="22" t="str">
        <f t="shared" si="2"/>
        <v>Дорожная карта по контейнерам и КП в разработке</v>
      </c>
      <c r="G42" s="22"/>
      <c r="H42" s="24"/>
      <c r="I42" s="24"/>
      <c r="J42" s="24"/>
      <c r="K42" s="24"/>
      <c r="L42" s="24"/>
      <c r="M42" s="24"/>
      <c r="N42" s="32"/>
      <c r="O42" s="32"/>
      <c r="P42" s="32"/>
      <c r="Q42" s="32"/>
      <c r="R42" s="33"/>
      <c r="S42" s="33"/>
      <c r="T42" s="6"/>
      <c r="V42" s="34"/>
    </row>
    <row r="43" ht="30" spans="2:22">
      <c r="B43" s="25" t="s">
        <v>141</v>
      </c>
      <c r="C43" s="22">
        <f t="shared" si="0"/>
        <v>2</v>
      </c>
      <c r="D43" s="22">
        <f t="shared" si="1"/>
        <v>2</v>
      </c>
      <c r="E43" s="26" t="s">
        <v>255</v>
      </c>
      <c r="F43" s="22" t="str">
        <f t="shared" si="2"/>
        <v>Дорожная карта по контейнерам и КП в разработке</v>
      </c>
      <c r="G43" s="22"/>
      <c r="H43" s="24"/>
      <c r="I43" s="24"/>
      <c r="J43" s="24"/>
      <c r="K43" s="24"/>
      <c r="L43" s="24"/>
      <c r="M43" s="24"/>
      <c r="N43" s="32"/>
      <c r="O43" s="32"/>
      <c r="P43" s="32"/>
      <c r="Q43" s="32"/>
      <c r="R43" s="33"/>
      <c r="S43" s="33"/>
      <c r="T43" s="6"/>
      <c r="V43" s="34"/>
    </row>
    <row r="44" ht="30" spans="2:22">
      <c r="B44" s="25" t="s">
        <v>142</v>
      </c>
      <c r="C44" s="22">
        <f t="shared" si="0"/>
        <v>2</v>
      </c>
      <c r="D44" s="22">
        <f t="shared" si="1"/>
        <v>2</v>
      </c>
      <c r="E44" s="26" t="s">
        <v>255</v>
      </c>
      <c r="F44" s="22" t="str">
        <f t="shared" si="2"/>
        <v>Дорожная карта по контейнерам и КП в разработке</v>
      </c>
      <c r="G44" s="22"/>
      <c r="H44" s="24"/>
      <c r="I44" s="24"/>
      <c r="J44" s="24"/>
      <c r="K44" s="24"/>
      <c r="L44" s="24"/>
      <c r="M44" s="24"/>
      <c r="N44" s="32"/>
      <c r="O44" s="32"/>
      <c r="P44" s="32"/>
      <c r="Q44" s="32"/>
      <c r="R44" s="33"/>
      <c r="S44" s="33"/>
      <c r="T44" s="6"/>
      <c r="V44" s="34"/>
    </row>
    <row r="45" ht="30" spans="2:22">
      <c r="B45" s="25" t="s">
        <v>132</v>
      </c>
      <c r="C45" s="22">
        <f t="shared" si="0"/>
        <v>2</v>
      </c>
      <c r="D45" s="22">
        <f t="shared" si="1"/>
        <v>2</v>
      </c>
      <c r="E45" s="26" t="s">
        <v>255</v>
      </c>
      <c r="F45" s="22" t="str">
        <f t="shared" si="2"/>
        <v>Дорожная карта по контейнерам и КП в разработке</v>
      </c>
      <c r="G45" s="22"/>
      <c r="H45" s="24"/>
      <c r="I45" s="24"/>
      <c r="J45" s="24"/>
      <c r="K45" s="24"/>
      <c r="L45" s="24"/>
      <c r="M45" s="24"/>
      <c r="N45" s="32"/>
      <c r="O45" s="32"/>
      <c r="P45" s="32"/>
      <c r="Q45" s="32"/>
      <c r="R45" s="33"/>
      <c r="S45" s="33"/>
      <c r="T45" s="6"/>
      <c r="V45" s="34"/>
    </row>
    <row r="46" ht="30" spans="2:22">
      <c r="B46" s="25" t="s">
        <v>77</v>
      </c>
      <c r="C46" s="22">
        <f t="shared" si="0"/>
        <v>2</v>
      </c>
      <c r="D46" s="22">
        <f t="shared" si="1"/>
        <v>2</v>
      </c>
      <c r="E46" s="26" t="s">
        <v>255</v>
      </c>
      <c r="F46" s="22" t="str">
        <f t="shared" si="2"/>
        <v>Дорожная карта по контейнерам и КП в разработке</v>
      </c>
      <c r="G46" s="22"/>
      <c r="H46" s="24"/>
      <c r="I46" s="24"/>
      <c r="J46" s="24"/>
      <c r="K46" s="24"/>
      <c r="L46" s="24"/>
      <c r="M46" s="24"/>
      <c r="N46" s="32"/>
      <c r="O46" s="32"/>
      <c r="P46" s="32"/>
      <c r="Q46" s="32"/>
      <c r="R46" s="33"/>
      <c r="S46" s="33"/>
      <c r="T46" s="6"/>
      <c r="V46" s="34"/>
    </row>
    <row r="47" ht="30" spans="2:22">
      <c r="B47" s="25" t="s">
        <v>92</v>
      </c>
      <c r="C47" s="22">
        <f t="shared" si="0"/>
        <v>2</v>
      </c>
      <c r="D47" s="22">
        <f t="shared" si="1"/>
        <v>2</v>
      </c>
      <c r="E47" s="26" t="s">
        <v>255</v>
      </c>
      <c r="F47" s="22" t="str">
        <f t="shared" si="2"/>
        <v>Дорожная карта по контейнерам и КП в разработке</v>
      </c>
      <c r="G47" s="22"/>
      <c r="H47" s="24"/>
      <c r="I47" s="24"/>
      <c r="J47" s="24"/>
      <c r="K47" s="24"/>
      <c r="L47" s="24"/>
      <c r="M47" s="24"/>
      <c r="N47" s="32"/>
      <c r="O47" s="32"/>
      <c r="P47" s="32"/>
      <c r="Q47" s="32"/>
      <c r="R47" s="33"/>
      <c r="S47" s="33"/>
      <c r="T47" s="6"/>
      <c r="V47" s="34"/>
    </row>
    <row r="48" ht="30" spans="2:22">
      <c r="B48" s="25" t="s">
        <v>101</v>
      </c>
      <c r="C48" s="22">
        <f t="shared" si="0"/>
        <v>2</v>
      </c>
      <c r="D48" s="22">
        <f t="shared" si="1"/>
        <v>2</v>
      </c>
      <c r="E48" s="26" t="s">
        <v>255</v>
      </c>
      <c r="F48" s="22" t="str">
        <f t="shared" si="2"/>
        <v>Дорожная карта по контейнерам и КП в разработке</v>
      </c>
      <c r="G48" s="22"/>
      <c r="H48" s="24"/>
      <c r="I48" s="24"/>
      <c r="J48" s="24"/>
      <c r="K48" s="24"/>
      <c r="L48" s="24"/>
      <c r="M48" s="24"/>
      <c r="N48" s="32"/>
      <c r="O48" s="32"/>
      <c r="P48" s="32"/>
      <c r="Q48" s="32"/>
      <c r="R48" s="33"/>
      <c r="S48" s="33"/>
      <c r="T48" s="6"/>
      <c r="V48" s="34"/>
    </row>
    <row r="49" ht="30" spans="2:22">
      <c r="B49" s="25" t="s">
        <v>162</v>
      </c>
      <c r="C49" s="22">
        <f t="shared" si="0"/>
        <v>2</v>
      </c>
      <c r="D49" s="22">
        <f t="shared" si="1"/>
        <v>2</v>
      </c>
      <c r="E49" s="26" t="s">
        <v>255</v>
      </c>
      <c r="F49" s="22" t="str">
        <f t="shared" si="2"/>
        <v>Дорожная карта по контейнерам и КП в разработке</v>
      </c>
      <c r="G49" s="22"/>
      <c r="H49" s="24"/>
      <c r="I49" s="24"/>
      <c r="J49" s="24"/>
      <c r="K49" s="24"/>
      <c r="L49" s="24"/>
      <c r="M49" s="24"/>
      <c r="N49" s="32"/>
      <c r="O49" s="32"/>
      <c r="P49" s="32"/>
      <c r="Q49" s="32"/>
      <c r="R49" s="33"/>
      <c r="S49" s="33"/>
      <c r="T49" s="6"/>
      <c r="V49" s="34"/>
    </row>
    <row r="50" ht="30" spans="2:22">
      <c r="B50" s="25" t="s">
        <v>153</v>
      </c>
      <c r="C50" s="22">
        <f t="shared" si="0"/>
        <v>2</v>
      </c>
      <c r="D50" s="22">
        <f t="shared" si="1"/>
        <v>2</v>
      </c>
      <c r="E50" s="26" t="s">
        <v>255</v>
      </c>
      <c r="F50" s="22" t="str">
        <f t="shared" si="2"/>
        <v>Дорожная карта по контейнерам и КП в разработке</v>
      </c>
      <c r="G50" s="22"/>
      <c r="H50" s="24"/>
      <c r="I50" s="24"/>
      <c r="J50" s="24"/>
      <c r="K50" s="24"/>
      <c r="L50" s="24"/>
      <c r="M50" s="24"/>
      <c r="N50" s="32"/>
      <c r="O50" s="32"/>
      <c r="P50" s="32"/>
      <c r="Q50" s="32"/>
      <c r="R50" s="33"/>
      <c r="S50" s="33"/>
      <c r="T50" s="6"/>
      <c r="V50" s="34"/>
    </row>
    <row r="51" ht="30" spans="2:22">
      <c r="B51" s="25" t="s">
        <v>69</v>
      </c>
      <c r="C51" s="22">
        <f t="shared" si="0"/>
        <v>2</v>
      </c>
      <c r="D51" s="22">
        <f t="shared" si="1"/>
        <v>2</v>
      </c>
      <c r="E51" s="26" t="s">
        <v>255</v>
      </c>
      <c r="F51" s="22" t="str">
        <f t="shared" si="2"/>
        <v>Дорожная карта по контейнерам и КП в разработке</v>
      </c>
      <c r="G51" s="22"/>
      <c r="H51" s="24"/>
      <c r="I51" s="24"/>
      <c r="J51" s="24"/>
      <c r="K51" s="24"/>
      <c r="L51" s="24"/>
      <c r="M51" s="24"/>
      <c r="N51" s="32"/>
      <c r="O51" s="32"/>
      <c r="P51" s="32"/>
      <c r="Q51" s="32"/>
      <c r="R51" s="33"/>
      <c r="S51" s="33"/>
      <c r="T51" s="6"/>
      <c r="V51" s="34"/>
    </row>
    <row r="52" ht="30" spans="2:22">
      <c r="B52" s="25" t="s">
        <v>72</v>
      </c>
      <c r="C52" s="22">
        <f t="shared" si="0"/>
        <v>2</v>
      </c>
      <c r="D52" s="22">
        <f t="shared" si="1"/>
        <v>2</v>
      </c>
      <c r="E52" s="26" t="s">
        <v>255</v>
      </c>
      <c r="F52" s="22" t="str">
        <f t="shared" si="2"/>
        <v>Дорожная карта по контейнерам и КП в разработке</v>
      </c>
      <c r="G52" s="22"/>
      <c r="H52" s="24"/>
      <c r="I52" s="24"/>
      <c r="J52" s="24"/>
      <c r="K52" s="24"/>
      <c r="L52" s="24"/>
      <c r="M52" s="24"/>
      <c r="N52" s="32"/>
      <c r="O52" s="32"/>
      <c r="P52" s="32"/>
      <c r="Q52" s="32"/>
      <c r="R52" s="33"/>
      <c r="S52" s="33"/>
      <c r="T52" s="6"/>
      <c r="V52" s="34"/>
    </row>
    <row r="53" ht="30" spans="2:22">
      <c r="B53" s="25" t="s">
        <v>127</v>
      </c>
      <c r="C53" s="22">
        <f t="shared" si="0"/>
        <v>2</v>
      </c>
      <c r="D53" s="22">
        <f t="shared" si="1"/>
        <v>2</v>
      </c>
      <c r="E53" s="26" t="s">
        <v>255</v>
      </c>
      <c r="F53" s="22" t="str">
        <f t="shared" si="2"/>
        <v>Дорожная карта по контейнерам и КП в разработке</v>
      </c>
      <c r="G53" s="22"/>
      <c r="H53" s="24"/>
      <c r="I53" s="24"/>
      <c r="J53" s="24"/>
      <c r="K53" s="24"/>
      <c r="L53" s="24"/>
      <c r="M53" s="24"/>
      <c r="N53" s="32"/>
      <c r="O53" s="32"/>
      <c r="P53" s="32"/>
      <c r="Q53" s="32"/>
      <c r="R53" s="33"/>
      <c r="S53" s="33"/>
      <c r="T53" s="6"/>
      <c r="V53" s="34"/>
    </row>
    <row r="54" ht="30" spans="2:22">
      <c r="B54" s="25" t="s">
        <v>93</v>
      </c>
      <c r="C54" s="22">
        <f t="shared" si="0"/>
        <v>2</v>
      </c>
      <c r="D54" s="22">
        <f t="shared" si="1"/>
        <v>2</v>
      </c>
      <c r="E54" s="26" t="s">
        <v>255</v>
      </c>
      <c r="F54" s="22" t="str">
        <f t="shared" si="2"/>
        <v>Дорожная карта по контейнерам и КП в разработке</v>
      </c>
      <c r="G54" s="22"/>
      <c r="H54" s="24"/>
      <c r="I54" s="24"/>
      <c r="J54" s="24"/>
      <c r="K54" s="24"/>
      <c r="L54" s="24"/>
      <c r="M54" s="24"/>
      <c r="N54" s="32"/>
      <c r="O54" s="32"/>
      <c r="P54" s="32"/>
      <c r="Q54" s="32"/>
      <c r="R54" s="33"/>
      <c r="S54" s="33"/>
      <c r="T54" s="6"/>
      <c r="V54" s="34"/>
    </row>
    <row r="55" ht="30" spans="2:22">
      <c r="B55" s="25" t="s">
        <v>90</v>
      </c>
      <c r="C55" s="22">
        <f t="shared" si="0"/>
        <v>2</v>
      </c>
      <c r="D55" s="22">
        <f t="shared" si="1"/>
        <v>2</v>
      </c>
      <c r="E55" s="26" t="s">
        <v>255</v>
      </c>
      <c r="F55" s="22" t="str">
        <f t="shared" si="2"/>
        <v>Дорожная карта по контейнерам и КП в разработке</v>
      </c>
      <c r="G55" s="22"/>
      <c r="H55" s="24"/>
      <c r="I55" s="24"/>
      <c r="J55" s="24"/>
      <c r="K55" s="24"/>
      <c r="L55" s="24"/>
      <c r="M55" s="24"/>
      <c r="N55" s="32"/>
      <c r="O55" s="32"/>
      <c r="P55" s="32"/>
      <c r="Q55" s="32"/>
      <c r="R55" s="33"/>
      <c r="S55" s="33"/>
      <c r="T55" s="6"/>
      <c r="V55" s="34"/>
    </row>
    <row r="56" ht="30" spans="2:22">
      <c r="B56" s="25" t="s">
        <v>123</v>
      </c>
      <c r="C56" s="22">
        <f t="shared" si="0"/>
        <v>2</v>
      </c>
      <c r="D56" s="22">
        <f t="shared" si="1"/>
        <v>2</v>
      </c>
      <c r="E56" s="26" t="s">
        <v>255</v>
      </c>
      <c r="F56" s="22" t="str">
        <f t="shared" si="2"/>
        <v>Дорожная карта по контейнерам и КП в разработке</v>
      </c>
      <c r="G56" s="22"/>
      <c r="H56" s="24"/>
      <c r="I56" s="24"/>
      <c r="J56" s="24"/>
      <c r="K56" s="24"/>
      <c r="L56" s="24"/>
      <c r="M56" s="24"/>
      <c r="N56" s="32"/>
      <c r="O56" s="32"/>
      <c r="P56" s="32"/>
      <c r="Q56" s="32"/>
      <c r="R56" s="33"/>
      <c r="S56" s="33"/>
      <c r="T56" s="6"/>
      <c r="V56" s="34"/>
    </row>
    <row r="57" ht="30" spans="2:22">
      <c r="B57" s="25" t="s">
        <v>139</v>
      </c>
      <c r="C57" s="22">
        <f t="shared" si="0"/>
        <v>2</v>
      </c>
      <c r="D57" s="22">
        <f t="shared" si="1"/>
        <v>2</v>
      </c>
      <c r="E57" s="26" t="s">
        <v>255</v>
      </c>
      <c r="F57" s="22" t="str">
        <f t="shared" si="2"/>
        <v>Дорожная карта по контейнерам и КП в разработке</v>
      </c>
      <c r="G57" s="22"/>
      <c r="H57" s="24"/>
      <c r="I57" s="24"/>
      <c r="J57" s="24"/>
      <c r="K57" s="24"/>
      <c r="L57" s="24"/>
      <c r="M57" s="24"/>
      <c r="N57" s="32"/>
      <c r="O57" s="32"/>
      <c r="P57" s="32"/>
      <c r="Q57" s="32"/>
      <c r="R57" s="33"/>
      <c r="S57" s="33"/>
      <c r="T57" s="6"/>
      <c r="V57" s="34"/>
    </row>
    <row r="58" ht="30" spans="2:22">
      <c r="B58" s="25" t="s">
        <v>94</v>
      </c>
      <c r="C58" s="22">
        <f t="shared" si="0"/>
        <v>2</v>
      </c>
      <c r="D58" s="22">
        <f t="shared" si="1"/>
        <v>2</v>
      </c>
      <c r="E58" s="26" t="s">
        <v>255</v>
      </c>
      <c r="F58" s="22" t="str">
        <f t="shared" si="2"/>
        <v>Дорожная карта по контейнерам и КП в разработке</v>
      </c>
      <c r="G58" s="22"/>
      <c r="H58" s="24"/>
      <c r="I58" s="24"/>
      <c r="J58" s="24"/>
      <c r="K58" s="24"/>
      <c r="L58" s="24"/>
      <c r="M58" s="24"/>
      <c r="N58" s="32"/>
      <c r="O58" s="32"/>
      <c r="P58" s="32"/>
      <c r="Q58" s="32"/>
      <c r="R58" s="33"/>
      <c r="S58" s="33"/>
      <c r="T58" s="6"/>
      <c r="V58" s="34"/>
    </row>
    <row r="59" ht="30" spans="2:22">
      <c r="B59" s="25" t="s">
        <v>111</v>
      </c>
      <c r="C59" s="22">
        <f t="shared" si="0"/>
        <v>2</v>
      </c>
      <c r="D59" s="22">
        <f t="shared" si="1"/>
        <v>2</v>
      </c>
      <c r="E59" s="26" t="s">
        <v>255</v>
      </c>
      <c r="F59" s="22" t="str">
        <f t="shared" si="2"/>
        <v>Дорожная карта по контейнерам и КП в разработке</v>
      </c>
      <c r="G59" s="22"/>
      <c r="H59" s="24"/>
      <c r="I59" s="24"/>
      <c r="J59" s="24"/>
      <c r="K59" s="24"/>
      <c r="L59" s="24"/>
      <c r="M59" s="24"/>
      <c r="N59" s="32"/>
      <c r="O59" s="32"/>
      <c r="P59" s="32"/>
      <c r="Q59" s="32"/>
      <c r="R59" s="33"/>
      <c r="S59" s="33"/>
      <c r="T59" s="6"/>
      <c r="V59" s="34"/>
    </row>
    <row r="60" ht="30" spans="2:22">
      <c r="B60" s="25" t="s">
        <v>124</v>
      </c>
      <c r="C60" s="22">
        <f t="shared" si="0"/>
        <v>2</v>
      </c>
      <c r="D60" s="22">
        <f t="shared" si="1"/>
        <v>2</v>
      </c>
      <c r="E60" s="26" t="s">
        <v>255</v>
      </c>
      <c r="F60" s="22" t="str">
        <f t="shared" si="2"/>
        <v>Дорожная карта по контейнерам и КП в разработке</v>
      </c>
      <c r="G60" s="22"/>
      <c r="H60" s="24"/>
      <c r="I60" s="24"/>
      <c r="J60" s="24"/>
      <c r="K60" s="24"/>
      <c r="L60" s="24"/>
      <c r="M60" s="24"/>
      <c r="N60" s="32"/>
      <c r="O60" s="32"/>
      <c r="P60" s="32"/>
      <c r="Q60" s="32"/>
      <c r="R60" s="33"/>
      <c r="S60" s="33"/>
      <c r="T60" s="6"/>
      <c r="V60" s="34"/>
    </row>
    <row r="61" ht="30" spans="2:22">
      <c r="B61" s="25" t="s">
        <v>143</v>
      </c>
      <c r="C61" s="22">
        <f t="shared" si="0"/>
        <v>2</v>
      </c>
      <c r="D61" s="22">
        <f t="shared" si="1"/>
        <v>2</v>
      </c>
      <c r="E61" s="26" t="s">
        <v>255</v>
      </c>
      <c r="F61" s="22" t="str">
        <f t="shared" si="2"/>
        <v>Дорожная карта по контейнерам и КП в разработке</v>
      </c>
      <c r="G61" s="22"/>
      <c r="H61" s="24"/>
      <c r="I61" s="24"/>
      <c r="J61" s="24"/>
      <c r="K61" s="24"/>
      <c r="L61" s="24"/>
      <c r="M61" s="24"/>
      <c r="N61" s="32"/>
      <c r="O61" s="32"/>
      <c r="P61" s="32"/>
      <c r="Q61" s="32"/>
      <c r="R61" s="33"/>
      <c r="S61" s="33"/>
      <c r="T61" s="6"/>
      <c r="V61" s="34"/>
    </row>
    <row r="62" ht="30" spans="2:22">
      <c r="B62" s="25" t="s">
        <v>144</v>
      </c>
      <c r="C62" s="22">
        <f t="shared" si="0"/>
        <v>2</v>
      </c>
      <c r="D62" s="22">
        <f t="shared" si="1"/>
        <v>2</v>
      </c>
      <c r="E62" s="26" t="s">
        <v>255</v>
      </c>
      <c r="F62" s="22" t="str">
        <f t="shared" si="2"/>
        <v>Дорожная карта по контейнерам и КП в разработке</v>
      </c>
      <c r="G62" s="22"/>
      <c r="H62" s="24"/>
      <c r="I62" s="24"/>
      <c r="J62" s="24"/>
      <c r="K62" s="24"/>
      <c r="L62" s="24"/>
      <c r="M62" s="24"/>
      <c r="N62" s="32"/>
      <c r="O62" s="32"/>
      <c r="P62" s="32"/>
      <c r="Q62" s="32"/>
      <c r="R62" s="33"/>
      <c r="S62" s="33"/>
      <c r="T62" s="6"/>
      <c r="V62" s="34"/>
    </row>
    <row r="63" ht="30" spans="2:22">
      <c r="B63" s="25" t="s">
        <v>95</v>
      </c>
      <c r="C63" s="22">
        <f t="shared" si="0"/>
        <v>2</v>
      </c>
      <c r="D63" s="22">
        <f t="shared" si="1"/>
        <v>2</v>
      </c>
      <c r="E63" s="26" t="s">
        <v>255</v>
      </c>
      <c r="F63" s="22" t="str">
        <f t="shared" si="2"/>
        <v>Дорожная карта по контейнерам и КП в разработке</v>
      </c>
      <c r="G63" s="22"/>
      <c r="H63" s="24"/>
      <c r="I63" s="24"/>
      <c r="J63" s="24"/>
      <c r="K63" s="24"/>
      <c r="L63" s="24"/>
      <c r="M63" s="24"/>
      <c r="N63" s="32"/>
      <c r="O63" s="32"/>
      <c r="P63" s="32"/>
      <c r="Q63" s="32"/>
      <c r="R63" s="33"/>
      <c r="S63" s="33"/>
      <c r="T63" s="6"/>
      <c r="V63" s="34"/>
    </row>
    <row r="64" ht="30" spans="2:22">
      <c r="B64" s="25" t="s">
        <v>96</v>
      </c>
      <c r="C64" s="22">
        <f t="shared" si="0"/>
        <v>2</v>
      </c>
      <c r="D64" s="22">
        <f t="shared" si="1"/>
        <v>2</v>
      </c>
      <c r="E64" s="26" t="s">
        <v>255</v>
      </c>
      <c r="F64" s="22" t="str">
        <f t="shared" si="2"/>
        <v>Дорожная карта по контейнерам и КП в разработке</v>
      </c>
      <c r="G64" s="22"/>
      <c r="H64" s="24"/>
      <c r="I64" s="24"/>
      <c r="J64" s="24"/>
      <c r="K64" s="24"/>
      <c r="L64" s="24"/>
      <c r="M64" s="24"/>
      <c r="N64" s="32"/>
      <c r="O64" s="32"/>
      <c r="P64" s="32"/>
      <c r="Q64" s="32"/>
      <c r="R64" s="33"/>
      <c r="S64" s="33"/>
      <c r="T64" s="6"/>
      <c r="V64" s="34"/>
    </row>
    <row r="65" ht="30" spans="2:22">
      <c r="B65" s="25" t="s">
        <v>147</v>
      </c>
      <c r="C65" s="22">
        <f t="shared" si="0"/>
        <v>2</v>
      </c>
      <c r="D65" s="22">
        <f t="shared" si="1"/>
        <v>2</v>
      </c>
      <c r="E65" s="26" t="s">
        <v>255</v>
      </c>
      <c r="F65" s="22" t="str">
        <f t="shared" si="2"/>
        <v>Дорожная карта по контейнерам и КП в разработке</v>
      </c>
      <c r="G65" s="22"/>
      <c r="H65" s="24"/>
      <c r="I65" s="24"/>
      <c r="J65" s="24"/>
      <c r="K65" s="24"/>
      <c r="L65" s="24"/>
      <c r="M65" s="24"/>
      <c r="N65" s="32"/>
      <c r="O65" s="32"/>
      <c r="P65" s="32"/>
      <c r="Q65" s="32"/>
      <c r="R65" s="33"/>
      <c r="S65" s="33"/>
      <c r="T65" s="6"/>
      <c r="V65" s="34"/>
    </row>
    <row r="66" ht="30" spans="2:22">
      <c r="B66" s="25" t="s">
        <v>88</v>
      </c>
      <c r="C66" s="22">
        <f t="shared" si="0"/>
        <v>2</v>
      </c>
      <c r="D66" s="22">
        <f t="shared" si="1"/>
        <v>2</v>
      </c>
      <c r="E66" s="26" t="s">
        <v>255</v>
      </c>
      <c r="F66" s="22" t="str">
        <f t="shared" si="2"/>
        <v>Дорожная карта по контейнерам и КП в разработке</v>
      </c>
      <c r="G66" s="22"/>
      <c r="H66" s="24"/>
      <c r="I66" s="24"/>
      <c r="J66" s="24"/>
      <c r="K66" s="24"/>
      <c r="L66" s="24"/>
      <c r="M66" s="24"/>
      <c r="N66" s="32"/>
      <c r="O66" s="32"/>
      <c r="P66" s="32"/>
      <c r="Q66" s="32"/>
      <c r="R66" s="33"/>
      <c r="S66" s="33"/>
      <c r="T66" s="6"/>
      <c r="V66" s="34"/>
    </row>
    <row r="67" ht="30" spans="2:22">
      <c r="B67" s="25" t="s">
        <v>157</v>
      </c>
      <c r="C67" s="22">
        <f t="shared" si="0"/>
        <v>2</v>
      </c>
      <c r="D67" s="22">
        <f t="shared" si="1"/>
        <v>2</v>
      </c>
      <c r="E67" s="26" t="s">
        <v>255</v>
      </c>
      <c r="F67" s="22" t="str">
        <f t="shared" si="2"/>
        <v>Дорожная карта по контейнерам и КП в разработке</v>
      </c>
      <c r="G67" s="22"/>
      <c r="H67" s="24"/>
      <c r="I67" s="24"/>
      <c r="J67" s="24"/>
      <c r="K67" s="24"/>
      <c r="L67" s="24"/>
      <c r="M67" s="24"/>
      <c r="N67" s="32"/>
      <c r="O67" s="32"/>
      <c r="P67" s="32"/>
      <c r="Q67" s="32"/>
      <c r="R67" s="33"/>
      <c r="S67" s="33"/>
      <c r="T67" s="6"/>
      <c r="V67" s="34"/>
    </row>
    <row r="68" ht="30" spans="2:22">
      <c r="B68" s="25" t="s">
        <v>136</v>
      </c>
      <c r="C68" s="22">
        <f t="shared" si="0"/>
        <v>2</v>
      </c>
      <c r="D68" s="22">
        <f t="shared" si="1"/>
        <v>2</v>
      </c>
      <c r="E68" s="26" t="s">
        <v>255</v>
      </c>
      <c r="F68" s="22" t="str">
        <f t="shared" si="2"/>
        <v>Дорожная карта по контейнерам и КП в разработке</v>
      </c>
      <c r="G68" s="22"/>
      <c r="H68" s="24"/>
      <c r="I68" s="24"/>
      <c r="J68" s="24"/>
      <c r="K68" s="24"/>
      <c r="L68" s="24"/>
      <c r="M68" s="24"/>
      <c r="N68" s="32"/>
      <c r="O68" s="32"/>
      <c r="P68" s="32"/>
      <c r="Q68" s="32"/>
      <c r="R68" s="33"/>
      <c r="S68" s="33"/>
      <c r="T68" s="6"/>
      <c r="V68" s="34"/>
    </row>
    <row r="69" ht="30" spans="2:22">
      <c r="B69" s="25" t="s">
        <v>158</v>
      </c>
      <c r="C69" s="22">
        <f t="shared" si="0"/>
        <v>2</v>
      </c>
      <c r="D69" s="22">
        <f t="shared" si="1"/>
        <v>2</v>
      </c>
      <c r="E69" s="26" t="s">
        <v>255</v>
      </c>
      <c r="F69" s="22" t="str">
        <f t="shared" si="2"/>
        <v>Дорожная карта по контейнерам и КП в разработке</v>
      </c>
      <c r="G69" s="22"/>
      <c r="H69" s="24"/>
      <c r="I69" s="24"/>
      <c r="J69" s="24"/>
      <c r="K69" s="24"/>
      <c r="L69" s="24"/>
      <c r="M69" s="24"/>
      <c r="N69" s="32"/>
      <c r="O69" s="32"/>
      <c r="P69" s="32"/>
      <c r="Q69" s="32"/>
      <c r="R69" s="33"/>
      <c r="S69" s="33"/>
      <c r="T69" s="6"/>
      <c r="V69" s="34"/>
    </row>
    <row r="70" ht="30" spans="2:22">
      <c r="B70" s="25" t="s">
        <v>120</v>
      </c>
      <c r="C70" s="22">
        <f t="shared" si="0"/>
        <v>2</v>
      </c>
      <c r="D70" s="22">
        <f t="shared" si="1"/>
        <v>2</v>
      </c>
      <c r="E70" s="26" t="s">
        <v>255</v>
      </c>
      <c r="F70" s="22" t="str">
        <f t="shared" si="2"/>
        <v>Дорожная карта по контейнерам и КП в разработке</v>
      </c>
      <c r="G70" s="22"/>
      <c r="H70" s="24"/>
      <c r="I70" s="24"/>
      <c r="J70" s="24"/>
      <c r="K70" s="24"/>
      <c r="L70" s="24"/>
      <c r="M70" s="24"/>
      <c r="N70" s="32"/>
      <c r="O70" s="32"/>
      <c r="P70" s="32"/>
      <c r="Q70" s="32"/>
      <c r="R70" s="33"/>
      <c r="S70" s="33"/>
      <c r="T70" s="6"/>
      <c r="V70" s="34"/>
    </row>
    <row r="71" ht="30" spans="2:22">
      <c r="B71" s="25" t="s">
        <v>112</v>
      </c>
      <c r="C71" s="22">
        <f t="shared" si="0"/>
        <v>2</v>
      </c>
      <c r="D71" s="22">
        <f t="shared" si="1"/>
        <v>2</v>
      </c>
      <c r="E71" s="26" t="s">
        <v>255</v>
      </c>
      <c r="F71" s="22" t="str">
        <f t="shared" si="2"/>
        <v>Дорожная карта по контейнерам и КП в разработке</v>
      </c>
      <c r="G71" s="22"/>
      <c r="H71" s="24"/>
      <c r="I71" s="24"/>
      <c r="J71" s="24"/>
      <c r="K71" s="24"/>
      <c r="L71" s="24"/>
      <c r="M71" s="24"/>
      <c r="N71" s="32"/>
      <c r="O71" s="32"/>
      <c r="P71" s="32"/>
      <c r="Q71" s="32"/>
      <c r="R71" s="33"/>
      <c r="S71" s="33"/>
      <c r="T71" s="6"/>
      <c r="V71" s="34"/>
    </row>
    <row r="72" ht="30" spans="2:22">
      <c r="B72" s="25" t="s">
        <v>97</v>
      </c>
      <c r="C72" s="22">
        <f t="shared" si="0"/>
        <v>2</v>
      </c>
      <c r="D72" s="22">
        <f t="shared" si="1"/>
        <v>2</v>
      </c>
      <c r="E72" s="26" t="s">
        <v>255</v>
      </c>
      <c r="F72" s="22" t="str">
        <f t="shared" si="2"/>
        <v>Дорожная карта по контейнерам и КП в разработке</v>
      </c>
      <c r="G72" s="22"/>
      <c r="H72" s="24"/>
      <c r="I72" s="24"/>
      <c r="J72" s="24"/>
      <c r="K72" s="24"/>
      <c r="L72" s="24"/>
      <c r="M72" s="24"/>
      <c r="N72" s="32"/>
      <c r="O72" s="32"/>
      <c r="P72" s="32"/>
      <c r="Q72" s="32"/>
      <c r="R72" s="33"/>
      <c r="S72" s="33"/>
      <c r="T72" s="6"/>
      <c r="V72" s="34"/>
    </row>
    <row r="73" ht="30" spans="2:22">
      <c r="B73" s="25" t="s">
        <v>98</v>
      </c>
      <c r="C73" s="22">
        <f t="shared" si="0"/>
        <v>2</v>
      </c>
      <c r="D73" s="22">
        <f t="shared" si="1"/>
        <v>2</v>
      </c>
      <c r="E73" s="26" t="s">
        <v>255</v>
      </c>
      <c r="F73" s="22" t="str">
        <f t="shared" si="2"/>
        <v>Дорожная карта по контейнерам и КП в разработке</v>
      </c>
      <c r="G73" s="22"/>
      <c r="H73" s="24"/>
      <c r="I73" s="24"/>
      <c r="J73" s="24"/>
      <c r="K73" s="24"/>
      <c r="L73" s="24"/>
      <c r="M73" s="24"/>
      <c r="N73" s="32"/>
      <c r="O73" s="32"/>
      <c r="P73" s="32"/>
      <c r="Q73" s="32"/>
      <c r="R73" s="33"/>
      <c r="S73" s="33"/>
      <c r="T73" s="6"/>
      <c r="V73" s="34"/>
    </row>
    <row r="74" ht="30" spans="2:22">
      <c r="B74" s="25" t="s">
        <v>110</v>
      </c>
      <c r="C74" s="22">
        <f t="shared" si="0"/>
        <v>2</v>
      </c>
      <c r="D74" s="22">
        <f t="shared" si="1"/>
        <v>2</v>
      </c>
      <c r="E74" s="26" t="s">
        <v>255</v>
      </c>
      <c r="F74" s="22" t="str">
        <f t="shared" si="2"/>
        <v>Дорожная карта по контейнерам и КП в разработке</v>
      </c>
      <c r="G74" s="22"/>
      <c r="H74" s="24"/>
      <c r="I74" s="24"/>
      <c r="J74" s="24"/>
      <c r="K74" s="24"/>
      <c r="L74" s="24"/>
      <c r="M74" s="24"/>
      <c r="N74" s="32"/>
      <c r="O74" s="32"/>
      <c r="P74" s="32"/>
      <c r="Q74" s="32"/>
      <c r="R74" s="33"/>
      <c r="S74" s="33"/>
      <c r="T74" s="6"/>
      <c r="V74" s="34"/>
    </row>
    <row r="75" ht="30" spans="2:22">
      <c r="B75" s="25" t="s">
        <v>115</v>
      </c>
      <c r="C75" s="22">
        <f t="shared" si="0"/>
        <v>2</v>
      </c>
      <c r="D75" s="22">
        <f t="shared" si="1"/>
        <v>2</v>
      </c>
      <c r="E75" s="26" t="s">
        <v>255</v>
      </c>
      <c r="F75" s="22" t="str">
        <f t="shared" si="2"/>
        <v>Дорожная карта по контейнерам и КП в разработке</v>
      </c>
      <c r="G75" s="22"/>
      <c r="H75" s="24"/>
      <c r="I75" s="24"/>
      <c r="J75" s="24"/>
      <c r="K75" s="24"/>
      <c r="L75" s="24"/>
      <c r="M75" s="24"/>
      <c r="N75" s="32"/>
      <c r="O75" s="32"/>
      <c r="P75" s="32"/>
      <c r="Q75" s="32"/>
      <c r="R75" s="33"/>
      <c r="S75" s="33"/>
      <c r="T75" s="6"/>
      <c r="V75" s="34"/>
    </row>
    <row r="76" ht="30" spans="2:22">
      <c r="B76" s="25" t="s">
        <v>159</v>
      </c>
      <c r="C76" s="22">
        <f t="shared" si="0"/>
        <v>2</v>
      </c>
      <c r="D76" s="22">
        <f t="shared" si="1"/>
        <v>2</v>
      </c>
      <c r="E76" s="26" t="s">
        <v>255</v>
      </c>
      <c r="F76" s="22" t="str">
        <f t="shared" si="2"/>
        <v>Дорожная карта по контейнерам и КП в разработке</v>
      </c>
      <c r="G76" s="22"/>
      <c r="H76" s="24"/>
      <c r="I76" s="24"/>
      <c r="J76" s="24"/>
      <c r="K76" s="24"/>
      <c r="L76" s="24"/>
      <c r="M76" s="24"/>
      <c r="N76" s="32"/>
      <c r="O76" s="32"/>
      <c r="P76" s="32"/>
      <c r="Q76" s="32"/>
      <c r="R76" s="33"/>
      <c r="S76" s="33"/>
      <c r="T76" s="6"/>
      <c r="V76" s="34"/>
    </row>
    <row r="77" ht="30" spans="2:22">
      <c r="B77" s="25" t="s">
        <v>151</v>
      </c>
      <c r="C77" s="22">
        <f t="shared" si="0"/>
        <v>2</v>
      </c>
      <c r="D77" s="22">
        <f t="shared" si="1"/>
        <v>2</v>
      </c>
      <c r="E77" s="26" t="s">
        <v>255</v>
      </c>
      <c r="F77" s="22" t="str">
        <f t="shared" si="2"/>
        <v>Дорожная карта по контейнерам и КП в разработке</v>
      </c>
      <c r="G77" s="22"/>
      <c r="H77" s="24"/>
      <c r="I77" s="24"/>
      <c r="J77" s="24"/>
      <c r="K77" s="24"/>
      <c r="L77" s="24"/>
      <c r="M77" s="24"/>
      <c r="N77" s="32"/>
      <c r="O77" s="32"/>
      <c r="P77" s="32"/>
      <c r="Q77" s="32"/>
      <c r="R77" s="33"/>
      <c r="S77" s="33"/>
      <c r="T77" s="6"/>
      <c r="V77" s="34"/>
    </row>
    <row r="78" ht="30" spans="2:22">
      <c r="B78" s="25" t="s">
        <v>75</v>
      </c>
      <c r="C78" s="22">
        <f t="shared" si="0"/>
        <v>2</v>
      </c>
      <c r="D78" s="22">
        <f t="shared" si="1"/>
        <v>2</v>
      </c>
      <c r="E78" s="26" t="s">
        <v>255</v>
      </c>
      <c r="F78" s="22" t="str">
        <f t="shared" si="2"/>
        <v>Дорожная карта по контейнерам и КП в разработке</v>
      </c>
      <c r="G78" s="22"/>
      <c r="H78" s="24"/>
      <c r="I78" s="24"/>
      <c r="J78" s="24"/>
      <c r="K78" s="24"/>
      <c r="L78" s="24"/>
      <c r="M78" s="24"/>
      <c r="N78" s="32"/>
      <c r="O78" s="32"/>
      <c r="P78" s="32"/>
      <c r="Q78" s="32"/>
      <c r="R78" s="33"/>
      <c r="S78" s="33"/>
      <c r="T78" s="6"/>
      <c r="V78" s="34"/>
    </row>
    <row r="79" ht="30" spans="2:22">
      <c r="B79" s="25" t="s">
        <v>154</v>
      </c>
      <c r="C79" s="22">
        <f t="shared" si="0"/>
        <v>2</v>
      </c>
      <c r="D79" s="22">
        <f t="shared" si="1"/>
        <v>2</v>
      </c>
      <c r="E79" s="26" t="s">
        <v>255</v>
      </c>
      <c r="F79" s="22" t="str">
        <f t="shared" si="2"/>
        <v>Дорожная карта по контейнерам и КП в разработке</v>
      </c>
      <c r="G79" s="22"/>
      <c r="H79" s="24"/>
      <c r="I79" s="24"/>
      <c r="J79" s="24"/>
      <c r="K79" s="24"/>
      <c r="L79" s="24"/>
      <c r="M79" s="24"/>
      <c r="N79" s="32"/>
      <c r="O79" s="32"/>
      <c r="P79" s="32"/>
      <c r="Q79" s="32"/>
      <c r="R79" s="33"/>
      <c r="S79" s="33"/>
      <c r="T79" s="6"/>
      <c r="V79" s="34"/>
    </row>
    <row r="80" ht="30" spans="2:22">
      <c r="B80" s="25" t="s">
        <v>152</v>
      </c>
      <c r="C80" s="22">
        <f t="shared" si="0"/>
        <v>2</v>
      </c>
      <c r="D80" s="22">
        <f t="shared" si="1"/>
        <v>2</v>
      </c>
      <c r="E80" s="26" t="s">
        <v>255</v>
      </c>
      <c r="F80" s="22" t="str">
        <f t="shared" si="2"/>
        <v>Дорожная карта по контейнерам и КП в разработке</v>
      </c>
      <c r="G80" s="22"/>
      <c r="H80" s="24"/>
      <c r="I80" s="24"/>
      <c r="J80" s="24"/>
      <c r="K80" s="24"/>
      <c r="L80" s="24"/>
      <c r="M80" s="24"/>
      <c r="N80" s="32"/>
      <c r="O80" s="32"/>
      <c r="P80" s="32"/>
      <c r="Q80" s="32"/>
      <c r="R80" s="33"/>
      <c r="S80" s="33"/>
      <c r="T80" s="6"/>
      <c r="V80" s="34"/>
    </row>
    <row r="81" ht="30" spans="2:22">
      <c r="B81" s="25" t="s">
        <v>140</v>
      </c>
      <c r="C81" s="22">
        <f t="shared" ref="C81:C104" si="3">IF(OR(G81=2,D81&gt;$D$8),2,IF(OR(G81=1,D81&gt;$D$9),1,0))</f>
        <v>2</v>
      </c>
      <c r="D81" s="22">
        <f t="shared" ref="D81:D104" si="4">IF(E81="в разработке",2,IF(E81="утверждена",0,1))</f>
        <v>2</v>
      </c>
      <c r="E81" s="26" t="s">
        <v>255</v>
      </c>
      <c r="F81" s="22" t="str">
        <f t="shared" ref="F81:F104" si="5">_xlfn.TEXTJOIN(,0,"Дорожная карта по контейнерам и КП ",E81)</f>
        <v>Дорожная карта по контейнерам и КП в разработке</v>
      </c>
      <c r="G81" s="22"/>
      <c r="H81" s="24"/>
      <c r="I81" s="24"/>
      <c r="J81" s="24"/>
      <c r="K81" s="24"/>
      <c r="L81" s="24"/>
      <c r="M81" s="24"/>
      <c r="N81" s="32"/>
      <c r="O81" s="32"/>
      <c r="P81" s="32"/>
      <c r="Q81" s="32"/>
      <c r="R81" s="33"/>
      <c r="S81" s="33"/>
      <c r="T81" s="6"/>
      <c r="V81" s="34"/>
    </row>
    <row r="82" ht="30" spans="2:22">
      <c r="B82" s="25" t="s">
        <v>135</v>
      </c>
      <c r="C82" s="22">
        <f t="shared" si="3"/>
        <v>2</v>
      </c>
      <c r="D82" s="22">
        <f t="shared" si="4"/>
        <v>2</v>
      </c>
      <c r="E82" s="26" t="s">
        <v>255</v>
      </c>
      <c r="F82" s="22" t="str">
        <f t="shared" si="5"/>
        <v>Дорожная карта по контейнерам и КП в разработке</v>
      </c>
      <c r="G82" s="22"/>
      <c r="H82" s="24"/>
      <c r="I82" s="24"/>
      <c r="J82" s="24"/>
      <c r="K82" s="24"/>
      <c r="L82" s="24"/>
      <c r="M82" s="24"/>
      <c r="N82" s="32"/>
      <c r="O82" s="32"/>
      <c r="P82" s="32"/>
      <c r="Q82" s="32"/>
      <c r="R82" s="33"/>
      <c r="S82" s="33"/>
      <c r="T82" s="6"/>
      <c r="V82" s="34"/>
    </row>
    <row r="83" ht="30" spans="2:22">
      <c r="B83" s="25" t="s">
        <v>100</v>
      </c>
      <c r="C83" s="22">
        <f t="shared" si="3"/>
        <v>2</v>
      </c>
      <c r="D83" s="22">
        <f t="shared" si="4"/>
        <v>2</v>
      </c>
      <c r="E83" s="26" t="s">
        <v>255</v>
      </c>
      <c r="F83" s="22" t="str">
        <f t="shared" si="5"/>
        <v>Дорожная карта по контейнерам и КП в разработке</v>
      </c>
      <c r="G83" s="22"/>
      <c r="H83" s="24"/>
      <c r="I83" s="24"/>
      <c r="J83" s="24"/>
      <c r="K83" s="24"/>
      <c r="L83" s="24"/>
      <c r="M83" s="24"/>
      <c r="N83" s="32"/>
      <c r="O83" s="32"/>
      <c r="P83" s="32"/>
      <c r="Q83" s="32"/>
      <c r="R83" s="33"/>
      <c r="S83" s="33"/>
      <c r="T83" s="6"/>
      <c r="V83" s="34"/>
    </row>
    <row r="84" ht="30" spans="2:22">
      <c r="B84" s="25" t="s">
        <v>102</v>
      </c>
      <c r="C84" s="22">
        <f t="shared" si="3"/>
        <v>2</v>
      </c>
      <c r="D84" s="22">
        <f t="shared" si="4"/>
        <v>2</v>
      </c>
      <c r="E84" s="26" t="s">
        <v>255</v>
      </c>
      <c r="F84" s="22" t="str">
        <f t="shared" si="5"/>
        <v>Дорожная карта по контейнерам и КП в разработке</v>
      </c>
      <c r="G84" s="22"/>
      <c r="H84" s="24"/>
      <c r="I84" s="24"/>
      <c r="J84" s="24"/>
      <c r="K84" s="24"/>
      <c r="L84" s="24"/>
      <c r="M84" s="24"/>
      <c r="N84" s="32"/>
      <c r="O84" s="32"/>
      <c r="P84" s="32"/>
      <c r="Q84" s="32"/>
      <c r="R84" s="33"/>
      <c r="S84" s="33"/>
      <c r="T84" s="6"/>
      <c r="V84" s="34"/>
    </row>
    <row r="85" ht="30" spans="2:22">
      <c r="B85" s="25" t="s">
        <v>130</v>
      </c>
      <c r="C85" s="22">
        <f t="shared" si="3"/>
        <v>2</v>
      </c>
      <c r="D85" s="22">
        <f t="shared" si="4"/>
        <v>2</v>
      </c>
      <c r="E85" s="26" t="s">
        <v>255</v>
      </c>
      <c r="F85" s="22" t="str">
        <f t="shared" si="5"/>
        <v>Дорожная карта по контейнерам и КП в разработке</v>
      </c>
      <c r="G85" s="22"/>
      <c r="H85" s="24"/>
      <c r="I85" s="24"/>
      <c r="J85" s="24"/>
      <c r="K85" s="24"/>
      <c r="L85" s="24"/>
      <c r="M85" s="24"/>
      <c r="N85" s="32"/>
      <c r="O85" s="32"/>
      <c r="P85" s="32"/>
      <c r="Q85" s="32"/>
      <c r="R85" s="33"/>
      <c r="S85" s="33"/>
      <c r="T85" s="6"/>
      <c r="V85" s="34"/>
    </row>
    <row r="86" ht="30" spans="2:22">
      <c r="B86" s="25" t="s">
        <v>122</v>
      </c>
      <c r="C86" s="22">
        <f t="shared" si="3"/>
        <v>2</v>
      </c>
      <c r="D86" s="22">
        <f t="shared" si="4"/>
        <v>2</v>
      </c>
      <c r="E86" s="26" t="s">
        <v>255</v>
      </c>
      <c r="F86" s="22" t="str">
        <f t="shared" si="5"/>
        <v>Дорожная карта по контейнерам и КП в разработке</v>
      </c>
      <c r="G86" s="22"/>
      <c r="H86" s="24"/>
      <c r="I86" s="24"/>
      <c r="J86" s="24"/>
      <c r="K86" s="24"/>
      <c r="L86" s="24"/>
      <c r="M86" s="24"/>
      <c r="N86" s="32"/>
      <c r="O86" s="32"/>
      <c r="P86" s="32"/>
      <c r="Q86" s="32"/>
      <c r="R86" s="33"/>
      <c r="S86" s="33"/>
      <c r="T86" s="6"/>
      <c r="V86" s="34"/>
    </row>
    <row r="87" ht="30" spans="2:22">
      <c r="B87" s="25" t="s">
        <v>103</v>
      </c>
      <c r="C87" s="22">
        <f t="shared" si="3"/>
        <v>2</v>
      </c>
      <c r="D87" s="22">
        <f t="shared" si="4"/>
        <v>2</v>
      </c>
      <c r="E87" s="26" t="s">
        <v>255</v>
      </c>
      <c r="F87" s="22" t="str">
        <f t="shared" si="5"/>
        <v>Дорожная карта по контейнерам и КП в разработке</v>
      </c>
      <c r="G87" s="22"/>
      <c r="H87" s="24"/>
      <c r="I87" s="24"/>
      <c r="J87" s="24"/>
      <c r="K87" s="24"/>
      <c r="L87" s="24"/>
      <c r="M87" s="24"/>
      <c r="N87" s="32"/>
      <c r="O87" s="32"/>
      <c r="P87" s="32"/>
      <c r="Q87" s="32"/>
      <c r="R87" s="33"/>
      <c r="S87" s="33"/>
      <c r="T87" s="6"/>
      <c r="V87" s="34"/>
    </row>
    <row r="88" ht="30" spans="2:22">
      <c r="B88" s="25" t="s">
        <v>105</v>
      </c>
      <c r="C88" s="22">
        <f t="shared" si="3"/>
        <v>2</v>
      </c>
      <c r="D88" s="22">
        <f t="shared" si="4"/>
        <v>2</v>
      </c>
      <c r="E88" s="26" t="s">
        <v>255</v>
      </c>
      <c r="F88" s="22" t="str">
        <f t="shared" si="5"/>
        <v>Дорожная карта по контейнерам и КП в разработке</v>
      </c>
      <c r="G88" s="22"/>
      <c r="H88" s="24"/>
      <c r="I88" s="24"/>
      <c r="J88" s="24"/>
      <c r="K88" s="24"/>
      <c r="L88" s="24"/>
      <c r="M88" s="24"/>
      <c r="N88" s="32"/>
      <c r="O88" s="32"/>
      <c r="P88" s="32"/>
      <c r="Q88" s="32"/>
      <c r="R88" s="33"/>
      <c r="S88" s="33"/>
      <c r="T88" s="6"/>
      <c r="V88" s="34"/>
    </row>
    <row r="89" ht="30" spans="2:22">
      <c r="B89" s="25" t="s">
        <v>125</v>
      </c>
      <c r="C89" s="22">
        <f t="shared" si="3"/>
        <v>2</v>
      </c>
      <c r="D89" s="22">
        <f t="shared" si="4"/>
        <v>2</v>
      </c>
      <c r="E89" s="26" t="s">
        <v>255</v>
      </c>
      <c r="F89" s="22" t="str">
        <f t="shared" si="5"/>
        <v>Дорожная карта по контейнерам и КП в разработке</v>
      </c>
      <c r="G89" s="22"/>
      <c r="H89" s="24"/>
      <c r="I89" s="24"/>
      <c r="J89" s="24"/>
      <c r="K89" s="24"/>
      <c r="L89" s="24"/>
      <c r="M89" s="24"/>
      <c r="N89" s="32"/>
      <c r="O89" s="32"/>
      <c r="P89" s="32"/>
      <c r="Q89" s="32"/>
      <c r="R89" s="33"/>
      <c r="S89" s="33"/>
      <c r="T89" s="6"/>
      <c r="V89" s="34"/>
    </row>
    <row r="90" ht="30" spans="2:22">
      <c r="B90" s="25" t="s">
        <v>156</v>
      </c>
      <c r="C90" s="22">
        <f t="shared" si="3"/>
        <v>2</v>
      </c>
      <c r="D90" s="22">
        <f t="shared" si="4"/>
        <v>2</v>
      </c>
      <c r="E90" s="26" t="s">
        <v>255</v>
      </c>
      <c r="F90" s="22" t="str">
        <f t="shared" si="5"/>
        <v>Дорожная карта по контейнерам и КП в разработке</v>
      </c>
      <c r="G90" s="22"/>
      <c r="H90" s="24"/>
      <c r="I90" s="24"/>
      <c r="J90" s="24"/>
      <c r="K90" s="24"/>
      <c r="L90" s="24"/>
      <c r="M90" s="24"/>
      <c r="N90" s="32"/>
      <c r="O90" s="32"/>
      <c r="P90" s="32"/>
      <c r="Q90" s="32"/>
      <c r="R90" s="33"/>
      <c r="S90" s="33"/>
      <c r="T90" s="6"/>
      <c r="V90" s="34"/>
    </row>
    <row r="91" ht="30" spans="2:22">
      <c r="B91" s="25" t="s">
        <v>116</v>
      </c>
      <c r="C91" s="22">
        <f t="shared" si="3"/>
        <v>2</v>
      </c>
      <c r="D91" s="22">
        <f t="shared" si="4"/>
        <v>2</v>
      </c>
      <c r="E91" s="26" t="s">
        <v>255</v>
      </c>
      <c r="F91" s="22" t="str">
        <f t="shared" si="5"/>
        <v>Дорожная карта по контейнерам и КП в разработке</v>
      </c>
      <c r="G91" s="22"/>
      <c r="H91" s="24"/>
      <c r="I91" s="24"/>
      <c r="J91" s="24"/>
      <c r="K91" s="24"/>
      <c r="L91" s="24"/>
      <c r="M91" s="24"/>
      <c r="N91" s="32"/>
      <c r="O91" s="32"/>
      <c r="P91" s="32"/>
      <c r="Q91" s="32"/>
      <c r="R91" s="33"/>
      <c r="S91" s="33"/>
      <c r="T91" s="6"/>
      <c r="V91" s="34"/>
    </row>
    <row r="92" ht="30" spans="2:22">
      <c r="B92" s="25" t="s">
        <v>73</v>
      </c>
      <c r="C92" s="22">
        <f t="shared" si="3"/>
        <v>2</v>
      </c>
      <c r="D92" s="22">
        <f t="shared" si="4"/>
        <v>2</v>
      </c>
      <c r="E92" s="26" t="s">
        <v>255</v>
      </c>
      <c r="F92" s="22" t="str">
        <f t="shared" si="5"/>
        <v>Дорожная карта по контейнерам и КП в разработке</v>
      </c>
      <c r="G92" s="22"/>
      <c r="H92" s="24"/>
      <c r="I92" s="24"/>
      <c r="J92" s="24"/>
      <c r="K92" s="24"/>
      <c r="L92" s="24"/>
      <c r="M92" s="24"/>
      <c r="N92" s="32"/>
      <c r="O92" s="32"/>
      <c r="P92" s="32"/>
      <c r="Q92" s="32"/>
      <c r="R92" s="33"/>
      <c r="S92" s="33"/>
      <c r="T92" s="6"/>
      <c r="V92" s="34"/>
    </row>
    <row r="93" ht="30" spans="2:22">
      <c r="B93" s="25" t="s">
        <v>83</v>
      </c>
      <c r="C93" s="22">
        <f t="shared" si="3"/>
        <v>2</v>
      </c>
      <c r="D93" s="22">
        <f t="shared" si="4"/>
        <v>2</v>
      </c>
      <c r="E93" s="26" t="s">
        <v>255</v>
      </c>
      <c r="F93" s="22" t="str">
        <f t="shared" si="5"/>
        <v>Дорожная карта по контейнерам и КП в разработке</v>
      </c>
      <c r="G93" s="22"/>
      <c r="H93" s="24"/>
      <c r="I93" s="24"/>
      <c r="J93" s="24"/>
      <c r="K93" s="24"/>
      <c r="L93" s="24"/>
      <c r="M93" s="24"/>
      <c r="N93" s="32"/>
      <c r="O93" s="32"/>
      <c r="P93" s="32"/>
      <c r="Q93" s="32"/>
      <c r="R93" s="33"/>
      <c r="S93" s="33"/>
      <c r="T93" s="6"/>
      <c r="V93" s="34"/>
    </row>
    <row r="94" ht="30" spans="2:22">
      <c r="B94" s="25" t="s">
        <v>99</v>
      </c>
      <c r="C94" s="22">
        <f t="shared" si="3"/>
        <v>2</v>
      </c>
      <c r="D94" s="22">
        <f t="shared" si="4"/>
        <v>2</v>
      </c>
      <c r="E94" s="26" t="s">
        <v>255</v>
      </c>
      <c r="F94" s="22" t="str">
        <f t="shared" si="5"/>
        <v>Дорожная карта по контейнерам и КП в разработке</v>
      </c>
      <c r="G94" s="22"/>
      <c r="H94" s="24"/>
      <c r="I94" s="24"/>
      <c r="J94" s="24"/>
      <c r="K94" s="24"/>
      <c r="L94" s="24"/>
      <c r="M94" s="24"/>
      <c r="N94" s="32"/>
      <c r="O94" s="32"/>
      <c r="P94" s="32"/>
      <c r="Q94" s="32"/>
      <c r="R94" s="33"/>
      <c r="S94" s="33"/>
      <c r="T94" s="6"/>
      <c r="V94" s="34"/>
    </row>
    <row r="95" ht="30" spans="2:22">
      <c r="B95" s="25" t="s">
        <v>128</v>
      </c>
      <c r="C95" s="22">
        <f t="shared" si="3"/>
        <v>2</v>
      </c>
      <c r="D95" s="22">
        <f t="shared" si="4"/>
        <v>2</v>
      </c>
      <c r="E95" s="26" t="s">
        <v>255</v>
      </c>
      <c r="F95" s="22" t="str">
        <f t="shared" si="5"/>
        <v>Дорожная карта по контейнерам и КП в разработке</v>
      </c>
      <c r="G95" s="22"/>
      <c r="H95" s="24"/>
      <c r="I95" s="24"/>
      <c r="J95" s="24"/>
      <c r="K95" s="24"/>
      <c r="L95" s="24"/>
      <c r="M95" s="24"/>
      <c r="N95" s="32"/>
      <c r="O95" s="32"/>
      <c r="P95" s="32"/>
      <c r="Q95" s="32"/>
      <c r="R95" s="33"/>
      <c r="S95" s="33"/>
      <c r="T95" s="6"/>
      <c r="V95" s="34"/>
    </row>
    <row r="96" ht="30" spans="2:22">
      <c r="B96" s="25" t="s">
        <v>145</v>
      </c>
      <c r="C96" s="22">
        <f t="shared" si="3"/>
        <v>2</v>
      </c>
      <c r="D96" s="22">
        <f t="shared" si="4"/>
        <v>2</v>
      </c>
      <c r="E96" s="26" t="s">
        <v>255</v>
      </c>
      <c r="F96" s="22" t="str">
        <f t="shared" si="5"/>
        <v>Дорожная карта по контейнерам и КП в разработке</v>
      </c>
      <c r="G96" s="22"/>
      <c r="H96" s="24"/>
      <c r="I96" s="24"/>
      <c r="J96" s="24"/>
      <c r="K96" s="24"/>
      <c r="L96" s="24"/>
      <c r="M96" s="24"/>
      <c r="N96" s="32"/>
      <c r="O96" s="32"/>
      <c r="P96" s="32"/>
      <c r="Q96" s="32"/>
      <c r="R96" s="33"/>
      <c r="S96" s="33"/>
      <c r="T96" s="6"/>
      <c r="V96" s="34"/>
    </row>
    <row r="97" ht="30" spans="2:22">
      <c r="B97" s="25" t="s">
        <v>84</v>
      </c>
      <c r="C97" s="22">
        <f t="shared" si="3"/>
        <v>2</v>
      </c>
      <c r="D97" s="22">
        <f t="shared" si="4"/>
        <v>2</v>
      </c>
      <c r="E97" s="26" t="s">
        <v>255</v>
      </c>
      <c r="F97" s="22" t="str">
        <f t="shared" si="5"/>
        <v>Дорожная карта по контейнерам и КП в разработке</v>
      </c>
      <c r="G97" s="22"/>
      <c r="H97" s="24"/>
      <c r="I97" s="24"/>
      <c r="J97" s="24"/>
      <c r="K97" s="24"/>
      <c r="L97" s="24"/>
      <c r="M97" s="24"/>
      <c r="N97" s="32"/>
      <c r="O97" s="32"/>
      <c r="P97" s="32"/>
      <c r="Q97" s="32"/>
      <c r="R97" s="33"/>
      <c r="S97" s="33"/>
      <c r="T97" s="6"/>
      <c r="V97" s="34"/>
    </row>
    <row r="98" ht="30" spans="2:22">
      <c r="B98" s="25" t="s">
        <v>163</v>
      </c>
      <c r="C98" s="22">
        <f t="shared" si="3"/>
        <v>2</v>
      </c>
      <c r="D98" s="22">
        <f t="shared" si="4"/>
        <v>2</v>
      </c>
      <c r="E98" s="26" t="s">
        <v>255</v>
      </c>
      <c r="F98" s="22" t="str">
        <f t="shared" si="5"/>
        <v>Дорожная карта по контейнерам и КП в разработке</v>
      </c>
      <c r="G98" s="22"/>
      <c r="H98" s="24"/>
      <c r="I98" s="24"/>
      <c r="J98" s="24"/>
      <c r="K98" s="24"/>
      <c r="L98" s="24"/>
      <c r="M98" s="24"/>
      <c r="N98" s="32"/>
      <c r="O98" s="32"/>
      <c r="P98" s="32"/>
      <c r="Q98" s="32"/>
      <c r="R98" s="33"/>
      <c r="S98" s="33"/>
      <c r="T98" s="6"/>
      <c r="V98" s="34"/>
    </row>
    <row r="99" ht="30" spans="2:22">
      <c r="B99" s="25" t="s">
        <v>79</v>
      </c>
      <c r="C99" s="22">
        <f t="shared" si="3"/>
        <v>2</v>
      </c>
      <c r="D99" s="22">
        <f t="shared" si="4"/>
        <v>2</v>
      </c>
      <c r="E99" s="26" t="s">
        <v>255</v>
      </c>
      <c r="F99" s="22" t="str">
        <f t="shared" si="5"/>
        <v>Дорожная карта по контейнерам и КП в разработке</v>
      </c>
      <c r="G99" s="22"/>
      <c r="H99" s="24"/>
      <c r="I99" s="24"/>
      <c r="J99" s="24"/>
      <c r="K99" s="24"/>
      <c r="L99" s="24"/>
      <c r="M99" s="24"/>
      <c r="N99" s="32"/>
      <c r="O99" s="32"/>
      <c r="P99" s="32"/>
      <c r="Q99" s="32"/>
      <c r="R99" s="33"/>
      <c r="S99" s="33"/>
      <c r="T99" s="6"/>
      <c r="V99" s="34"/>
    </row>
    <row r="100" ht="30" spans="2:22">
      <c r="B100" s="25" t="s">
        <v>117</v>
      </c>
      <c r="C100" s="22">
        <f t="shared" si="3"/>
        <v>2</v>
      </c>
      <c r="D100" s="22">
        <f t="shared" si="4"/>
        <v>2</v>
      </c>
      <c r="E100" s="26" t="s">
        <v>255</v>
      </c>
      <c r="F100" s="22" t="str">
        <f t="shared" si="5"/>
        <v>Дорожная карта по контейнерам и КП в разработке</v>
      </c>
      <c r="G100" s="22"/>
      <c r="H100" s="24"/>
      <c r="I100" s="24"/>
      <c r="J100" s="24"/>
      <c r="K100" s="24"/>
      <c r="L100" s="24"/>
      <c r="M100" s="24"/>
      <c r="N100" s="32"/>
      <c r="O100" s="32"/>
      <c r="P100" s="32"/>
      <c r="Q100" s="32"/>
      <c r="R100" s="33"/>
      <c r="S100" s="33"/>
      <c r="T100" s="6"/>
      <c r="V100" s="34"/>
    </row>
    <row r="101" ht="30" spans="2:22">
      <c r="B101" s="25" t="s">
        <v>82</v>
      </c>
      <c r="C101" s="22">
        <f t="shared" si="3"/>
        <v>2</v>
      </c>
      <c r="D101" s="22">
        <f t="shared" si="4"/>
        <v>2</v>
      </c>
      <c r="E101" s="26" t="s">
        <v>255</v>
      </c>
      <c r="F101" s="22" t="str">
        <f t="shared" si="5"/>
        <v>Дорожная карта по контейнерам и КП в разработке</v>
      </c>
      <c r="G101" s="22"/>
      <c r="H101" s="24"/>
      <c r="I101" s="24"/>
      <c r="J101" s="24"/>
      <c r="K101" s="24"/>
      <c r="L101" s="24"/>
      <c r="M101" s="24"/>
      <c r="N101" s="32"/>
      <c r="O101" s="32"/>
      <c r="P101" s="32"/>
      <c r="Q101" s="32"/>
      <c r="R101" s="33"/>
      <c r="S101" s="33"/>
      <c r="T101" s="6"/>
      <c r="V101" s="34"/>
    </row>
    <row r="102" ht="30" spans="2:22">
      <c r="B102" s="25" t="s">
        <v>149</v>
      </c>
      <c r="C102" s="22">
        <f t="shared" si="3"/>
        <v>2</v>
      </c>
      <c r="D102" s="22">
        <f t="shared" si="4"/>
        <v>2</v>
      </c>
      <c r="E102" s="26" t="s">
        <v>255</v>
      </c>
      <c r="F102" s="22" t="str">
        <f t="shared" si="5"/>
        <v>Дорожная карта по контейнерам и КП в разработке</v>
      </c>
      <c r="G102" s="22"/>
      <c r="H102" s="24"/>
      <c r="I102" s="24"/>
      <c r="J102" s="24"/>
      <c r="K102" s="24"/>
      <c r="L102" s="24"/>
      <c r="M102" s="24"/>
      <c r="N102" s="32"/>
      <c r="O102" s="32"/>
      <c r="P102" s="32"/>
      <c r="Q102" s="32"/>
      <c r="R102" s="33"/>
      <c r="S102" s="33"/>
      <c r="T102" s="6"/>
      <c r="V102" s="34"/>
    </row>
    <row r="103" ht="30" spans="2:22">
      <c r="B103" s="25" t="s">
        <v>114</v>
      </c>
      <c r="C103" s="22">
        <f t="shared" si="3"/>
        <v>2</v>
      </c>
      <c r="D103" s="22">
        <f t="shared" si="4"/>
        <v>2</v>
      </c>
      <c r="E103" s="26" t="s">
        <v>255</v>
      </c>
      <c r="F103" s="22" t="str">
        <f t="shared" si="5"/>
        <v>Дорожная карта по контейнерам и КП в разработке</v>
      </c>
      <c r="G103" s="22"/>
      <c r="H103" s="24"/>
      <c r="I103" s="24"/>
      <c r="J103" s="24"/>
      <c r="K103" s="24"/>
      <c r="L103" s="24"/>
      <c r="M103" s="24"/>
      <c r="N103" s="32"/>
      <c r="O103" s="32"/>
      <c r="P103" s="32"/>
      <c r="Q103" s="32"/>
      <c r="R103" s="33"/>
      <c r="S103" s="33"/>
      <c r="T103" s="6"/>
      <c r="V103" s="34"/>
    </row>
    <row r="104" ht="30" spans="2:22">
      <c r="B104" s="25" t="s">
        <v>80</v>
      </c>
      <c r="C104" s="22">
        <f t="shared" si="3"/>
        <v>2</v>
      </c>
      <c r="D104" s="22">
        <f t="shared" si="4"/>
        <v>2</v>
      </c>
      <c r="E104" s="26" t="s">
        <v>255</v>
      </c>
      <c r="F104" s="22" t="str">
        <f t="shared" si="5"/>
        <v>Дорожная карта по контейнерам и КП в разработке</v>
      </c>
      <c r="G104" s="22"/>
      <c r="H104" s="24"/>
      <c r="I104" s="24"/>
      <c r="J104" s="24"/>
      <c r="K104" s="24"/>
      <c r="L104" s="24"/>
      <c r="M104" s="24"/>
      <c r="N104" s="32"/>
      <c r="O104" s="32"/>
      <c r="P104" s="32"/>
      <c r="Q104" s="32"/>
      <c r="R104" s="33"/>
      <c r="S104" s="33"/>
      <c r="T104" s="6"/>
      <c r="V104" s="34"/>
    </row>
    <row r="106" spans="5:5">
      <c r="E106" s="8" t="s">
        <v>255</v>
      </c>
    </row>
    <row r="107" spans="2:22">
      <c r="B107" s="25"/>
      <c r="E107" s="8" t="s">
        <v>256</v>
      </c>
      <c r="V107" s="25"/>
    </row>
    <row r="108" spans="5:22">
      <c r="E108" s="8" t="s">
        <v>257</v>
      </c>
      <c r="V108" s="25"/>
    </row>
    <row r="109" spans="5:22">
      <c r="E109" s="8" t="s">
        <v>258</v>
      </c>
      <c r="H109" s="16"/>
      <c r="V109" s="25"/>
    </row>
  </sheetData>
  <dataValidations count="1">
    <dataValidation type="list" allowBlank="1" showInputMessage="1" showErrorMessage="1" sqref="E16:E104">
      <formula1>$E$106:$E$109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5"/>
  <dimension ref="B2:U266"/>
  <sheetViews>
    <sheetView topLeftCell="A239" workbookViewId="0">
      <selection activeCell="B8" sqref="B8:K266"/>
    </sheetView>
  </sheetViews>
  <sheetFormatPr defaultColWidth="7.64166666666667" defaultRowHeight="14.4"/>
  <cols>
    <col min="1" max="1" width="7.64166666666667" style="48"/>
    <col min="2" max="2" width="4.5" style="48" customWidth="1"/>
    <col min="3" max="3" width="17.3583333333333" style="48" customWidth="1"/>
    <col min="4" max="4" width="17.8583333333333" style="48" customWidth="1"/>
    <col min="5" max="5" width="22.1416666666667" style="48" customWidth="1"/>
    <col min="6" max="6" width="15.3583333333333" style="48" customWidth="1"/>
    <col min="7" max="7" width="14.1416666666667" style="49" customWidth="1"/>
    <col min="8" max="8" width="12.1416666666667" style="48" customWidth="1"/>
    <col min="9" max="9" width="12.8583333333333" style="48" customWidth="1"/>
    <col min="10" max="10" width="7.64166666666667" style="48" customWidth="1"/>
    <col min="11" max="11" width="12.8583333333333" style="48" customWidth="1"/>
    <col min="12" max="16384" width="7.64166666666667" style="48"/>
  </cols>
  <sheetData>
    <row r="2" s="46" customFormat="1" ht="15.6" spans="3:12">
      <c r="C2" s="50" t="s">
        <v>198</v>
      </c>
      <c r="D2" s="51"/>
      <c r="E2" s="51"/>
      <c r="F2" s="51"/>
      <c r="G2" s="51"/>
      <c r="H2" s="51"/>
      <c r="I2" s="51"/>
      <c r="J2" s="51"/>
      <c r="K2" s="51"/>
      <c r="L2" s="51"/>
    </row>
    <row r="3" s="46" customFormat="1" ht="15.6" spans="4:12">
      <c r="D3" s="51"/>
      <c r="E3" s="51"/>
      <c r="F3" s="51"/>
      <c r="G3" s="51"/>
      <c r="H3" s="51"/>
      <c r="I3" s="51"/>
      <c r="J3" s="51"/>
      <c r="K3" s="51"/>
      <c r="L3" s="51"/>
    </row>
    <row r="4" s="4" customFormat="1" ht="15.6" spans="3:21">
      <c r="C4" s="52" t="s">
        <v>170</v>
      </c>
      <c r="D4" s="52" t="s">
        <v>171</v>
      </c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="6" customFormat="1" ht="15" spans="3:21">
      <c r="C5" s="53" t="s">
        <v>210</v>
      </c>
      <c r="D5" s="53">
        <v>47757</v>
      </c>
      <c r="E5" s="8"/>
      <c r="F5" s="8"/>
      <c r="G5" s="7"/>
      <c r="H5" s="7"/>
      <c r="I5" s="9"/>
      <c r="J5" s="9"/>
      <c r="K5" s="9"/>
      <c r="L5" s="9"/>
      <c r="M5" s="9"/>
      <c r="N5" s="9"/>
      <c r="O5" s="11"/>
      <c r="P5" s="11"/>
      <c r="Q5" s="11"/>
      <c r="R5" s="11"/>
      <c r="S5" s="11"/>
      <c r="T5" s="11"/>
      <c r="U5" s="11"/>
    </row>
    <row r="6" s="46" customFormat="1" ht="15.6" spans="3:12">
      <c r="C6" s="51"/>
      <c r="D6" s="51"/>
      <c r="E6" s="51"/>
      <c r="F6" s="51"/>
      <c r="G6" s="51"/>
      <c r="H6" s="51"/>
      <c r="I6" s="51"/>
      <c r="J6" s="51"/>
      <c r="K6" s="51"/>
      <c r="L6" s="51"/>
    </row>
    <row r="7" ht="29.25" customHeight="1" spans="2:11">
      <c r="B7" s="54" t="s">
        <v>1</v>
      </c>
      <c r="C7" s="55" t="s">
        <v>259</v>
      </c>
      <c r="D7" s="55" t="s">
        <v>189</v>
      </c>
      <c r="E7" s="55" t="s">
        <v>260</v>
      </c>
      <c r="F7" s="55" t="s">
        <v>261</v>
      </c>
      <c r="G7" s="56" t="s">
        <v>262</v>
      </c>
      <c r="H7" s="56" t="s">
        <v>263</v>
      </c>
      <c r="I7" s="56" t="s">
        <v>264</v>
      </c>
      <c r="K7" s="56" t="s">
        <v>204</v>
      </c>
    </row>
    <row r="8" s="47" customFormat="1" ht="14.25" customHeight="1" spans="2:11">
      <c r="B8" s="57">
        <v>1</v>
      </c>
      <c r="C8" s="58" t="s">
        <v>265</v>
      </c>
      <c r="D8" s="58" t="s">
        <v>161</v>
      </c>
      <c r="E8" s="58" t="s">
        <v>266</v>
      </c>
      <c r="F8" s="58" t="s">
        <v>267</v>
      </c>
      <c r="G8" s="59">
        <v>1</v>
      </c>
      <c r="H8" s="47">
        <f t="shared" ref="H8:H71" si="0">IF(G8=1,1,"")</f>
        <v>1</v>
      </c>
      <c r="I8" s="47" t="str">
        <f>IF(G8=2,2,"")</f>
        <v/>
      </c>
      <c r="J8" s="47">
        <v>1</v>
      </c>
      <c r="K8" s="61">
        <v>0</v>
      </c>
    </row>
    <row r="9" s="47" customFormat="1" ht="14.25" customHeight="1" spans="2:11">
      <c r="B9" s="57">
        <v>2</v>
      </c>
      <c r="C9" s="58" t="s">
        <v>268</v>
      </c>
      <c r="D9" s="58" t="s">
        <v>149</v>
      </c>
      <c r="E9" s="58" t="s">
        <v>269</v>
      </c>
      <c r="F9" s="58" t="s">
        <v>270</v>
      </c>
      <c r="G9" s="60">
        <v>0</v>
      </c>
      <c r="H9" s="47" t="str">
        <f t="shared" si="0"/>
        <v/>
      </c>
      <c r="J9" s="47">
        <v>1</v>
      </c>
      <c r="K9" s="61">
        <v>0</v>
      </c>
    </row>
    <row r="10" s="47" customFormat="1" ht="14.25" customHeight="1" spans="2:11">
      <c r="B10" s="57">
        <v>144</v>
      </c>
      <c r="C10" s="58" t="s">
        <v>271</v>
      </c>
      <c r="D10" s="58" t="s">
        <v>124</v>
      </c>
      <c r="E10" s="58" t="s">
        <v>272</v>
      </c>
      <c r="F10" s="58" t="s">
        <v>273</v>
      </c>
      <c r="G10" s="60">
        <v>0</v>
      </c>
      <c r="H10" s="47" t="str">
        <f t="shared" si="0"/>
        <v/>
      </c>
      <c r="J10" s="47">
        <v>1</v>
      </c>
      <c r="K10" s="61">
        <v>0</v>
      </c>
    </row>
    <row r="11" s="47" customFormat="1" ht="14.25" customHeight="1" spans="2:11">
      <c r="B11" s="57">
        <v>145</v>
      </c>
      <c r="C11" s="58" t="s">
        <v>274</v>
      </c>
      <c r="D11" s="58" t="s">
        <v>91</v>
      </c>
      <c r="E11" s="58" t="s">
        <v>275</v>
      </c>
      <c r="F11" s="58" t="s">
        <v>276</v>
      </c>
      <c r="G11" s="60">
        <v>0</v>
      </c>
      <c r="H11" s="47" t="str">
        <f t="shared" si="0"/>
        <v/>
      </c>
      <c r="I11" s="47" t="str">
        <f t="shared" ref="I11:I74" si="1">IF(G11=2,2,"")</f>
        <v/>
      </c>
      <c r="J11" s="47">
        <v>2</v>
      </c>
      <c r="K11" s="61">
        <v>0</v>
      </c>
    </row>
    <row r="12" s="47" customFormat="1" ht="14.25" customHeight="1" spans="2:11">
      <c r="B12" s="57">
        <v>146</v>
      </c>
      <c r="C12" s="58" t="s">
        <v>274</v>
      </c>
      <c r="D12" s="58" t="s">
        <v>137</v>
      </c>
      <c r="E12" s="58" t="s">
        <v>277</v>
      </c>
      <c r="F12" s="58" t="s">
        <v>278</v>
      </c>
      <c r="G12" s="60">
        <v>0</v>
      </c>
      <c r="H12" s="47" t="str">
        <f t="shared" si="0"/>
        <v/>
      </c>
      <c r="I12" s="47" t="str">
        <f t="shared" si="1"/>
        <v/>
      </c>
      <c r="J12" s="47">
        <v>1</v>
      </c>
      <c r="K12" s="61">
        <v>0</v>
      </c>
    </row>
    <row r="13" s="47" customFormat="1" ht="14.25" customHeight="1" spans="2:11">
      <c r="B13" s="57">
        <v>147</v>
      </c>
      <c r="C13" s="58" t="s">
        <v>279</v>
      </c>
      <c r="D13" s="58" t="s">
        <v>142</v>
      </c>
      <c r="E13" s="58" t="s">
        <v>280</v>
      </c>
      <c r="F13" s="58" t="s">
        <v>281</v>
      </c>
      <c r="G13" s="60">
        <v>0</v>
      </c>
      <c r="H13" s="47" t="str">
        <f t="shared" si="0"/>
        <v/>
      </c>
      <c r="I13" s="47" t="str">
        <f t="shared" si="1"/>
        <v/>
      </c>
      <c r="J13" s="47">
        <v>1</v>
      </c>
      <c r="K13" s="61">
        <v>0</v>
      </c>
    </row>
    <row r="14" s="47" customFormat="1" ht="14.25" customHeight="1" spans="2:11">
      <c r="B14" s="57">
        <v>148</v>
      </c>
      <c r="C14" s="58" t="s">
        <v>279</v>
      </c>
      <c r="D14" s="58" t="s">
        <v>142</v>
      </c>
      <c r="E14" s="58" t="s">
        <v>282</v>
      </c>
      <c r="F14" s="58" t="s">
        <v>283</v>
      </c>
      <c r="G14" s="60">
        <v>0</v>
      </c>
      <c r="H14" s="47" t="str">
        <f t="shared" si="0"/>
        <v/>
      </c>
      <c r="I14" s="47" t="str">
        <f t="shared" si="1"/>
        <v/>
      </c>
      <c r="J14" s="47">
        <v>1</v>
      </c>
      <c r="K14" s="61">
        <v>0</v>
      </c>
    </row>
    <row r="15" s="47" customFormat="1" ht="14.25" customHeight="1" spans="2:11">
      <c r="B15" s="57">
        <v>3</v>
      </c>
      <c r="C15" s="58" t="s">
        <v>279</v>
      </c>
      <c r="D15" s="58" t="s">
        <v>142</v>
      </c>
      <c r="E15" s="58" t="s">
        <v>280</v>
      </c>
      <c r="F15" s="58" t="s">
        <v>284</v>
      </c>
      <c r="G15" s="60">
        <v>0</v>
      </c>
      <c r="H15" s="47" t="str">
        <f t="shared" si="0"/>
        <v/>
      </c>
      <c r="I15" s="47" t="str">
        <f t="shared" si="1"/>
        <v/>
      </c>
      <c r="J15" s="47">
        <v>1</v>
      </c>
      <c r="K15" s="61">
        <v>0</v>
      </c>
    </row>
    <row r="16" s="47" customFormat="1" ht="14.25" customHeight="1" spans="2:11">
      <c r="B16" s="57">
        <v>4</v>
      </c>
      <c r="C16" s="58" t="s">
        <v>271</v>
      </c>
      <c r="D16" s="58" t="s">
        <v>124</v>
      </c>
      <c r="E16" s="58" t="s">
        <v>285</v>
      </c>
      <c r="F16" s="58" t="s">
        <v>286</v>
      </c>
      <c r="G16" s="60">
        <v>0</v>
      </c>
      <c r="H16" s="47" t="str">
        <f t="shared" si="0"/>
        <v/>
      </c>
      <c r="I16" s="47" t="str">
        <f t="shared" si="1"/>
        <v/>
      </c>
      <c r="J16" s="47">
        <v>1</v>
      </c>
      <c r="K16" s="61">
        <v>0</v>
      </c>
    </row>
    <row r="17" s="47" customFormat="1" ht="14.25" customHeight="1" spans="2:11">
      <c r="B17" s="57">
        <v>149</v>
      </c>
      <c r="C17" s="58" t="s">
        <v>271</v>
      </c>
      <c r="D17" s="58" t="s">
        <v>124</v>
      </c>
      <c r="E17" s="58" t="s">
        <v>272</v>
      </c>
      <c r="F17" s="58" t="s">
        <v>287</v>
      </c>
      <c r="G17" s="60">
        <v>0</v>
      </c>
      <c r="H17" s="47" t="str">
        <f t="shared" si="0"/>
        <v/>
      </c>
      <c r="I17" s="47" t="str">
        <f t="shared" si="1"/>
        <v/>
      </c>
      <c r="J17" s="47">
        <v>1</v>
      </c>
      <c r="K17" s="61">
        <v>0</v>
      </c>
    </row>
    <row r="18" s="47" customFormat="1" ht="14.25" customHeight="1" spans="2:11">
      <c r="B18" s="57">
        <v>150</v>
      </c>
      <c r="C18" s="58" t="s">
        <v>271</v>
      </c>
      <c r="D18" s="58" t="s">
        <v>88</v>
      </c>
      <c r="E18" s="58" t="s">
        <v>288</v>
      </c>
      <c r="F18" s="58" t="s">
        <v>289</v>
      </c>
      <c r="G18" s="60">
        <v>0</v>
      </c>
      <c r="H18" s="47" t="str">
        <f t="shared" si="0"/>
        <v/>
      </c>
      <c r="I18" s="47" t="str">
        <f t="shared" si="1"/>
        <v/>
      </c>
      <c r="J18" s="47">
        <v>1</v>
      </c>
      <c r="K18" s="61">
        <v>0</v>
      </c>
    </row>
    <row r="19" s="47" customFormat="1" ht="14.25" customHeight="1" spans="2:11">
      <c r="B19" s="57">
        <v>151</v>
      </c>
      <c r="C19" s="58" t="s">
        <v>265</v>
      </c>
      <c r="D19" s="58" t="s">
        <v>98</v>
      </c>
      <c r="E19" s="58" t="s">
        <v>290</v>
      </c>
      <c r="F19" s="58" t="s">
        <v>291</v>
      </c>
      <c r="G19" s="60">
        <v>0</v>
      </c>
      <c r="H19" s="47" t="str">
        <f t="shared" si="0"/>
        <v/>
      </c>
      <c r="I19" s="47" t="str">
        <f t="shared" si="1"/>
        <v/>
      </c>
      <c r="J19" s="47">
        <v>1</v>
      </c>
      <c r="K19" s="61">
        <v>0</v>
      </c>
    </row>
    <row r="20" s="47" customFormat="1" ht="14.25" customHeight="1" spans="2:11">
      <c r="B20" s="57">
        <v>152</v>
      </c>
      <c r="C20" s="58" t="s">
        <v>271</v>
      </c>
      <c r="D20" s="58" t="s">
        <v>75</v>
      </c>
      <c r="E20" s="58" t="s">
        <v>292</v>
      </c>
      <c r="F20" s="58" t="s">
        <v>293</v>
      </c>
      <c r="G20" s="60">
        <v>0</v>
      </c>
      <c r="H20" s="47" t="str">
        <f t="shared" si="0"/>
        <v/>
      </c>
      <c r="I20" s="47" t="str">
        <f t="shared" si="1"/>
        <v/>
      </c>
      <c r="J20" s="47">
        <v>1</v>
      </c>
      <c r="K20" s="61">
        <v>0</v>
      </c>
    </row>
    <row r="21" s="47" customFormat="1" ht="14.25" customHeight="1" spans="2:11">
      <c r="B21" s="57">
        <v>5</v>
      </c>
      <c r="C21" s="58" t="s">
        <v>271</v>
      </c>
      <c r="D21" s="58" t="s">
        <v>128</v>
      </c>
      <c r="E21" s="58" t="s">
        <v>294</v>
      </c>
      <c r="F21" s="58" t="s">
        <v>295</v>
      </c>
      <c r="G21" s="60">
        <v>0</v>
      </c>
      <c r="H21" s="47" t="str">
        <f t="shared" si="0"/>
        <v/>
      </c>
      <c r="I21" s="47" t="str">
        <f t="shared" si="1"/>
        <v/>
      </c>
      <c r="J21" s="47">
        <v>1</v>
      </c>
      <c r="K21" s="61">
        <v>0</v>
      </c>
    </row>
    <row r="22" s="47" customFormat="1" ht="14.25" customHeight="1" spans="2:11">
      <c r="B22" s="57">
        <v>6</v>
      </c>
      <c r="C22" s="58" t="s">
        <v>296</v>
      </c>
      <c r="D22" s="58" t="s">
        <v>79</v>
      </c>
      <c r="E22" s="58" t="s">
        <v>297</v>
      </c>
      <c r="F22" s="58" t="s">
        <v>298</v>
      </c>
      <c r="G22" s="60">
        <v>0</v>
      </c>
      <c r="H22" s="47" t="str">
        <f t="shared" si="0"/>
        <v/>
      </c>
      <c r="I22" s="47" t="str">
        <f t="shared" si="1"/>
        <v/>
      </c>
      <c r="J22" s="47">
        <v>1</v>
      </c>
      <c r="K22" s="61">
        <v>0</v>
      </c>
    </row>
    <row r="23" s="47" customFormat="1" ht="14.25" customHeight="1" spans="2:11">
      <c r="B23" s="57">
        <v>7</v>
      </c>
      <c r="C23" s="58" t="s">
        <v>268</v>
      </c>
      <c r="D23" s="58" t="s">
        <v>150</v>
      </c>
      <c r="E23" s="58" t="s">
        <v>299</v>
      </c>
      <c r="F23" s="58" t="s">
        <v>300</v>
      </c>
      <c r="G23" s="60">
        <v>0</v>
      </c>
      <c r="H23" s="47" t="str">
        <f t="shared" si="0"/>
        <v/>
      </c>
      <c r="I23" s="47" t="str">
        <f t="shared" si="1"/>
        <v/>
      </c>
      <c r="J23" s="47">
        <v>1</v>
      </c>
      <c r="K23" s="61">
        <v>0</v>
      </c>
    </row>
    <row r="24" s="47" customFormat="1" ht="14.25" customHeight="1" spans="2:11">
      <c r="B24" s="57">
        <v>8</v>
      </c>
      <c r="C24" s="58" t="s">
        <v>268</v>
      </c>
      <c r="D24" s="58" t="s">
        <v>150</v>
      </c>
      <c r="E24" s="58" t="s">
        <v>301</v>
      </c>
      <c r="F24" s="58" t="s">
        <v>302</v>
      </c>
      <c r="G24" s="60">
        <v>0</v>
      </c>
      <c r="H24" s="47" t="str">
        <f t="shared" si="0"/>
        <v/>
      </c>
      <c r="I24" s="47" t="str">
        <f t="shared" si="1"/>
        <v/>
      </c>
      <c r="J24" s="47">
        <v>1</v>
      </c>
      <c r="K24" s="61">
        <v>0</v>
      </c>
    </row>
    <row r="25" s="47" customFormat="1" ht="14.25" customHeight="1" spans="2:11">
      <c r="B25" s="57">
        <v>9</v>
      </c>
      <c r="C25" s="58" t="s">
        <v>274</v>
      </c>
      <c r="D25" s="58" t="s">
        <v>137</v>
      </c>
      <c r="E25" s="58" t="s">
        <v>303</v>
      </c>
      <c r="F25" s="58" t="s">
        <v>304</v>
      </c>
      <c r="G25" s="60">
        <v>0</v>
      </c>
      <c r="H25" s="47" t="str">
        <f t="shared" si="0"/>
        <v/>
      </c>
      <c r="I25" s="47" t="str">
        <f t="shared" si="1"/>
        <v/>
      </c>
      <c r="J25" s="47">
        <v>1</v>
      </c>
      <c r="K25" s="61">
        <v>0</v>
      </c>
    </row>
    <row r="26" s="47" customFormat="1" ht="14.25" customHeight="1" spans="2:11">
      <c r="B26" s="57">
        <v>10</v>
      </c>
      <c r="C26" s="58" t="s">
        <v>279</v>
      </c>
      <c r="D26" s="58" t="s">
        <v>142</v>
      </c>
      <c r="E26" s="58" t="s">
        <v>282</v>
      </c>
      <c r="F26" s="58" t="s">
        <v>305</v>
      </c>
      <c r="G26" s="60">
        <v>0</v>
      </c>
      <c r="H26" s="47" t="str">
        <f t="shared" si="0"/>
        <v/>
      </c>
      <c r="I26" s="47" t="str">
        <f t="shared" si="1"/>
        <v/>
      </c>
      <c r="J26" s="47">
        <v>1</v>
      </c>
      <c r="K26" s="61">
        <v>0</v>
      </c>
    </row>
    <row r="27" s="47" customFormat="1" ht="14.25" customHeight="1" spans="2:11">
      <c r="B27" s="57">
        <v>153</v>
      </c>
      <c r="C27" s="58" t="s">
        <v>306</v>
      </c>
      <c r="D27" s="58" t="s">
        <v>127</v>
      </c>
      <c r="E27" s="58" t="s">
        <v>307</v>
      </c>
      <c r="F27" s="58" t="s">
        <v>308</v>
      </c>
      <c r="G27" s="60">
        <v>0</v>
      </c>
      <c r="H27" s="47" t="str">
        <f t="shared" si="0"/>
        <v/>
      </c>
      <c r="I27" s="47" t="str">
        <f t="shared" si="1"/>
        <v/>
      </c>
      <c r="J27" s="47">
        <v>1</v>
      </c>
      <c r="K27" s="61">
        <v>0</v>
      </c>
    </row>
    <row r="28" s="47" customFormat="1" ht="14.25" customHeight="1" spans="2:11">
      <c r="B28" s="57">
        <v>11</v>
      </c>
      <c r="C28" s="58" t="s">
        <v>279</v>
      </c>
      <c r="D28" s="58" t="s">
        <v>123</v>
      </c>
      <c r="E28" s="58" t="s">
        <v>309</v>
      </c>
      <c r="F28" s="58" t="s">
        <v>123</v>
      </c>
      <c r="G28" s="60">
        <v>0</v>
      </c>
      <c r="H28" s="47" t="str">
        <f t="shared" si="0"/>
        <v/>
      </c>
      <c r="I28" s="47" t="str">
        <f t="shared" si="1"/>
        <v/>
      </c>
      <c r="J28" s="47">
        <v>1</v>
      </c>
      <c r="K28" s="61">
        <v>0</v>
      </c>
    </row>
    <row r="29" s="47" customFormat="1" ht="14.25" customHeight="1" spans="2:11">
      <c r="B29" s="57">
        <v>154</v>
      </c>
      <c r="C29" s="58" t="s">
        <v>271</v>
      </c>
      <c r="D29" s="58" t="s">
        <v>128</v>
      </c>
      <c r="E29" s="58" t="s">
        <v>310</v>
      </c>
      <c r="F29" s="58" t="s">
        <v>311</v>
      </c>
      <c r="G29" s="60">
        <v>0</v>
      </c>
      <c r="H29" s="47" t="str">
        <f t="shared" si="0"/>
        <v/>
      </c>
      <c r="I29" s="47" t="str">
        <f t="shared" si="1"/>
        <v/>
      </c>
      <c r="J29" s="47">
        <v>1</v>
      </c>
      <c r="K29" s="61">
        <v>0</v>
      </c>
    </row>
    <row r="30" s="47" customFormat="1" ht="14.25" customHeight="1" spans="2:11">
      <c r="B30" s="57">
        <v>155</v>
      </c>
      <c r="C30" s="58" t="s">
        <v>271</v>
      </c>
      <c r="D30" s="58" t="s">
        <v>94</v>
      </c>
      <c r="E30" s="58" t="s">
        <v>312</v>
      </c>
      <c r="F30" s="58" t="s">
        <v>313</v>
      </c>
      <c r="G30" s="60">
        <v>0</v>
      </c>
      <c r="H30" s="47" t="str">
        <f t="shared" si="0"/>
        <v/>
      </c>
      <c r="I30" s="47" t="str">
        <f t="shared" si="1"/>
        <v/>
      </c>
      <c r="J30" s="47">
        <v>1</v>
      </c>
      <c r="K30" s="61">
        <v>0</v>
      </c>
    </row>
    <row r="31" s="47" customFormat="1" ht="14.25" customHeight="1" spans="2:11">
      <c r="B31" s="57">
        <v>12</v>
      </c>
      <c r="C31" s="58" t="s">
        <v>265</v>
      </c>
      <c r="D31" s="58" t="s">
        <v>140</v>
      </c>
      <c r="E31" s="58" t="s">
        <v>314</v>
      </c>
      <c r="F31" s="58" t="s">
        <v>315</v>
      </c>
      <c r="G31" s="60">
        <v>0</v>
      </c>
      <c r="H31" s="47" t="str">
        <f t="shared" si="0"/>
        <v/>
      </c>
      <c r="I31" s="47" t="str">
        <f t="shared" si="1"/>
        <v/>
      </c>
      <c r="J31" s="47">
        <v>1</v>
      </c>
      <c r="K31" s="61">
        <v>0</v>
      </c>
    </row>
    <row r="32" s="47" customFormat="1" ht="14.25" customHeight="1" spans="2:11">
      <c r="B32" s="57">
        <v>13</v>
      </c>
      <c r="C32" s="58" t="s">
        <v>274</v>
      </c>
      <c r="D32" s="58" t="s">
        <v>101</v>
      </c>
      <c r="E32" s="58" t="s">
        <v>316</v>
      </c>
      <c r="F32" s="58" t="s">
        <v>317</v>
      </c>
      <c r="G32" s="60">
        <v>0</v>
      </c>
      <c r="H32" s="47" t="str">
        <f t="shared" si="0"/>
        <v/>
      </c>
      <c r="I32" s="47" t="str">
        <f t="shared" si="1"/>
        <v/>
      </c>
      <c r="J32" s="47">
        <v>1</v>
      </c>
      <c r="K32" s="61">
        <v>0</v>
      </c>
    </row>
    <row r="33" s="47" customFormat="1" ht="14.25" customHeight="1" spans="2:11">
      <c r="B33" s="57">
        <v>14</v>
      </c>
      <c r="C33" s="58" t="s">
        <v>279</v>
      </c>
      <c r="D33" s="58" t="s">
        <v>142</v>
      </c>
      <c r="E33" s="58" t="s">
        <v>318</v>
      </c>
      <c r="F33" s="58" t="s">
        <v>319</v>
      </c>
      <c r="G33" s="60">
        <v>0</v>
      </c>
      <c r="H33" s="47" t="str">
        <f t="shared" si="0"/>
        <v/>
      </c>
      <c r="I33" s="47" t="str">
        <f t="shared" si="1"/>
        <v/>
      </c>
      <c r="J33" s="47">
        <v>1</v>
      </c>
      <c r="K33" s="61">
        <v>0</v>
      </c>
    </row>
    <row r="34" s="47" customFormat="1" ht="14.25" customHeight="1" spans="2:11">
      <c r="B34" s="57">
        <v>15</v>
      </c>
      <c r="C34" s="58" t="s">
        <v>271</v>
      </c>
      <c r="D34" s="58" t="s">
        <v>124</v>
      </c>
      <c r="E34" s="58" t="s">
        <v>272</v>
      </c>
      <c r="F34" s="58" t="s">
        <v>320</v>
      </c>
      <c r="G34" s="60">
        <v>0</v>
      </c>
      <c r="H34" s="47" t="str">
        <f t="shared" si="0"/>
        <v/>
      </c>
      <c r="I34" s="47" t="str">
        <f t="shared" si="1"/>
        <v/>
      </c>
      <c r="J34" s="47">
        <v>1</v>
      </c>
      <c r="K34" s="61">
        <v>0</v>
      </c>
    </row>
    <row r="35" s="47" customFormat="1" ht="14.25" customHeight="1" spans="2:11">
      <c r="B35" s="57">
        <v>16</v>
      </c>
      <c r="C35" s="58" t="s">
        <v>268</v>
      </c>
      <c r="D35" s="58" t="s">
        <v>194</v>
      </c>
      <c r="E35" s="58" t="s">
        <v>321</v>
      </c>
      <c r="F35" s="58" t="s">
        <v>322</v>
      </c>
      <c r="G35" s="60">
        <v>0</v>
      </c>
      <c r="H35" s="47" t="str">
        <f t="shared" si="0"/>
        <v/>
      </c>
      <c r="I35" s="47" t="str">
        <f t="shared" si="1"/>
        <v/>
      </c>
      <c r="J35" s="47">
        <v>1</v>
      </c>
      <c r="K35" s="61">
        <v>0</v>
      </c>
    </row>
    <row r="36" s="47" customFormat="1" ht="14.25" customHeight="1" spans="2:11">
      <c r="B36" s="57">
        <v>17</v>
      </c>
      <c r="C36" s="58" t="s">
        <v>279</v>
      </c>
      <c r="D36" s="58" t="s">
        <v>146</v>
      </c>
      <c r="E36" s="58" t="s">
        <v>323</v>
      </c>
      <c r="F36" s="58" t="s">
        <v>324</v>
      </c>
      <c r="G36" s="60">
        <v>0</v>
      </c>
      <c r="H36" s="47" t="str">
        <f t="shared" si="0"/>
        <v/>
      </c>
      <c r="I36" s="47" t="str">
        <f t="shared" si="1"/>
        <v/>
      </c>
      <c r="J36" s="47">
        <v>1</v>
      </c>
      <c r="K36" s="61">
        <v>0</v>
      </c>
    </row>
    <row r="37" s="47" customFormat="1" ht="14.25" customHeight="1" spans="2:11">
      <c r="B37" s="57">
        <v>156</v>
      </c>
      <c r="C37" s="58" t="s">
        <v>274</v>
      </c>
      <c r="D37" s="58" t="s">
        <v>137</v>
      </c>
      <c r="E37" s="58" t="s">
        <v>277</v>
      </c>
      <c r="F37" s="58" t="s">
        <v>325</v>
      </c>
      <c r="G37" s="60">
        <v>0</v>
      </c>
      <c r="H37" s="47" t="str">
        <f t="shared" si="0"/>
        <v/>
      </c>
      <c r="I37" s="47" t="str">
        <f t="shared" si="1"/>
        <v/>
      </c>
      <c r="J37" s="47">
        <v>1</v>
      </c>
      <c r="K37" s="61">
        <v>0</v>
      </c>
    </row>
    <row r="38" s="47" customFormat="1" ht="14.25" customHeight="1" spans="2:11">
      <c r="B38" s="57">
        <v>157</v>
      </c>
      <c r="C38" s="58" t="s">
        <v>274</v>
      </c>
      <c r="D38" s="58" t="s">
        <v>137</v>
      </c>
      <c r="E38" s="58" t="s">
        <v>277</v>
      </c>
      <c r="F38" s="58" t="s">
        <v>326</v>
      </c>
      <c r="G38" s="60">
        <v>0</v>
      </c>
      <c r="H38" s="47" t="str">
        <f t="shared" si="0"/>
        <v/>
      </c>
      <c r="I38" s="47" t="str">
        <f t="shared" si="1"/>
        <v/>
      </c>
      <c r="J38" s="47">
        <v>1</v>
      </c>
      <c r="K38" s="61">
        <v>0</v>
      </c>
    </row>
    <row r="39" s="47" customFormat="1" ht="14.25" customHeight="1" spans="2:11">
      <c r="B39" s="57">
        <v>18</v>
      </c>
      <c r="C39" s="58" t="s">
        <v>265</v>
      </c>
      <c r="D39" s="58" t="s">
        <v>118</v>
      </c>
      <c r="E39" s="58" t="s">
        <v>327</v>
      </c>
      <c r="F39" s="58" t="s">
        <v>313</v>
      </c>
      <c r="G39" s="60">
        <v>0</v>
      </c>
      <c r="H39" s="47" t="str">
        <f t="shared" si="0"/>
        <v/>
      </c>
      <c r="I39" s="47" t="str">
        <f t="shared" si="1"/>
        <v/>
      </c>
      <c r="J39" s="47">
        <v>1</v>
      </c>
      <c r="K39" s="61">
        <v>0</v>
      </c>
    </row>
    <row r="40" s="47" customFormat="1" ht="14.25" customHeight="1" spans="2:11">
      <c r="B40" s="57">
        <v>19</v>
      </c>
      <c r="C40" s="58" t="s">
        <v>265</v>
      </c>
      <c r="D40" s="58" t="s">
        <v>141</v>
      </c>
      <c r="E40" s="58" t="s">
        <v>328</v>
      </c>
      <c r="F40" s="58" t="s">
        <v>329</v>
      </c>
      <c r="G40" s="60">
        <v>0</v>
      </c>
      <c r="H40" s="47" t="str">
        <f t="shared" si="0"/>
        <v/>
      </c>
      <c r="I40" s="47" t="str">
        <f t="shared" si="1"/>
        <v/>
      </c>
      <c r="J40" s="47">
        <v>1</v>
      </c>
      <c r="K40" s="61">
        <v>0</v>
      </c>
    </row>
    <row r="41" s="47" customFormat="1" ht="14.25" customHeight="1" spans="2:11">
      <c r="B41" s="57">
        <v>20</v>
      </c>
      <c r="C41" s="58" t="s">
        <v>279</v>
      </c>
      <c r="D41" s="58" t="s">
        <v>142</v>
      </c>
      <c r="E41" s="58" t="s">
        <v>318</v>
      </c>
      <c r="F41" s="58" t="s">
        <v>330</v>
      </c>
      <c r="G41" s="60">
        <v>0</v>
      </c>
      <c r="H41" s="47" t="str">
        <f t="shared" si="0"/>
        <v/>
      </c>
      <c r="I41" s="47" t="str">
        <f t="shared" si="1"/>
        <v/>
      </c>
      <c r="J41" s="47">
        <v>1</v>
      </c>
      <c r="K41" s="61">
        <v>0</v>
      </c>
    </row>
    <row r="42" s="47" customFormat="1" ht="14.25" customHeight="1" spans="2:11">
      <c r="B42" s="57">
        <v>158</v>
      </c>
      <c r="C42" s="58" t="s">
        <v>274</v>
      </c>
      <c r="D42" s="58" t="s">
        <v>101</v>
      </c>
      <c r="E42" s="58" t="s">
        <v>331</v>
      </c>
      <c r="F42" s="58" t="s">
        <v>332</v>
      </c>
      <c r="G42" s="60">
        <v>0</v>
      </c>
      <c r="H42" s="47" t="str">
        <f t="shared" si="0"/>
        <v/>
      </c>
      <c r="I42" s="47" t="str">
        <f t="shared" si="1"/>
        <v/>
      </c>
      <c r="J42" s="47">
        <v>1</v>
      </c>
      <c r="K42" s="61">
        <v>0</v>
      </c>
    </row>
    <row r="43" s="47" customFormat="1" ht="14.25" customHeight="1" spans="2:11">
      <c r="B43" s="57">
        <v>159</v>
      </c>
      <c r="C43" s="58" t="s">
        <v>265</v>
      </c>
      <c r="D43" s="58" t="s">
        <v>96</v>
      </c>
      <c r="E43" s="58" t="s">
        <v>314</v>
      </c>
      <c r="F43" s="58" t="s">
        <v>313</v>
      </c>
      <c r="G43" s="60">
        <v>0</v>
      </c>
      <c r="H43" s="47" t="str">
        <f t="shared" si="0"/>
        <v/>
      </c>
      <c r="I43" s="47" t="str">
        <f t="shared" si="1"/>
        <v/>
      </c>
      <c r="J43" s="47">
        <v>1</v>
      </c>
      <c r="K43" s="61">
        <v>0</v>
      </c>
    </row>
    <row r="44" s="47" customFormat="1" ht="14.25" customHeight="1" spans="2:11">
      <c r="B44" s="57">
        <v>160</v>
      </c>
      <c r="C44" s="58" t="s">
        <v>274</v>
      </c>
      <c r="D44" s="58" t="s">
        <v>73</v>
      </c>
      <c r="E44" s="58" t="s">
        <v>333</v>
      </c>
      <c r="F44" s="58" t="s">
        <v>311</v>
      </c>
      <c r="G44" s="60">
        <v>0</v>
      </c>
      <c r="H44" s="47" t="str">
        <f t="shared" si="0"/>
        <v/>
      </c>
      <c r="I44" s="47" t="str">
        <f t="shared" si="1"/>
        <v/>
      </c>
      <c r="J44" s="47">
        <v>1</v>
      </c>
      <c r="K44" s="61">
        <v>0</v>
      </c>
    </row>
    <row r="45" s="47" customFormat="1" ht="14.25" customHeight="1" spans="2:11">
      <c r="B45" s="57">
        <v>252</v>
      </c>
      <c r="C45" s="58" t="s">
        <v>279</v>
      </c>
      <c r="D45" s="58" t="s">
        <v>146</v>
      </c>
      <c r="E45" s="58" t="s">
        <v>334</v>
      </c>
      <c r="F45" s="58" t="s">
        <v>335</v>
      </c>
      <c r="G45" s="60">
        <v>0</v>
      </c>
      <c r="H45" s="47" t="str">
        <f t="shared" si="0"/>
        <v/>
      </c>
      <c r="I45" s="47" t="str">
        <f t="shared" si="1"/>
        <v/>
      </c>
      <c r="J45" s="47">
        <v>1</v>
      </c>
      <c r="K45" s="61">
        <v>0</v>
      </c>
    </row>
    <row r="46" s="47" customFormat="1" ht="14.25" customHeight="1" spans="2:11">
      <c r="B46" s="57">
        <v>21</v>
      </c>
      <c r="C46" s="58" t="s">
        <v>306</v>
      </c>
      <c r="D46" s="58" t="s">
        <v>71</v>
      </c>
      <c r="E46" s="58" t="s">
        <v>336</v>
      </c>
      <c r="F46" s="58" t="s">
        <v>313</v>
      </c>
      <c r="G46" s="60">
        <v>0</v>
      </c>
      <c r="H46" s="47" t="str">
        <f t="shared" si="0"/>
        <v/>
      </c>
      <c r="I46" s="47" t="str">
        <f t="shared" si="1"/>
        <v/>
      </c>
      <c r="J46" s="47">
        <v>1</v>
      </c>
      <c r="K46" s="61">
        <v>0</v>
      </c>
    </row>
    <row r="47" s="47" customFormat="1" ht="14.25" customHeight="1" spans="2:11">
      <c r="B47" s="57">
        <v>22</v>
      </c>
      <c r="C47" s="58" t="s">
        <v>274</v>
      </c>
      <c r="D47" s="58" t="s">
        <v>89</v>
      </c>
      <c r="E47" s="58" t="s">
        <v>337</v>
      </c>
      <c r="F47" s="58" t="s">
        <v>311</v>
      </c>
      <c r="G47" s="60">
        <v>0</v>
      </c>
      <c r="H47" s="47" t="str">
        <f t="shared" si="0"/>
        <v/>
      </c>
      <c r="I47" s="47" t="str">
        <f t="shared" si="1"/>
        <v/>
      </c>
      <c r="J47" s="47">
        <v>1</v>
      </c>
      <c r="K47" s="61">
        <v>0</v>
      </c>
    </row>
    <row r="48" s="47" customFormat="1" ht="14.25" customHeight="1" spans="2:11">
      <c r="B48" s="57">
        <v>161</v>
      </c>
      <c r="C48" s="58" t="s">
        <v>274</v>
      </c>
      <c r="D48" s="58" t="s">
        <v>77</v>
      </c>
      <c r="E48" s="58" t="s">
        <v>338</v>
      </c>
      <c r="F48" s="58" t="s">
        <v>339</v>
      </c>
      <c r="G48" s="60">
        <v>0</v>
      </c>
      <c r="H48" s="47" t="str">
        <f t="shared" si="0"/>
        <v/>
      </c>
      <c r="I48" s="47" t="str">
        <f t="shared" si="1"/>
        <v/>
      </c>
      <c r="J48" s="47">
        <v>1</v>
      </c>
      <c r="K48" s="61">
        <v>0</v>
      </c>
    </row>
    <row r="49" s="47" customFormat="1" ht="14.25" customHeight="1" spans="2:11">
      <c r="B49" s="57">
        <v>162</v>
      </c>
      <c r="C49" s="58" t="s">
        <v>274</v>
      </c>
      <c r="D49" s="58" t="s">
        <v>101</v>
      </c>
      <c r="E49" s="58" t="s">
        <v>340</v>
      </c>
      <c r="F49" s="58" t="s">
        <v>341</v>
      </c>
      <c r="G49" s="60">
        <v>0</v>
      </c>
      <c r="H49" s="47" t="str">
        <f t="shared" si="0"/>
        <v/>
      </c>
      <c r="I49" s="47" t="str">
        <f t="shared" si="1"/>
        <v/>
      </c>
      <c r="J49" s="47">
        <v>1</v>
      </c>
      <c r="K49" s="61">
        <v>0</v>
      </c>
    </row>
    <row r="50" s="47" customFormat="1" ht="14.25" customHeight="1" spans="2:11">
      <c r="B50" s="57">
        <v>163</v>
      </c>
      <c r="C50" s="58" t="s">
        <v>306</v>
      </c>
      <c r="D50" s="58" t="s">
        <v>72</v>
      </c>
      <c r="E50" s="58" t="s">
        <v>342</v>
      </c>
      <c r="F50" s="58" t="s">
        <v>313</v>
      </c>
      <c r="G50" s="60">
        <v>0</v>
      </c>
      <c r="H50" s="47" t="str">
        <f t="shared" si="0"/>
        <v/>
      </c>
      <c r="I50" s="47" t="str">
        <f t="shared" si="1"/>
        <v/>
      </c>
      <c r="J50" s="47">
        <v>1</v>
      </c>
      <c r="K50" s="61">
        <v>0</v>
      </c>
    </row>
    <row r="51" s="47" customFormat="1" ht="14.25" customHeight="1" spans="2:11">
      <c r="B51" s="57">
        <v>164</v>
      </c>
      <c r="C51" s="58" t="s">
        <v>271</v>
      </c>
      <c r="D51" s="58" t="s">
        <v>88</v>
      </c>
      <c r="E51" s="58" t="s">
        <v>343</v>
      </c>
      <c r="F51" s="58" t="s">
        <v>344</v>
      </c>
      <c r="G51" s="60">
        <v>0</v>
      </c>
      <c r="H51" s="47" t="str">
        <f t="shared" si="0"/>
        <v/>
      </c>
      <c r="I51" s="47" t="str">
        <f t="shared" si="1"/>
        <v/>
      </c>
      <c r="J51" s="47">
        <v>1</v>
      </c>
      <c r="K51" s="61">
        <v>0</v>
      </c>
    </row>
    <row r="52" s="47" customFormat="1" ht="14.25" customHeight="1" spans="2:11">
      <c r="B52" s="57">
        <v>23</v>
      </c>
      <c r="C52" s="58" t="s">
        <v>265</v>
      </c>
      <c r="D52" s="58" t="s">
        <v>140</v>
      </c>
      <c r="E52" s="58" t="s">
        <v>345</v>
      </c>
      <c r="F52" s="58" t="s">
        <v>346</v>
      </c>
      <c r="G52" s="60">
        <v>0</v>
      </c>
      <c r="H52" s="47" t="str">
        <f t="shared" si="0"/>
        <v/>
      </c>
      <c r="I52" s="47" t="str">
        <f t="shared" si="1"/>
        <v/>
      </c>
      <c r="J52" s="47">
        <v>1</v>
      </c>
      <c r="K52" s="61">
        <v>0</v>
      </c>
    </row>
    <row r="53" s="47" customFormat="1" ht="14.25" customHeight="1" spans="2:11">
      <c r="B53" s="57">
        <v>24</v>
      </c>
      <c r="C53" s="58" t="s">
        <v>279</v>
      </c>
      <c r="D53" s="58" t="s">
        <v>116</v>
      </c>
      <c r="E53" s="58" t="s">
        <v>347</v>
      </c>
      <c r="F53" s="58" t="s">
        <v>348</v>
      </c>
      <c r="G53" s="60">
        <v>0</v>
      </c>
      <c r="H53" s="47" t="str">
        <f t="shared" si="0"/>
        <v/>
      </c>
      <c r="I53" s="47" t="str">
        <f t="shared" si="1"/>
        <v/>
      </c>
      <c r="J53" s="47">
        <v>1</v>
      </c>
      <c r="K53" s="61">
        <v>0</v>
      </c>
    </row>
    <row r="54" s="47" customFormat="1" ht="14.25" customHeight="1" spans="2:11">
      <c r="B54" s="57">
        <v>25</v>
      </c>
      <c r="C54" s="58" t="s">
        <v>296</v>
      </c>
      <c r="D54" s="58" t="s">
        <v>114</v>
      </c>
      <c r="E54" s="58" t="s">
        <v>349</v>
      </c>
      <c r="F54" s="58" t="s">
        <v>313</v>
      </c>
      <c r="G54" s="60">
        <v>0</v>
      </c>
      <c r="H54" s="47" t="str">
        <f t="shared" si="0"/>
        <v/>
      </c>
      <c r="I54" s="47" t="str">
        <f t="shared" si="1"/>
        <v/>
      </c>
      <c r="J54" s="47">
        <v>1</v>
      </c>
      <c r="K54" s="61">
        <v>0</v>
      </c>
    </row>
    <row r="55" s="47" customFormat="1" ht="14.25" customHeight="1" spans="2:11">
      <c r="B55" s="57">
        <v>26</v>
      </c>
      <c r="C55" s="58" t="s">
        <v>274</v>
      </c>
      <c r="D55" s="58" t="s">
        <v>77</v>
      </c>
      <c r="E55" s="58" t="s">
        <v>350</v>
      </c>
      <c r="F55" s="58" t="s">
        <v>351</v>
      </c>
      <c r="G55" s="60">
        <v>0</v>
      </c>
      <c r="H55" s="47" t="str">
        <f t="shared" si="0"/>
        <v/>
      </c>
      <c r="I55" s="47" t="str">
        <f t="shared" si="1"/>
        <v/>
      </c>
      <c r="J55" s="47">
        <v>1</v>
      </c>
      <c r="K55" s="61">
        <v>0</v>
      </c>
    </row>
    <row r="56" s="47" customFormat="1" ht="14.25" customHeight="1" spans="2:11">
      <c r="B56" s="57">
        <v>165</v>
      </c>
      <c r="C56" s="58" t="s">
        <v>265</v>
      </c>
      <c r="D56" s="58" t="s">
        <v>98</v>
      </c>
      <c r="E56" s="58" t="s">
        <v>352</v>
      </c>
      <c r="F56" s="58" t="s">
        <v>353</v>
      </c>
      <c r="G56" s="60">
        <v>0</v>
      </c>
      <c r="H56" s="47" t="str">
        <f t="shared" si="0"/>
        <v/>
      </c>
      <c r="I56" s="47" t="str">
        <f t="shared" si="1"/>
        <v/>
      </c>
      <c r="J56" s="47">
        <v>1</v>
      </c>
      <c r="K56" s="61">
        <v>0</v>
      </c>
    </row>
    <row r="57" s="47" customFormat="1" ht="14.25" customHeight="1" spans="2:11">
      <c r="B57" s="57">
        <v>27</v>
      </c>
      <c r="C57" s="58" t="s">
        <v>265</v>
      </c>
      <c r="D57" s="58" t="s">
        <v>121</v>
      </c>
      <c r="E57" s="58" t="s">
        <v>354</v>
      </c>
      <c r="F57" s="58" t="s">
        <v>295</v>
      </c>
      <c r="G57" s="60">
        <v>0</v>
      </c>
      <c r="H57" s="47" t="str">
        <f t="shared" si="0"/>
        <v/>
      </c>
      <c r="I57" s="47" t="str">
        <f t="shared" si="1"/>
        <v/>
      </c>
      <c r="J57" s="47">
        <v>1</v>
      </c>
      <c r="K57" s="61">
        <v>0</v>
      </c>
    </row>
    <row r="58" s="47" customFormat="1" ht="14.25" customHeight="1" spans="2:11">
      <c r="B58" s="57">
        <v>166</v>
      </c>
      <c r="C58" s="58" t="s">
        <v>265</v>
      </c>
      <c r="D58" s="58" t="s">
        <v>121</v>
      </c>
      <c r="E58" s="58" t="s">
        <v>314</v>
      </c>
      <c r="F58" s="58" t="s">
        <v>311</v>
      </c>
      <c r="G58" s="60">
        <v>0</v>
      </c>
      <c r="H58" s="47" t="str">
        <f t="shared" si="0"/>
        <v/>
      </c>
      <c r="I58" s="47" t="str">
        <f t="shared" si="1"/>
        <v/>
      </c>
      <c r="J58" s="47">
        <v>1</v>
      </c>
      <c r="K58" s="61">
        <v>0</v>
      </c>
    </row>
    <row r="59" s="47" customFormat="1" ht="14.25" customHeight="1" spans="2:11">
      <c r="B59" s="57">
        <v>28</v>
      </c>
      <c r="C59" s="58" t="s">
        <v>274</v>
      </c>
      <c r="D59" s="58" t="s">
        <v>113</v>
      </c>
      <c r="E59" s="58" t="s">
        <v>355</v>
      </c>
      <c r="F59" s="58" t="s">
        <v>356</v>
      </c>
      <c r="G59" s="60">
        <v>0</v>
      </c>
      <c r="H59" s="47" t="str">
        <f t="shared" si="0"/>
        <v/>
      </c>
      <c r="I59" s="47" t="str">
        <f t="shared" si="1"/>
        <v/>
      </c>
      <c r="J59" s="47">
        <v>1</v>
      </c>
      <c r="K59" s="61">
        <v>0</v>
      </c>
    </row>
    <row r="60" s="47" customFormat="1" ht="14.25" customHeight="1" spans="2:11">
      <c r="B60" s="57">
        <v>29</v>
      </c>
      <c r="C60" s="58" t="s">
        <v>265</v>
      </c>
      <c r="D60" s="58" t="s">
        <v>141</v>
      </c>
      <c r="E60" s="58" t="s">
        <v>357</v>
      </c>
      <c r="F60" s="58" t="s">
        <v>358</v>
      </c>
      <c r="G60" s="60">
        <v>0</v>
      </c>
      <c r="H60" s="47" t="str">
        <f t="shared" si="0"/>
        <v/>
      </c>
      <c r="I60" s="47" t="str">
        <f t="shared" si="1"/>
        <v/>
      </c>
      <c r="J60" s="47">
        <v>1</v>
      </c>
      <c r="K60" s="61">
        <v>0</v>
      </c>
    </row>
    <row r="61" s="47" customFormat="1" ht="14.25" customHeight="1" spans="2:11">
      <c r="B61" s="57">
        <v>30</v>
      </c>
      <c r="C61" s="58" t="s">
        <v>274</v>
      </c>
      <c r="D61" s="58" t="s">
        <v>69</v>
      </c>
      <c r="E61" s="58" t="s">
        <v>359</v>
      </c>
      <c r="F61" s="58" t="s">
        <v>360</v>
      </c>
      <c r="G61" s="60">
        <v>0</v>
      </c>
      <c r="H61" s="47" t="str">
        <f t="shared" si="0"/>
        <v/>
      </c>
      <c r="I61" s="47" t="str">
        <f t="shared" si="1"/>
        <v/>
      </c>
      <c r="J61" s="47">
        <v>1</v>
      </c>
      <c r="K61" s="61">
        <v>0</v>
      </c>
    </row>
    <row r="62" s="47" customFormat="1" ht="14.25" customHeight="1" spans="2:11">
      <c r="B62" s="57">
        <v>31</v>
      </c>
      <c r="C62" s="58" t="s">
        <v>271</v>
      </c>
      <c r="D62" s="58" t="s">
        <v>93</v>
      </c>
      <c r="E62" s="58" t="s">
        <v>361</v>
      </c>
      <c r="F62" s="58" t="s">
        <v>362</v>
      </c>
      <c r="G62" s="60">
        <v>0</v>
      </c>
      <c r="H62" s="47" t="str">
        <f t="shared" si="0"/>
        <v/>
      </c>
      <c r="I62" s="47" t="str">
        <f t="shared" si="1"/>
        <v/>
      </c>
      <c r="J62" s="47">
        <v>1</v>
      </c>
      <c r="K62" s="61">
        <v>0</v>
      </c>
    </row>
    <row r="63" s="47" customFormat="1" ht="14.25" customHeight="1" spans="2:11">
      <c r="B63" s="57">
        <v>32</v>
      </c>
      <c r="C63" s="58" t="s">
        <v>271</v>
      </c>
      <c r="D63" s="58" t="s">
        <v>93</v>
      </c>
      <c r="E63" s="58" t="s">
        <v>361</v>
      </c>
      <c r="F63" s="58" t="s">
        <v>363</v>
      </c>
      <c r="G63" s="60">
        <v>0</v>
      </c>
      <c r="H63" s="47" t="str">
        <f t="shared" si="0"/>
        <v/>
      </c>
      <c r="I63" s="47" t="str">
        <f t="shared" si="1"/>
        <v/>
      </c>
      <c r="J63" s="47">
        <v>1</v>
      </c>
      <c r="K63" s="61">
        <v>0</v>
      </c>
    </row>
    <row r="64" s="47" customFormat="1" ht="14.25" customHeight="1" spans="2:11">
      <c r="B64" s="57">
        <v>33</v>
      </c>
      <c r="C64" s="58" t="s">
        <v>265</v>
      </c>
      <c r="D64" s="58" t="s">
        <v>140</v>
      </c>
      <c r="E64" s="58" t="s">
        <v>314</v>
      </c>
      <c r="F64" s="58" t="s">
        <v>364</v>
      </c>
      <c r="G64" s="60">
        <v>0</v>
      </c>
      <c r="H64" s="47" t="str">
        <f t="shared" si="0"/>
        <v/>
      </c>
      <c r="I64" s="47" t="str">
        <f t="shared" si="1"/>
        <v/>
      </c>
      <c r="J64" s="47">
        <v>1</v>
      </c>
      <c r="K64" s="61">
        <v>0</v>
      </c>
    </row>
    <row r="65" s="47" customFormat="1" ht="14.25" customHeight="1" spans="2:11">
      <c r="B65" s="57">
        <v>34</v>
      </c>
      <c r="C65" s="58" t="s">
        <v>265</v>
      </c>
      <c r="D65" s="58" t="s">
        <v>140</v>
      </c>
      <c r="E65" s="58" t="s">
        <v>314</v>
      </c>
      <c r="F65" s="58" t="s">
        <v>365</v>
      </c>
      <c r="G65" s="60">
        <v>0</v>
      </c>
      <c r="H65" s="47" t="str">
        <f t="shared" si="0"/>
        <v/>
      </c>
      <c r="I65" s="47" t="str">
        <f t="shared" si="1"/>
        <v/>
      </c>
      <c r="J65" s="47">
        <v>1</v>
      </c>
      <c r="K65" s="61">
        <v>0</v>
      </c>
    </row>
    <row r="66" s="47" customFormat="1" ht="14.25" customHeight="1" spans="2:11">
      <c r="B66" s="57">
        <v>35</v>
      </c>
      <c r="C66" s="58" t="s">
        <v>265</v>
      </c>
      <c r="D66" s="58" t="s">
        <v>140</v>
      </c>
      <c r="E66" s="58" t="s">
        <v>366</v>
      </c>
      <c r="F66" s="58" t="s">
        <v>367</v>
      </c>
      <c r="G66" s="60">
        <v>0</v>
      </c>
      <c r="H66" s="47" t="str">
        <f t="shared" si="0"/>
        <v/>
      </c>
      <c r="I66" s="47" t="str">
        <f t="shared" si="1"/>
        <v/>
      </c>
      <c r="J66" s="47">
        <v>1</v>
      </c>
      <c r="K66" s="61">
        <v>0</v>
      </c>
    </row>
    <row r="67" s="47" customFormat="1" ht="14.25" customHeight="1" spans="2:11">
      <c r="B67" s="57">
        <v>36</v>
      </c>
      <c r="C67" s="58" t="s">
        <v>268</v>
      </c>
      <c r="D67" s="58" t="s">
        <v>130</v>
      </c>
      <c r="E67" s="58" t="s">
        <v>368</v>
      </c>
      <c r="F67" s="58" t="s">
        <v>369</v>
      </c>
      <c r="G67" s="60">
        <v>0</v>
      </c>
      <c r="H67" s="47" t="str">
        <f t="shared" si="0"/>
        <v/>
      </c>
      <c r="I67" s="47" t="str">
        <f t="shared" si="1"/>
        <v/>
      </c>
      <c r="J67" s="47">
        <v>1</v>
      </c>
      <c r="K67" s="61">
        <v>0</v>
      </c>
    </row>
    <row r="68" s="47" customFormat="1" ht="14.25" customHeight="1" spans="2:11">
      <c r="B68" s="57">
        <v>37</v>
      </c>
      <c r="C68" s="58" t="s">
        <v>296</v>
      </c>
      <c r="D68" s="58" t="s">
        <v>79</v>
      </c>
      <c r="E68" s="58" t="s">
        <v>370</v>
      </c>
      <c r="F68" s="58" t="s">
        <v>371</v>
      </c>
      <c r="G68" s="60">
        <v>0</v>
      </c>
      <c r="H68" s="47" t="str">
        <f t="shared" si="0"/>
        <v/>
      </c>
      <c r="I68" s="47" t="str">
        <f t="shared" si="1"/>
        <v/>
      </c>
      <c r="J68" s="47">
        <v>1</v>
      </c>
      <c r="K68" s="61">
        <v>0</v>
      </c>
    </row>
    <row r="69" s="47" customFormat="1" ht="14.25" customHeight="1" spans="2:11">
      <c r="B69" s="57">
        <v>167</v>
      </c>
      <c r="C69" s="58" t="s">
        <v>268</v>
      </c>
      <c r="D69" s="58" t="s">
        <v>149</v>
      </c>
      <c r="E69" s="58" t="s">
        <v>372</v>
      </c>
      <c r="F69" s="58" t="s">
        <v>373</v>
      </c>
      <c r="G69" s="60">
        <v>0</v>
      </c>
      <c r="H69" s="47" t="str">
        <f t="shared" si="0"/>
        <v/>
      </c>
      <c r="I69" s="47" t="str">
        <f t="shared" si="1"/>
        <v/>
      </c>
      <c r="J69" s="47">
        <v>1</v>
      </c>
      <c r="K69" s="61">
        <v>0</v>
      </c>
    </row>
    <row r="70" s="47" customFormat="1" ht="14.25" customHeight="1" spans="2:11">
      <c r="B70" s="57">
        <v>168</v>
      </c>
      <c r="C70" s="58" t="s">
        <v>268</v>
      </c>
      <c r="D70" s="58" t="s">
        <v>149</v>
      </c>
      <c r="E70" s="58" t="s">
        <v>374</v>
      </c>
      <c r="F70" s="58" t="s">
        <v>375</v>
      </c>
      <c r="G70" s="60">
        <v>0</v>
      </c>
      <c r="H70" s="47" t="str">
        <f t="shared" si="0"/>
        <v/>
      </c>
      <c r="I70" s="47" t="str">
        <f t="shared" si="1"/>
        <v/>
      </c>
      <c r="J70" s="47">
        <v>1</v>
      </c>
      <c r="K70" s="61">
        <v>0</v>
      </c>
    </row>
    <row r="71" s="47" customFormat="1" ht="14.25" customHeight="1" spans="2:11">
      <c r="B71" s="57">
        <v>169</v>
      </c>
      <c r="C71" s="58" t="s">
        <v>268</v>
      </c>
      <c r="D71" s="58" t="s">
        <v>134</v>
      </c>
      <c r="E71" s="58" t="s">
        <v>299</v>
      </c>
      <c r="F71" s="58" t="s">
        <v>376</v>
      </c>
      <c r="G71" s="60">
        <v>0</v>
      </c>
      <c r="H71" s="47" t="str">
        <f t="shared" si="0"/>
        <v/>
      </c>
      <c r="I71" s="47" t="str">
        <f t="shared" si="1"/>
        <v/>
      </c>
      <c r="J71" s="47">
        <v>1</v>
      </c>
      <c r="K71" s="61">
        <v>0</v>
      </c>
    </row>
    <row r="72" s="47" customFormat="1" ht="14.25" customHeight="1" spans="2:11">
      <c r="B72" s="57">
        <v>170</v>
      </c>
      <c r="C72" s="58" t="s">
        <v>274</v>
      </c>
      <c r="D72" s="58" t="s">
        <v>101</v>
      </c>
      <c r="E72" s="58" t="s">
        <v>377</v>
      </c>
      <c r="F72" s="58" t="s">
        <v>378</v>
      </c>
      <c r="G72" s="60">
        <v>0</v>
      </c>
      <c r="H72" s="47" t="str">
        <f t="shared" ref="H72:H135" si="2">IF(G72=1,1,"")</f>
        <v/>
      </c>
      <c r="I72" s="47" t="str">
        <f t="shared" si="1"/>
        <v/>
      </c>
      <c r="J72" s="47">
        <v>1</v>
      </c>
      <c r="K72" s="61">
        <v>0</v>
      </c>
    </row>
    <row r="73" s="47" customFormat="1" ht="14.25" customHeight="1" spans="2:11">
      <c r="B73" s="57">
        <v>171</v>
      </c>
      <c r="C73" s="58" t="s">
        <v>306</v>
      </c>
      <c r="D73" s="58" t="s">
        <v>90</v>
      </c>
      <c r="E73" s="58" t="s">
        <v>379</v>
      </c>
      <c r="F73" s="58" t="s">
        <v>311</v>
      </c>
      <c r="G73" s="60">
        <v>0</v>
      </c>
      <c r="H73" s="47" t="str">
        <f t="shared" si="2"/>
        <v/>
      </c>
      <c r="I73" s="47" t="str">
        <f t="shared" si="1"/>
        <v/>
      </c>
      <c r="J73" s="47">
        <v>1</v>
      </c>
      <c r="K73" s="61">
        <v>0</v>
      </c>
    </row>
    <row r="74" s="47" customFormat="1" ht="14.25" customHeight="1" spans="2:11">
      <c r="B74" s="57">
        <v>253</v>
      </c>
      <c r="C74" s="58" t="s">
        <v>296</v>
      </c>
      <c r="D74" s="58" t="s">
        <v>122</v>
      </c>
      <c r="E74" s="58" t="s">
        <v>380</v>
      </c>
      <c r="F74" s="58" t="s">
        <v>381</v>
      </c>
      <c r="G74" s="60">
        <v>0</v>
      </c>
      <c r="H74" s="47" t="str">
        <f t="shared" si="2"/>
        <v/>
      </c>
      <c r="I74" s="47" t="str">
        <f t="shared" si="1"/>
        <v/>
      </c>
      <c r="J74" s="47">
        <v>1</v>
      </c>
      <c r="K74" s="61">
        <v>0</v>
      </c>
    </row>
    <row r="75" s="47" customFormat="1" ht="14.25" customHeight="1" spans="2:11">
      <c r="B75" s="57">
        <v>38</v>
      </c>
      <c r="C75" s="58" t="s">
        <v>279</v>
      </c>
      <c r="D75" s="58" t="s">
        <v>116</v>
      </c>
      <c r="E75" s="58" t="s">
        <v>382</v>
      </c>
      <c r="F75" s="58" t="s">
        <v>383</v>
      </c>
      <c r="G75" s="60">
        <v>0</v>
      </c>
      <c r="H75" s="47" t="str">
        <f t="shared" si="2"/>
        <v/>
      </c>
      <c r="I75" s="47" t="str">
        <f t="shared" ref="I75:I138" si="3">IF(G75=2,2,"")</f>
        <v/>
      </c>
      <c r="J75" s="47">
        <v>1</v>
      </c>
      <c r="K75" s="61">
        <v>0</v>
      </c>
    </row>
    <row r="76" s="47" customFormat="1" ht="14.25" customHeight="1" spans="2:11">
      <c r="B76" s="57">
        <v>39</v>
      </c>
      <c r="C76" s="58" t="s">
        <v>296</v>
      </c>
      <c r="D76" s="58" t="s">
        <v>79</v>
      </c>
      <c r="E76" s="58" t="s">
        <v>370</v>
      </c>
      <c r="F76" s="58" t="s">
        <v>384</v>
      </c>
      <c r="G76" s="60">
        <v>0</v>
      </c>
      <c r="H76" s="47" t="str">
        <f t="shared" si="2"/>
        <v/>
      </c>
      <c r="I76" s="47" t="str">
        <f t="shared" si="3"/>
        <v/>
      </c>
      <c r="J76" s="47">
        <v>1</v>
      </c>
      <c r="K76" s="61">
        <v>0</v>
      </c>
    </row>
    <row r="77" s="47" customFormat="1" ht="14.25" customHeight="1" spans="2:11">
      <c r="B77" s="57">
        <v>40</v>
      </c>
      <c r="C77" s="58" t="s">
        <v>265</v>
      </c>
      <c r="D77" s="58" t="s">
        <v>141</v>
      </c>
      <c r="E77" s="58" t="s">
        <v>314</v>
      </c>
      <c r="F77" s="58" t="s">
        <v>385</v>
      </c>
      <c r="G77" s="60">
        <v>0</v>
      </c>
      <c r="H77" s="47" t="str">
        <f t="shared" si="2"/>
        <v/>
      </c>
      <c r="I77" s="47" t="str">
        <f t="shared" si="3"/>
        <v/>
      </c>
      <c r="J77" s="47">
        <v>1</v>
      </c>
      <c r="K77" s="61">
        <v>0</v>
      </c>
    </row>
    <row r="78" s="47" customFormat="1" ht="14.25" customHeight="1" spans="2:11">
      <c r="B78" s="57">
        <v>41</v>
      </c>
      <c r="C78" s="58" t="s">
        <v>274</v>
      </c>
      <c r="D78" s="58" t="s">
        <v>137</v>
      </c>
      <c r="E78" s="58" t="s">
        <v>277</v>
      </c>
      <c r="F78" s="58" t="s">
        <v>386</v>
      </c>
      <c r="G78" s="60">
        <v>0</v>
      </c>
      <c r="H78" s="47" t="str">
        <f t="shared" si="2"/>
        <v/>
      </c>
      <c r="I78" s="47" t="str">
        <f t="shared" si="3"/>
        <v/>
      </c>
      <c r="J78" s="47">
        <v>1</v>
      </c>
      <c r="K78" s="61">
        <v>0</v>
      </c>
    </row>
    <row r="79" s="47" customFormat="1" ht="14.25" customHeight="1" spans="2:11">
      <c r="B79" s="57">
        <v>42</v>
      </c>
      <c r="C79" s="58" t="s">
        <v>274</v>
      </c>
      <c r="D79" s="58" t="s">
        <v>69</v>
      </c>
      <c r="E79" s="58" t="s">
        <v>387</v>
      </c>
      <c r="F79" s="58" t="s">
        <v>388</v>
      </c>
      <c r="G79" s="60">
        <v>0</v>
      </c>
      <c r="H79" s="47" t="str">
        <f t="shared" si="2"/>
        <v/>
      </c>
      <c r="I79" s="47" t="str">
        <f t="shared" si="3"/>
        <v/>
      </c>
      <c r="J79" s="47">
        <v>1</v>
      </c>
      <c r="K79" s="61">
        <v>0</v>
      </c>
    </row>
    <row r="80" s="47" customFormat="1" ht="14.25" customHeight="1" spans="2:11">
      <c r="B80" s="57">
        <v>43</v>
      </c>
      <c r="C80" s="58" t="s">
        <v>274</v>
      </c>
      <c r="D80" s="58" t="s">
        <v>113</v>
      </c>
      <c r="E80" s="58" t="s">
        <v>333</v>
      </c>
      <c r="F80" s="58" t="s">
        <v>389</v>
      </c>
      <c r="G80" s="60">
        <v>0</v>
      </c>
      <c r="H80" s="47" t="str">
        <f t="shared" si="2"/>
        <v/>
      </c>
      <c r="I80" s="47" t="str">
        <f t="shared" si="3"/>
        <v/>
      </c>
      <c r="J80" s="47">
        <v>1</v>
      </c>
      <c r="K80" s="61">
        <v>0</v>
      </c>
    </row>
    <row r="81" s="47" customFormat="1" ht="14.25" customHeight="1" spans="2:11">
      <c r="B81" s="57">
        <v>44</v>
      </c>
      <c r="C81" s="58" t="s">
        <v>390</v>
      </c>
      <c r="D81" s="58" t="s">
        <v>138</v>
      </c>
      <c r="E81" s="58" t="s">
        <v>391</v>
      </c>
      <c r="F81" s="58" t="s">
        <v>311</v>
      </c>
      <c r="G81" s="60">
        <v>0</v>
      </c>
      <c r="H81" s="47" t="str">
        <f t="shared" si="2"/>
        <v/>
      </c>
      <c r="I81" s="47" t="str">
        <f t="shared" si="3"/>
        <v/>
      </c>
      <c r="J81" s="47">
        <v>1</v>
      </c>
      <c r="K81" s="61">
        <v>0</v>
      </c>
    </row>
    <row r="82" s="47" customFormat="1" ht="14.25" customHeight="1" spans="2:11">
      <c r="B82" s="57">
        <v>45</v>
      </c>
      <c r="C82" s="58" t="s">
        <v>274</v>
      </c>
      <c r="D82" s="58" t="s">
        <v>89</v>
      </c>
      <c r="E82" s="58" t="s">
        <v>392</v>
      </c>
      <c r="F82" s="58" t="s">
        <v>295</v>
      </c>
      <c r="G82" s="60">
        <v>0</v>
      </c>
      <c r="H82" s="47" t="str">
        <f t="shared" si="2"/>
        <v/>
      </c>
      <c r="I82" s="47" t="str">
        <f t="shared" si="3"/>
        <v/>
      </c>
      <c r="J82" s="47">
        <v>1</v>
      </c>
      <c r="K82" s="61">
        <v>0</v>
      </c>
    </row>
    <row r="83" s="47" customFormat="1" ht="14.25" customHeight="1" spans="2:11">
      <c r="B83" s="57">
        <v>46</v>
      </c>
      <c r="C83" s="58" t="s">
        <v>271</v>
      </c>
      <c r="D83" s="58" t="s">
        <v>88</v>
      </c>
      <c r="E83" s="58" t="s">
        <v>393</v>
      </c>
      <c r="F83" s="58" t="s">
        <v>394</v>
      </c>
      <c r="G83" s="60">
        <v>0</v>
      </c>
      <c r="H83" s="47" t="str">
        <f t="shared" si="2"/>
        <v/>
      </c>
      <c r="I83" s="47" t="str">
        <f t="shared" si="3"/>
        <v/>
      </c>
      <c r="J83" s="47">
        <v>1</v>
      </c>
      <c r="K83" s="61">
        <v>0</v>
      </c>
    </row>
    <row r="84" s="47" customFormat="1" ht="14.25" customHeight="1" spans="2:11">
      <c r="B84" s="57">
        <v>47</v>
      </c>
      <c r="C84" s="58" t="s">
        <v>279</v>
      </c>
      <c r="D84" s="58" t="s">
        <v>116</v>
      </c>
      <c r="E84" s="58" t="s">
        <v>395</v>
      </c>
      <c r="F84" s="58" t="s">
        <v>396</v>
      </c>
      <c r="G84" s="60">
        <v>0</v>
      </c>
      <c r="H84" s="47" t="str">
        <f t="shared" si="2"/>
        <v/>
      </c>
      <c r="I84" s="47" t="str">
        <f t="shared" si="3"/>
        <v/>
      </c>
      <c r="J84" s="47">
        <v>1</v>
      </c>
      <c r="K84" s="61">
        <v>0</v>
      </c>
    </row>
    <row r="85" s="47" customFormat="1" ht="14.25" customHeight="1" spans="2:11">
      <c r="B85" s="57">
        <v>48</v>
      </c>
      <c r="C85" s="58" t="s">
        <v>279</v>
      </c>
      <c r="D85" s="58" t="s">
        <v>116</v>
      </c>
      <c r="E85" s="58" t="s">
        <v>397</v>
      </c>
      <c r="F85" s="58" t="s">
        <v>398</v>
      </c>
      <c r="G85" s="60">
        <v>0</v>
      </c>
      <c r="H85" s="47" t="str">
        <f t="shared" si="2"/>
        <v/>
      </c>
      <c r="I85" s="47" t="str">
        <f t="shared" si="3"/>
        <v/>
      </c>
      <c r="J85" s="47">
        <v>1</v>
      </c>
      <c r="K85" s="61">
        <v>0</v>
      </c>
    </row>
    <row r="86" s="47" customFormat="1" ht="14.25" customHeight="1" spans="2:11">
      <c r="B86" s="57">
        <v>49</v>
      </c>
      <c r="C86" s="58" t="s">
        <v>274</v>
      </c>
      <c r="D86" s="58" t="s">
        <v>73</v>
      </c>
      <c r="E86" s="58" t="s">
        <v>387</v>
      </c>
      <c r="F86" s="58" t="s">
        <v>399</v>
      </c>
      <c r="G86" s="60">
        <v>0</v>
      </c>
      <c r="H86" s="47" t="str">
        <f t="shared" si="2"/>
        <v/>
      </c>
      <c r="I86" s="47" t="str">
        <f t="shared" si="3"/>
        <v/>
      </c>
      <c r="J86" s="47">
        <v>1</v>
      </c>
      <c r="K86" s="61">
        <v>0</v>
      </c>
    </row>
    <row r="87" s="47" customFormat="1" ht="14.25" customHeight="1" spans="2:11">
      <c r="B87" s="57">
        <v>172</v>
      </c>
      <c r="C87" s="58" t="s">
        <v>296</v>
      </c>
      <c r="D87" s="58" t="s">
        <v>84</v>
      </c>
      <c r="E87" s="58" t="s">
        <v>400</v>
      </c>
      <c r="F87" s="58" t="s">
        <v>273</v>
      </c>
      <c r="G87" s="60">
        <v>0</v>
      </c>
      <c r="H87" s="47" t="str">
        <f t="shared" si="2"/>
        <v/>
      </c>
      <c r="I87" s="47" t="str">
        <f t="shared" si="3"/>
        <v/>
      </c>
      <c r="J87" s="47">
        <v>1</v>
      </c>
      <c r="K87" s="61">
        <v>0</v>
      </c>
    </row>
    <row r="88" s="47" customFormat="1" ht="14.25" customHeight="1" spans="2:11">
      <c r="B88" s="57">
        <v>173</v>
      </c>
      <c r="C88" s="58" t="s">
        <v>306</v>
      </c>
      <c r="D88" s="58" t="s">
        <v>92</v>
      </c>
      <c r="E88" s="58" t="s">
        <v>401</v>
      </c>
      <c r="F88" s="58" t="s">
        <v>313</v>
      </c>
      <c r="G88" s="60">
        <v>0</v>
      </c>
      <c r="H88" s="47" t="str">
        <f t="shared" si="2"/>
        <v/>
      </c>
      <c r="I88" s="47" t="str">
        <f t="shared" si="3"/>
        <v/>
      </c>
      <c r="J88" s="47">
        <v>1</v>
      </c>
      <c r="K88" s="61">
        <v>0</v>
      </c>
    </row>
    <row r="89" s="47" customFormat="1" ht="14.25" customHeight="1" spans="2:11">
      <c r="B89" s="57">
        <v>247</v>
      </c>
      <c r="C89" s="58" t="s">
        <v>274</v>
      </c>
      <c r="D89" s="58" t="s">
        <v>69</v>
      </c>
      <c r="E89" s="58" t="s">
        <v>402</v>
      </c>
      <c r="F89" s="58" t="s">
        <v>403</v>
      </c>
      <c r="G89" s="60">
        <v>0</v>
      </c>
      <c r="H89" s="47" t="str">
        <f t="shared" si="2"/>
        <v/>
      </c>
      <c r="I89" s="47" t="str">
        <f t="shared" si="3"/>
        <v/>
      </c>
      <c r="J89" s="47">
        <v>1</v>
      </c>
      <c r="K89" s="61">
        <v>0</v>
      </c>
    </row>
    <row r="90" s="47" customFormat="1" ht="14.25" customHeight="1" spans="2:11">
      <c r="B90" s="57">
        <v>50</v>
      </c>
      <c r="C90" s="58" t="s">
        <v>274</v>
      </c>
      <c r="D90" s="58" t="s">
        <v>69</v>
      </c>
      <c r="E90" s="58" t="s">
        <v>333</v>
      </c>
      <c r="F90" s="58" t="s">
        <v>404</v>
      </c>
      <c r="G90" s="60">
        <v>0</v>
      </c>
      <c r="H90" s="47" t="str">
        <f t="shared" si="2"/>
        <v/>
      </c>
      <c r="I90" s="47" t="str">
        <f t="shared" si="3"/>
        <v/>
      </c>
      <c r="J90" s="47">
        <v>1</v>
      </c>
      <c r="K90" s="61">
        <v>0</v>
      </c>
    </row>
    <row r="91" s="47" customFormat="1" ht="14.25" customHeight="1" spans="2:11">
      <c r="B91" s="57">
        <v>51</v>
      </c>
      <c r="C91" s="58" t="s">
        <v>268</v>
      </c>
      <c r="D91" s="58" t="s">
        <v>159</v>
      </c>
      <c r="E91" s="58" t="s">
        <v>405</v>
      </c>
      <c r="F91" s="58" t="s">
        <v>406</v>
      </c>
      <c r="G91" s="60">
        <v>0</v>
      </c>
      <c r="H91" s="47" t="str">
        <f t="shared" si="2"/>
        <v/>
      </c>
      <c r="I91" s="47" t="str">
        <f t="shared" si="3"/>
        <v/>
      </c>
      <c r="J91" s="47">
        <v>1</v>
      </c>
      <c r="K91" s="61">
        <v>0</v>
      </c>
    </row>
    <row r="92" s="47" customFormat="1" ht="14.25" customHeight="1" spans="2:11">
      <c r="B92" s="57">
        <v>52</v>
      </c>
      <c r="C92" s="58" t="s">
        <v>271</v>
      </c>
      <c r="D92" s="58" t="s">
        <v>100</v>
      </c>
      <c r="E92" s="58" t="s">
        <v>407</v>
      </c>
      <c r="F92" s="58" t="s">
        <v>313</v>
      </c>
      <c r="G92" s="60">
        <v>0</v>
      </c>
      <c r="H92" s="47" t="str">
        <f t="shared" si="2"/>
        <v/>
      </c>
      <c r="I92" s="47" t="str">
        <f t="shared" si="3"/>
        <v/>
      </c>
      <c r="J92" s="47">
        <v>1</v>
      </c>
      <c r="K92" s="61">
        <v>0</v>
      </c>
    </row>
    <row r="93" s="47" customFormat="1" ht="14.25" customHeight="1" spans="2:11">
      <c r="B93" s="57">
        <v>53</v>
      </c>
      <c r="C93" s="58" t="s">
        <v>279</v>
      </c>
      <c r="D93" s="58" t="s">
        <v>116</v>
      </c>
      <c r="E93" s="58" t="s">
        <v>408</v>
      </c>
      <c r="F93" s="58" t="s">
        <v>409</v>
      </c>
      <c r="G93" s="60">
        <v>0</v>
      </c>
      <c r="H93" s="47" t="str">
        <f t="shared" si="2"/>
        <v/>
      </c>
      <c r="I93" s="47" t="str">
        <f t="shared" si="3"/>
        <v/>
      </c>
      <c r="J93" s="47">
        <v>1</v>
      </c>
      <c r="K93" s="61">
        <v>0</v>
      </c>
    </row>
    <row r="94" s="47" customFormat="1" ht="14.25" customHeight="1" spans="2:11">
      <c r="B94" s="57">
        <v>54</v>
      </c>
      <c r="C94" s="58" t="s">
        <v>279</v>
      </c>
      <c r="D94" s="58" t="s">
        <v>116</v>
      </c>
      <c r="E94" s="58" t="s">
        <v>408</v>
      </c>
      <c r="F94" s="58" t="s">
        <v>410</v>
      </c>
      <c r="G94" s="60">
        <v>0</v>
      </c>
      <c r="H94" s="47" t="str">
        <f t="shared" si="2"/>
        <v/>
      </c>
      <c r="I94" s="47" t="str">
        <f t="shared" si="3"/>
        <v/>
      </c>
      <c r="J94" s="47">
        <v>1</v>
      </c>
      <c r="K94" s="61">
        <v>0</v>
      </c>
    </row>
    <row r="95" s="47" customFormat="1" ht="14.25" customHeight="1" spans="2:11">
      <c r="B95" s="57">
        <v>55</v>
      </c>
      <c r="C95" s="58" t="s">
        <v>271</v>
      </c>
      <c r="D95" s="58" t="s">
        <v>128</v>
      </c>
      <c r="E95" s="58" t="s">
        <v>411</v>
      </c>
      <c r="F95" s="58" t="s">
        <v>289</v>
      </c>
      <c r="G95" s="60">
        <v>0</v>
      </c>
      <c r="H95" s="47" t="str">
        <f t="shared" si="2"/>
        <v/>
      </c>
      <c r="I95" s="47" t="str">
        <f t="shared" si="3"/>
        <v/>
      </c>
      <c r="J95" s="47">
        <v>1</v>
      </c>
      <c r="K95" s="61">
        <v>0</v>
      </c>
    </row>
    <row r="96" s="47" customFormat="1" ht="14.25" customHeight="1" spans="2:11">
      <c r="B96" s="57">
        <v>56</v>
      </c>
      <c r="C96" s="58" t="s">
        <v>279</v>
      </c>
      <c r="D96" s="58" t="s">
        <v>146</v>
      </c>
      <c r="E96" s="58" t="s">
        <v>412</v>
      </c>
      <c r="F96" s="58" t="s">
        <v>413</v>
      </c>
      <c r="G96" s="60">
        <v>0</v>
      </c>
      <c r="H96" s="47" t="str">
        <f t="shared" si="2"/>
        <v/>
      </c>
      <c r="I96" s="47" t="str">
        <f t="shared" si="3"/>
        <v/>
      </c>
      <c r="J96" s="47">
        <v>1</v>
      </c>
      <c r="K96" s="61">
        <v>0</v>
      </c>
    </row>
    <row r="97" s="47" customFormat="1" ht="14.25" customHeight="1" spans="2:11">
      <c r="B97" s="57">
        <v>174</v>
      </c>
      <c r="C97" s="58" t="s">
        <v>279</v>
      </c>
      <c r="D97" s="58" t="s">
        <v>142</v>
      </c>
      <c r="E97" s="58" t="s">
        <v>280</v>
      </c>
      <c r="F97" s="58" t="s">
        <v>414</v>
      </c>
      <c r="G97" s="60">
        <v>0</v>
      </c>
      <c r="H97" s="47" t="str">
        <f t="shared" si="2"/>
        <v/>
      </c>
      <c r="I97" s="47" t="str">
        <f t="shared" si="3"/>
        <v/>
      </c>
      <c r="J97" s="47">
        <v>1</v>
      </c>
      <c r="K97" s="61">
        <v>0</v>
      </c>
    </row>
    <row r="98" s="47" customFormat="1" ht="14.25" customHeight="1" spans="2:11">
      <c r="B98" s="57">
        <v>175</v>
      </c>
      <c r="C98" s="58" t="s">
        <v>274</v>
      </c>
      <c r="D98" s="58" t="s">
        <v>111</v>
      </c>
      <c r="E98" s="58" t="s">
        <v>415</v>
      </c>
      <c r="F98" s="58" t="s">
        <v>313</v>
      </c>
      <c r="G98" s="60">
        <v>0</v>
      </c>
      <c r="H98" s="47" t="str">
        <f t="shared" si="2"/>
        <v/>
      </c>
      <c r="I98" s="47" t="str">
        <f t="shared" si="3"/>
        <v/>
      </c>
      <c r="J98" s="47">
        <v>1</v>
      </c>
      <c r="K98" s="61">
        <v>0</v>
      </c>
    </row>
    <row r="99" s="47" customFormat="1" ht="14.25" customHeight="1" spans="2:11">
      <c r="B99" s="57">
        <v>176</v>
      </c>
      <c r="C99" s="58" t="s">
        <v>265</v>
      </c>
      <c r="D99" s="58" t="s">
        <v>140</v>
      </c>
      <c r="E99" s="58" t="s">
        <v>416</v>
      </c>
      <c r="F99" s="58" t="s">
        <v>417</v>
      </c>
      <c r="G99" s="60">
        <v>0</v>
      </c>
      <c r="H99" s="47" t="str">
        <f t="shared" si="2"/>
        <v/>
      </c>
      <c r="I99" s="47" t="str">
        <f t="shared" si="3"/>
        <v/>
      </c>
      <c r="J99" s="47">
        <v>1</v>
      </c>
      <c r="K99" s="61">
        <v>0</v>
      </c>
    </row>
    <row r="100" s="47" customFormat="1" ht="14.25" customHeight="1" spans="2:11">
      <c r="B100" s="57">
        <v>177</v>
      </c>
      <c r="C100" s="58" t="s">
        <v>279</v>
      </c>
      <c r="D100" s="58" t="s">
        <v>116</v>
      </c>
      <c r="E100" s="58" t="s">
        <v>418</v>
      </c>
      <c r="F100" s="58" t="s">
        <v>311</v>
      </c>
      <c r="G100" s="60">
        <v>0</v>
      </c>
      <c r="H100" s="47" t="str">
        <f t="shared" si="2"/>
        <v/>
      </c>
      <c r="I100" s="47" t="str">
        <f t="shared" si="3"/>
        <v/>
      </c>
      <c r="J100" s="47">
        <v>1</v>
      </c>
      <c r="K100" s="61">
        <v>0</v>
      </c>
    </row>
    <row r="101" s="47" customFormat="1" ht="14.25" customHeight="1" spans="2:11">
      <c r="B101" s="57">
        <v>178</v>
      </c>
      <c r="C101" s="58" t="s">
        <v>274</v>
      </c>
      <c r="D101" s="58" t="s">
        <v>68</v>
      </c>
      <c r="E101" s="58" t="s">
        <v>419</v>
      </c>
      <c r="F101" s="58" t="s">
        <v>313</v>
      </c>
      <c r="G101" s="60">
        <v>0</v>
      </c>
      <c r="H101" s="47" t="str">
        <f t="shared" si="2"/>
        <v/>
      </c>
      <c r="I101" s="47" t="str">
        <f t="shared" si="3"/>
        <v/>
      </c>
      <c r="J101" s="47">
        <v>1</v>
      </c>
      <c r="K101" s="61">
        <v>0</v>
      </c>
    </row>
    <row r="102" s="47" customFormat="1" ht="14.25" customHeight="1" spans="2:11">
      <c r="B102" s="57">
        <v>179</v>
      </c>
      <c r="C102" s="58" t="s">
        <v>265</v>
      </c>
      <c r="D102" s="58" t="s">
        <v>141</v>
      </c>
      <c r="E102" s="58" t="s">
        <v>328</v>
      </c>
      <c r="F102" s="58" t="s">
        <v>420</v>
      </c>
      <c r="G102" s="60">
        <v>0</v>
      </c>
      <c r="H102" s="47" t="str">
        <f t="shared" si="2"/>
        <v/>
      </c>
      <c r="I102" s="47" t="str">
        <f t="shared" si="3"/>
        <v/>
      </c>
      <c r="J102" s="47">
        <v>1</v>
      </c>
      <c r="K102" s="61">
        <v>0</v>
      </c>
    </row>
    <row r="103" s="47" customFormat="1" ht="14.25" customHeight="1" spans="2:11">
      <c r="B103" s="57">
        <v>248</v>
      </c>
      <c r="C103" s="58" t="s">
        <v>279</v>
      </c>
      <c r="D103" s="58" t="s">
        <v>142</v>
      </c>
      <c r="E103" s="58" t="s">
        <v>280</v>
      </c>
      <c r="F103" s="58" t="s">
        <v>421</v>
      </c>
      <c r="G103" s="60">
        <v>0</v>
      </c>
      <c r="H103" s="47" t="str">
        <f t="shared" si="2"/>
        <v/>
      </c>
      <c r="I103" s="47" t="str">
        <f t="shared" si="3"/>
        <v/>
      </c>
      <c r="J103" s="47">
        <v>1</v>
      </c>
      <c r="K103" s="61">
        <v>0</v>
      </c>
    </row>
    <row r="104" s="47" customFormat="1" ht="14.25" customHeight="1" spans="2:11">
      <c r="B104" s="57">
        <v>249</v>
      </c>
      <c r="C104" s="58" t="s">
        <v>271</v>
      </c>
      <c r="D104" s="58" t="s">
        <v>115</v>
      </c>
      <c r="E104" s="58" t="s">
        <v>422</v>
      </c>
      <c r="F104" s="58" t="s">
        <v>313</v>
      </c>
      <c r="G104" s="60">
        <v>0</v>
      </c>
      <c r="H104" s="47" t="str">
        <f t="shared" si="2"/>
        <v/>
      </c>
      <c r="I104" s="47" t="str">
        <f t="shared" si="3"/>
        <v/>
      </c>
      <c r="J104" s="47">
        <v>1</v>
      </c>
      <c r="K104" s="61">
        <v>0</v>
      </c>
    </row>
    <row r="105" s="47" customFormat="1" ht="14.25" customHeight="1" spans="2:11">
      <c r="B105" s="57">
        <v>254</v>
      </c>
      <c r="C105" s="58" t="s">
        <v>390</v>
      </c>
      <c r="D105" s="58" t="s">
        <v>105</v>
      </c>
      <c r="E105" s="58" t="s">
        <v>423</v>
      </c>
      <c r="F105" s="58" t="s">
        <v>424</v>
      </c>
      <c r="G105" s="60">
        <v>0</v>
      </c>
      <c r="H105" s="47" t="str">
        <f t="shared" si="2"/>
        <v/>
      </c>
      <c r="I105" s="47" t="str">
        <f t="shared" si="3"/>
        <v/>
      </c>
      <c r="J105" s="47">
        <v>1</v>
      </c>
      <c r="K105" s="61">
        <v>0</v>
      </c>
    </row>
    <row r="106" s="47" customFormat="1" ht="14.25" customHeight="1" spans="2:11">
      <c r="B106" s="57">
        <v>57</v>
      </c>
      <c r="C106" s="58" t="s">
        <v>390</v>
      </c>
      <c r="D106" s="58" t="s">
        <v>105</v>
      </c>
      <c r="E106" s="58" t="s">
        <v>425</v>
      </c>
      <c r="F106" s="58" t="s">
        <v>426</v>
      </c>
      <c r="G106" s="60">
        <v>0</v>
      </c>
      <c r="H106" s="47" t="str">
        <f t="shared" si="2"/>
        <v/>
      </c>
      <c r="I106" s="47" t="str">
        <f t="shared" si="3"/>
        <v/>
      </c>
      <c r="J106" s="47">
        <v>1</v>
      </c>
      <c r="K106" s="61">
        <v>0</v>
      </c>
    </row>
    <row r="107" s="47" customFormat="1" ht="14.25" customHeight="1" spans="2:11">
      <c r="B107" s="57">
        <v>58</v>
      </c>
      <c r="C107" s="58" t="s">
        <v>268</v>
      </c>
      <c r="D107" s="58" t="s">
        <v>194</v>
      </c>
      <c r="E107" s="58" t="s">
        <v>427</v>
      </c>
      <c r="F107" s="58" t="s">
        <v>428</v>
      </c>
      <c r="G107" s="60">
        <v>0</v>
      </c>
      <c r="H107" s="47" t="str">
        <f t="shared" si="2"/>
        <v/>
      </c>
      <c r="I107" s="47" t="str">
        <f t="shared" si="3"/>
        <v/>
      </c>
      <c r="J107" s="47">
        <v>1</v>
      </c>
      <c r="K107" s="61">
        <v>0</v>
      </c>
    </row>
    <row r="108" s="47" customFormat="1" ht="14.25" customHeight="1" spans="2:11">
      <c r="B108" s="57">
        <v>59</v>
      </c>
      <c r="C108" s="58" t="s">
        <v>274</v>
      </c>
      <c r="D108" s="58" t="s">
        <v>137</v>
      </c>
      <c r="E108" s="58" t="s">
        <v>277</v>
      </c>
      <c r="F108" s="58" t="s">
        <v>429</v>
      </c>
      <c r="G108" s="60">
        <v>0</v>
      </c>
      <c r="H108" s="47" t="str">
        <f t="shared" si="2"/>
        <v/>
      </c>
      <c r="I108" s="47" t="str">
        <f t="shared" si="3"/>
        <v/>
      </c>
      <c r="J108" s="47">
        <v>1</v>
      </c>
      <c r="K108" s="61">
        <v>0</v>
      </c>
    </row>
    <row r="109" s="47" customFormat="1" ht="14.25" customHeight="1" spans="2:11">
      <c r="B109" s="57">
        <v>60</v>
      </c>
      <c r="C109" s="58" t="s">
        <v>265</v>
      </c>
      <c r="D109" s="58" t="s">
        <v>141</v>
      </c>
      <c r="E109" s="58" t="s">
        <v>328</v>
      </c>
      <c r="F109" s="58" t="s">
        <v>430</v>
      </c>
      <c r="G109" s="60">
        <v>0</v>
      </c>
      <c r="H109" s="47" t="str">
        <f t="shared" si="2"/>
        <v/>
      </c>
      <c r="I109" s="47" t="str">
        <f t="shared" si="3"/>
        <v/>
      </c>
      <c r="J109" s="47">
        <v>1</v>
      </c>
      <c r="K109" s="61">
        <v>0</v>
      </c>
    </row>
    <row r="110" s="47" customFormat="1" ht="14.25" customHeight="1" spans="2:11">
      <c r="B110" s="57">
        <v>61</v>
      </c>
      <c r="C110" s="58" t="s">
        <v>268</v>
      </c>
      <c r="D110" s="58" t="s">
        <v>153</v>
      </c>
      <c r="E110" s="58" t="s">
        <v>431</v>
      </c>
      <c r="F110" s="58" t="s">
        <v>432</v>
      </c>
      <c r="G110" s="60">
        <v>0</v>
      </c>
      <c r="H110" s="47" t="str">
        <f t="shared" si="2"/>
        <v/>
      </c>
      <c r="I110" s="47" t="str">
        <f t="shared" si="3"/>
        <v/>
      </c>
      <c r="J110" s="47">
        <v>1</v>
      </c>
      <c r="K110" s="61">
        <v>0</v>
      </c>
    </row>
    <row r="111" s="47" customFormat="1" ht="14.25" customHeight="1" spans="2:11">
      <c r="B111" s="57">
        <v>62</v>
      </c>
      <c r="C111" s="58" t="s">
        <v>274</v>
      </c>
      <c r="D111" s="58" t="s">
        <v>69</v>
      </c>
      <c r="E111" s="58" t="s">
        <v>433</v>
      </c>
      <c r="F111" s="58" t="s">
        <v>434</v>
      </c>
      <c r="G111" s="60">
        <v>0</v>
      </c>
      <c r="H111" s="47" t="str">
        <f t="shared" si="2"/>
        <v/>
      </c>
      <c r="I111" s="47" t="str">
        <f t="shared" si="3"/>
        <v/>
      </c>
      <c r="J111" s="47">
        <v>1</v>
      </c>
      <c r="K111" s="61">
        <v>0</v>
      </c>
    </row>
    <row r="112" s="47" customFormat="1" ht="14.25" customHeight="1" spans="2:11">
      <c r="B112" s="57">
        <v>63</v>
      </c>
      <c r="C112" s="58" t="s">
        <v>296</v>
      </c>
      <c r="D112" s="58" t="s">
        <v>122</v>
      </c>
      <c r="E112" s="58" t="s">
        <v>435</v>
      </c>
      <c r="F112" s="58" t="s">
        <v>436</v>
      </c>
      <c r="G112" s="60">
        <v>0</v>
      </c>
      <c r="H112" s="47" t="str">
        <f t="shared" si="2"/>
        <v/>
      </c>
      <c r="I112" s="47" t="str">
        <f t="shared" si="3"/>
        <v/>
      </c>
      <c r="J112" s="47">
        <v>1</v>
      </c>
      <c r="K112" s="61">
        <v>0</v>
      </c>
    </row>
    <row r="113" s="47" customFormat="1" ht="14.25" customHeight="1" spans="2:11">
      <c r="B113" s="57">
        <v>64</v>
      </c>
      <c r="C113" s="58" t="s">
        <v>265</v>
      </c>
      <c r="D113" s="58" t="s">
        <v>163</v>
      </c>
      <c r="E113" s="58" t="s">
        <v>437</v>
      </c>
      <c r="F113" s="58" t="s">
        <v>163</v>
      </c>
      <c r="G113" s="60">
        <v>1</v>
      </c>
      <c r="H113" s="47">
        <f t="shared" si="2"/>
        <v>1</v>
      </c>
      <c r="I113" s="47" t="str">
        <f t="shared" si="3"/>
        <v/>
      </c>
      <c r="J113" s="47">
        <v>1</v>
      </c>
      <c r="K113" s="61">
        <v>0</v>
      </c>
    </row>
    <row r="114" s="47" customFormat="1" ht="14.25" customHeight="1" spans="2:11">
      <c r="B114" s="57">
        <v>65</v>
      </c>
      <c r="C114" s="58" t="s">
        <v>274</v>
      </c>
      <c r="D114" s="58" t="s">
        <v>80</v>
      </c>
      <c r="E114" s="58" t="s">
        <v>333</v>
      </c>
      <c r="F114" s="58" t="s">
        <v>313</v>
      </c>
      <c r="G114" s="60">
        <v>0</v>
      </c>
      <c r="H114" s="47" t="str">
        <f t="shared" si="2"/>
        <v/>
      </c>
      <c r="I114" s="47" t="str">
        <f t="shared" si="3"/>
        <v/>
      </c>
      <c r="J114" s="47">
        <v>1</v>
      </c>
      <c r="K114" s="61">
        <v>0</v>
      </c>
    </row>
    <row r="115" s="47" customFormat="1" ht="14.25" customHeight="1" spans="2:11">
      <c r="B115" s="57">
        <v>66</v>
      </c>
      <c r="C115" s="58" t="s">
        <v>265</v>
      </c>
      <c r="D115" s="58" t="s">
        <v>86</v>
      </c>
      <c r="E115" s="58" t="s">
        <v>314</v>
      </c>
      <c r="F115" s="58" t="s">
        <v>313</v>
      </c>
      <c r="G115" s="60">
        <v>0</v>
      </c>
      <c r="H115" s="47" t="str">
        <f t="shared" si="2"/>
        <v/>
      </c>
      <c r="I115" s="47" t="str">
        <f t="shared" si="3"/>
        <v/>
      </c>
      <c r="J115" s="47">
        <v>1</v>
      </c>
      <c r="K115" s="61">
        <v>0</v>
      </c>
    </row>
    <row r="116" s="47" customFormat="1" ht="14.25" customHeight="1" spans="2:11">
      <c r="B116" s="57">
        <v>67</v>
      </c>
      <c r="C116" s="58" t="s">
        <v>279</v>
      </c>
      <c r="D116" s="58" t="s">
        <v>142</v>
      </c>
      <c r="E116" s="58" t="s">
        <v>318</v>
      </c>
      <c r="F116" s="58" t="s">
        <v>438</v>
      </c>
      <c r="G116" s="60">
        <v>0</v>
      </c>
      <c r="H116" s="47" t="str">
        <f t="shared" si="2"/>
        <v/>
      </c>
      <c r="I116" s="47" t="str">
        <f t="shared" si="3"/>
        <v/>
      </c>
      <c r="J116" s="47">
        <v>1</v>
      </c>
      <c r="K116" s="61">
        <v>0</v>
      </c>
    </row>
    <row r="117" s="47" customFormat="1" ht="14.25" customHeight="1" spans="2:11">
      <c r="B117" s="57">
        <v>68</v>
      </c>
      <c r="C117" s="58" t="s">
        <v>279</v>
      </c>
      <c r="D117" s="58" t="s">
        <v>142</v>
      </c>
      <c r="E117" s="58" t="s">
        <v>439</v>
      </c>
      <c r="F117" s="58" t="s">
        <v>286</v>
      </c>
      <c r="G117" s="60">
        <v>0</v>
      </c>
      <c r="H117" s="47" t="str">
        <f t="shared" si="2"/>
        <v/>
      </c>
      <c r="I117" s="47" t="str">
        <f t="shared" si="3"/>
        <v/>
      </c>
      <c r="J117" s="47">
        <v>1</v>
      </c>
      <c r="K117" s="61">
        <v>0</v>
      </c>
    </row>
    <row r="118" s="47" customFormat="1" ht="14.25" customHeight="1" spans="2:11">
      <c r="B118" s="57">
        <v>69</v>
      </c>
      <c r="C118" s="58" t="s">
        <v>268</v>
      </c>
      <c r="D118" s="58" t="s">
        <v>157</v>
      </c>
      <c r="E118" s="58" t="s">
        <v>440</v>
      </c>
      <c r="F118" s="58" t="s">
        <v>311</v>
      </c>
      <c r="G118" s="60">
        <v>0</v>
      </c>
      <c r="H118" s="47" t="str">
        <f t="shared" si="2"/>
        <v/>
      </c>
      <c r="I118" s="47" t="str">
        <f t="shared" si="3"/>
        <v/>
      </c>
      <c r="J118" s="47">
        <v>1</v>
      </c>
      <c r="K118" s="61">
        <v>0</v>
      </c>
    </row>
    <row r="119" s="47" customFormat="1" ht="14.25" customHeight="1" spans="2:11">
      <c r="B119" s="57">
        <v>70</v>
      </c>
      <c r="C119" s="58" t="s">
        <v>268</v>
      </c>
      <c r="D119" s="58" t="s">
        <v>159</v>
      </c>
      <c r="E119" s="58" t="s">
        <v>441</v>
      </c>
      <c r="F119" s="58" t="s">
        <v>442</v>
      </c>
      <c r="G119" s="60">
        <v>0</v>
      </c>
      <c r="H119" s="47" t="str">
        <f t="shared" si="2"/>
        <v/>
      </c>
      <c r="I119" s="47" t="str">
        <f t="shared" si="3"/>
        <v/>
      </c>
      <c r="J119" s="47">
        <v>1</v>
      </c>
      <c r="K119" s="61">
        <v>0</v>
      </c>
    </row>
    <row r="120" s="47" customFormat="1" ht="14.25" customHeight="1" spans="2:11">
      <c r="B120" s="57">
        <v>71</v>
      </c>
      <c r="C120" s="58" t="s">
        <v>390</v>
      </c>
      <c r="D120" s="58" t="s">
        <v>105</v>
      </c>
      <c r="E120" s="58" t="s">
        <v>443</v>
      </c>
      <c r="F120" s="58" t="s">
        <v>444</v>
      </c>
      <c r="G120" s="60">
        <v>0</v>
      </c>
      <c r="H120" s="47" t="str">
        <f t="shared" si="2"/>
        <v/>
      </c>
      <c r="I120" s="47" t="str">
        <f t="shared" si="3"/>
        <v/>
      </c>
      <c r="J120" s="47">
        <v>1</v>
      </c>
      <c r="K120" s="61">
        <v>0</v>
      </c>
    </row>
    <row r="121" s="47" customFormat="1" ht="14.25" customHeight="1" spans="2:11">
      <c r="B121" s="57">
        <v>72</v>
      </c>
      <c r="C121" s="58" t="s">
        <v>274</v>
      </c>
      <c r="D121" s="58" t="s">
        <v>89</v>
      </c>
      <c r="E121" s="58" t="s">
        <v>445</v>
      </c>
      <c r="F121" s="58" t="s">
        <v>289</v>
      </c>
      <c r="G121" s="60">
        <v>0</v>
      </c>
      <c r="H121" s="47" t="str">
        <f t="shared" si="2"/>
        <v/>
      </c>
      <c r="I121" s="47" t="str">
        <f t="shared" si="3"/>
        <v/>
      </c>
      <c r="J121" s="47">
        <v>1</v>
      </c>
      <c r="K121" s="61">
        <v>0</v>
      </c>
    </row>
    <row r="122" s="47" customFormat="1" ht="14.25" customHeight="1" spans="2:11">
      <c r="B122" s="57">
        <v>180</v>
      </c>
      <c r="C122" s="58" t="s">
        <v>279</v>
      </c>
      <c r="D122" s="58" t="s">
        <v>142</v>
      </c>
      <c r="E122" s="58" t="s">
        <v>280</v>
      </c>
      <c r="F122" s="58" t="s">
        <v>446</v>
      </c>
      <c r="G122" s="60">
        <v>0</v>
      </c>
      <c r="H122" s="47" t="str">
        <f t="shared" si="2"/>
        <v/>
      </c>
      <c r="I122" s="47" t="str">
        <f t="shared" si="3"/>
        <v/>
      </c>
      <c r="J122" s="47">
        <v>1</v>
      </c>
      <c r="K122" s="61">
        <v>0</v>
      </c>
    </row>
    <row r="123" s="47" customFormat="1" ht="14.25" customHeight="1" spans="2:11">
      <c r="B123" s="57">
        <v>181</v>
      </c>
      <c r="C123" s="58" t="s">
        <v>306</v>
      </c>
      <c r="D123" s="58" t="s">
        <v>127</v>
      </c>
      <c r="E123" s="58" t="s">
        <v>447</v>
      </c>
      <c r="F123" s="58" t="s">
        <v>448</v>
      </c>
      <c r="G123" s="60">
        <v>0</v>
      </c>
      <c r="H123" s="47" t="str">
        <f t="shared" si="2"/>
        <v/>
      </c>
      <c r="I123" s="47" t="str">
        <f t="shared" si="3"/>
        <v/>
      </c>
      <c r="J123" s="47">
        <v>1</v>
      </c>
      <c r="K123" s="61">
        <v>0</v>
      </c>
    </row>
    <row r="124" s="47" customFormat="1" ht="14.25" customHeight="1" spans="2:11">
      <c r="B124" s="57">
        <v>182</v>
      </c>
      <c r="C124" s="58" t="s">
        <v>271</v>
      </c>
      <c r="D124" s="58" t="s">
        <v>93</v>
      </c>
      <c r="E124" s="58" t="s">
        <v>387</v>
      </c>
      <c r="F124" s="58" t="s">
        <v>449</v>
      </c>
      <c r="G124" s="60">
        <v>0</v>
      </c>
      <c r="H124" s="47" t="str">
        <f t="shared" si="2"/>
        <v/>
      </c>
      <c r="I124" s="47" t="str">
        <f t="shared" si="3"/>
        <v/>
      </c>
      <c r="J124" s="47">
        <v>1</v>
      </c>
      <c r="K124" s="61">
        <v>0</v>
      </c>
    </row>
    <row r="125" s="47" customFormat="1" ht="14.25" customHeight="1" spans="2:11">
      <c r="B125" s="57">
        <v>73</v>
      </c>
      <c r="C125" s="58" t="s">
        <v>271</v>
      </c>
      <c r="D125" s="58" t="s">
        <v>93</v>
      </c>
      <c r="E125" s="58" t="s">
        <v>450</v>
      </c>
      <c r="F125" s="58" t="s">
        <v>451</v>
      </c>
      <c r="G125" s="60">
        <v>0</v>
      </c>
      <c r="H125" s="47" t="str">
        <f t="shared" si="2"/>
        <v/>
      </c>
      <c r="I125" s="47" t="str">
        <f t="shared" si="3"/>
        <v/>
      </c>
      <c r="J125" s="47">
        <v>1</v>
      </c>
      <c r="K125" s="61">
        <v>0</v>
      </c>
    </row>
    <row r="126" s="47" customFormat="1" ht="14.25" customHeight="1" spans="2:11">
      <c r="B126" s="57">
        <v>183</v>
      </c>
      <c r="C126" s="58" t="s">
        <v>271</v>
      </c>
      <c r="D126" s="58" t="s">
        <v>75</v>
      </c>
      <c r="E126" s="58" t="s">
        <v>452</v>
      </c>
      <c r="F126" s="58" t="s">
        <v>453</v>
      </c>
      <c r="G126" s="60">
        <v>0</v>
      </c>
      <c r="H126" s="47" t="str">
        <f t="shared" si="2"/>
        <v/>
      </c>
      <c r="I126" s="47" t="str">
        <f t="shared" si="3"/>
        <v/>
      </c>
      <c r="J126" s="47">
        <v>1</v>
      </c>
      <c r="K126" s="61">
        <v>0</v>
      </c>
    </row>
    <row r="127" s="47" customFormat="1" ht="14.25" customHeight="1" spans="2:11">
      <c r="B127" s="57">
        <v>184</v>
      </c>
      <c r="C127" s="58" t="s">
        <v>271</v>
      </c>
      <c r="D127" s="58" t="s">
        <v>102</v>
      </c>
      <c r="E127" s="58" t="s">
        <v>342</v>
      </c>
      <c r="F127" s="58" t="s">
        <v>311</v>
      </c>
      <c r="G127" s="60">
        <v>0</v>
      </c>
      <c r="H127" s="47" t="str">
        <f t="shared" si="2"/>
        <v/>
      </c>
      <c r="I127" s="47" t="str">
        <f t="shared" si="3"/>
        <v/>
      </c>
      <c r="J127" s="47">
        <v>1</v>
      </c>
      <c r="K127" s="61">
        <v>0</v>
      </c>
    </row>
    <row r="128" s="47" customFormat="1" ht="14.25" customHeight="1" spans="2:11">
      <c r="B128" s="57">
        <v>185</v>
      </c>
      <c r="C128" s="58" t="s">
        <v>271</v>
      </c>
      <c r="D128" s="58" t="s">
        <v>102</v>
      </c>
      <c r="E128" s="58" t="s">
        <v>342</v>
      </c>
      <c r="F128" s="58" t="s">
        <v>295</v>
      </c>
      <c r="G128" s="60">
        <v>0</v>
      </c>
      <c r="H128" s="47" t="str">
        <f t="shared" si="2"/>
        <v/>
      </c>
      <c r="I128" s="47" t="str">
        <f t="shared" si="3"/>
        <v/>
      </c>
      <c r="J128" s="47">
        <v>1</v>
      </c>
      <c r="K128" s="61">
        <v>0</v>
      </c>
    </row>
    <row r="129" s="47" customFormat="1" ht="14.25" customHeight="1" spans="2:11">
      <c r="B129" s="57">
        <v>74</v>
      </c>
      <c r="C129" s="58" t="s">
        <v>271</v>
      </c>
      <c r="D129" s="58" t="s">
        <v>99</v>
      </c>
      <c r="E129" s="58" t="s">
        <v>301</v>
      </c>
      <c r="F129" s="58" t="s">
        <v>313</v>
      </c>
      <c r="G129" s="60">
        <v>0</v>
      </c>
      <c r="H129" s="47" t="str">
        <f t="shared" si="2"/>
        <v/>
      </c>
      <c r="I129" s="47" t="str">
        <f t="shared" si="3"/>
        <v/>
      </c>
      <c r="J129" s="47">
        <v>1</v>
      </c>
      <c r="K129" s="61">
        <v>0</v>
      </c>
    </row>
    <row r="130" s="47" customFormat="1" ht="14.25" customHeight="1" spans="2:11">
      <c r="B130" s="57">
        <v>186</v>
      </c>
      <c r="C130" s="58" t="s">
        <v>271</v>
      </c>
      <c r="D130" s="58" t="s">
        <v>82</v>
      </c>
      <c r="E130" s="58" t="s">
        <v>454</v>
      </c>
      <c r="F130" s="58" t="s">
        <v>455</v>
      </c>
      <c r="G130" s="60">
        <v>0</v>
      </c>
      <c r="H130" s="47" t="str">
        <f t="shared" si="2"/>
        <v/>
      </c>
      <c r="I130" s="47" t="str">
        <f t="shared" si="3"/>
        <v/>
      </c>
      <c r="J130" s="47">
        <v>1</v>
      </c>
      <c r="K130" s="61">
        <v>0</v>
      </c>
    </row>
    <row r="131" s="47" customFormat="1" ht="14.25" customHeight="1" spans="2:11">
      <c r="B131" s="57">
        <v>75</v>
      </c>
      <c r="C131" s="58" t="s">
        <v>279</v>
      </c>
      <c r="D131" s="58" t="s">
        <v>142</v>
      </c>
      <c r="E131" s="58" t="s">
        <v>456</v>
      </c>
      <c r="F131" s="58" t="s">
        <v>457</v>
      </c>
      <c r="G131" s="60">
        <v>0</v>
      </c>
      <c r="H131" s="47" t="str">
        <f t="shared" si="2"/>
        <v/>
      </c>
      <c r="I131" s="47" t="str">
        <f t="shared" si="3"/>
        <v/>
      </c>
      <c r="J131" s="47">
        <v>1</v>
      </c>
      <c r="K131" s="61">
        <v>0</v>
      </c>
    </row>
    <row r="132" s="47" customFormat="1" ht="14.25" customHeight="1" spans="2:11">
      <c r="B132" s="57">
        <v>76</v>
      </c>
      <c r="C132" s="58" t="s">
        <v>306</v>
      </c>
      <c r="D132" s="58" t="s">
        <v>97</v>
      </c>
      <c r="E132" s="58" t="s">
        <v>458</v>
      </c>
      <c r="F132" s="58" t="s">
        <v>313</v>
      </c>
      <c r="G132" s="60">
        <v>0</v>
      </c>
      <c r="H132" s="47" t="str">
        <f t="shared" si="2"/>
        <v/>
      </c>
      <c r="I132" s="47" t="str">
        <f t="shared" si="3"/>
        <v/>
      </c>
      <c r="J132" s="47">
        <v>1</v>
      </c>
      <c r="K132" s="61">
        <v>0</v>
      </c>
    </row>
    <row r="133" s="47" customFormat="1" ht="14.25" customHeight="1" spans="2:11">
      <c r="B133" s="57">
        <v>77</v>
      </c>
      <c r="C133" s="58" t="s">
        <v>279</v>
      </c>
      <c r="D133" s="58" t="s">
        <v>152</v>
      </c>
      <c r="E133" s="58" t="s">
        <v>459</v>
      </c>
      <c r="F133" s="58" t="s">
        <v>410</v>
      </c>
      <c r="G133" s="60">
        <v>0</v>
      </c>
      <c r="H133" s="47" t="str">
        <f t="shared" si="2"/>
        <v/>
      </c>
      <c r="I133" s="47" t="str">
        <f t="shared" si="3"/>
        <v/>
      </c>
      <c r="J133" s="47">
        <v>1</v>
      </c>
      <c r="K133" s="61">
        <v>0</v>
      </c>
    </row>
    <row r="134" s="47" customFormat="1" ht="14.25" customHeight="1" spans="2:11">
      <c r="B134" s="57">
        <v>78</v>
      </c>
      <c r="C134" s="58" t="s">
        <v>265</v>
      </c>
      <c r="D134" s="58" t="s">
        <v>141</v>
      </c>
      <c r="E134" s="58" t="s">
        <v>460</v>
      </c>
      <c r="F134" s="58" t="s">
        <v>461</v>
      </c>
      <c r="G134" s="60">
        <v>0</v>
      </c>
      <c r="H134" s="47" t="str">
        <f t="shared" si="2"/>
        <v/>
      </c>
      <c r="I134" s="47" t="str">
        <f t="shared" si="3"/>
        <v/>
      </c>
      <c r="J134" s="47">
        <v>1</v>
      </c>
      <c r="K134" s="61">
        <v>0</v>
      </c>
    </row>
    <row r="135" s="47" customFormat="1" ht="14.25" customHeight="1" spans="2:11">
      <c r="B135" s="57">
        <v>79</v>
      </c>
      <c r="C135" s="58" t="s">
        <v>274</v>
      </c>
      <c r="D135" s="58" t="s">
        <v>137</v>
      </c>
      <c r="E135" s="58" t="s">
        <v>462</v>
      </c>
      <c r="F135" s="58" t="s">
        <v>463</v>
      </c>
      <c r="G135" s="60">
        <v>0</v>
      </c>
      <c r="H135" s="47" t="str">
        <f t="shared" si="2"/>
        <v/>
      </c>
      <c r="I135" s="47" t="str">
        <f t="shared" si="3"/>
        <v/>
      </c>
      <c r="J135" s="47">
        <v>1</v>
      </c>
      <c r="K135" s="61">
        <v>0</v>
      </c>
    </row>
    <row r="136" s="47" customFormat="1" ht="14.25" customHeight="1" spans="2:11">
      <c r="B136" s="57">
        <v>80</v>
      </c>
      <c r="C136" s="58" t="s">
        <v>274</v>
      </c>
      <c r="D136" s="58" t="s">
        <v>81</v>
      </c>
      <c r="E136" s="58" t="s">
        <v>464</v>
      </c>
      <c r="F136" s="58" t="s">
        <v>313</v>
      </c>
      <c r="G136" s="60">
        <v>0</v>
      </c>
      <c r="H136" s="47" t="str">
        <f t="shared" ref="H136:H199" si="4">IF(G136=1,1,"")</f>
        <v/>
      </c>
      <c r="I136" s="47" t="str">
        <f t="shared" si="3"/>
        <v/>
      </c>
      <c r="J136" s="47">
        <v>1</v>
      </c>
      <c r="K136" s="61">
        <v>0</v>
      </c>
    </row>
    <row r="137" s="47" customFormat="1" ht="14.25" customHeight="1" spans="2:11">
      <c r="B137" s="57">
        <v>187</v>
      </c>
      <c r="C137" s="58" t="s">
        <v>271</v>
      </c>
      <c r="D137" s="58" t="s">
        <v>93</v>
      </c>
      <c r="E137" s="58" t="s">
        <v>465</v>
      </c>
      <c r="F137" s="58" t="s">
        <v>466</v>
      </c>
      <c r="G137" s="60">
        <v>0</v>
      </c>
      <c r="H137" s="47" t="str">
        <f t="shared" si="4"/>
        <v/>
      </c>
      <c r="I137" s="47" t="str">
        <f t="shared" si="3"/>
        <v/>
      </c>
      <c r="J137" s="47">
        <v>1</v>
      </c>
      <c r="K137" s="61">
        <v>0</v>
      </c>
    </row>
    <row r="138" s="47" customFormat="1" ht="14.25" customHeight="1" spans="2:11">
      <c r="B138" s="57">
        <v>81</v>
      </c>
      <c r="C138" s="58" t="s">
        <v>271</v>
      </c>
      <c r="D138" s="58" t="s">
        <v>93</v>
      </c>
      <c r="E138" s="58" t="s">
        <v>387</v>
      </c>
      <c r="F138" s="58" t="s">
        <v>467</v>
      </c>
      <c r="G138" s="60">
        <v>0</v>
      </c>
      <c r="H138" s="47" t="str">
        <f t="shared" si="4"/>
        <v/>
      </c>
      <c r="I138" s="47" t="str">
        <f t="shared" si="3"/>
        <v/>
      </c>
      <c r="J138" s="47">
        <v>1</v>
      </c>
      <c r="K138" s="61">
        <v>0</v>
      </c>
    </row>
    <row r="139" s="47" customFormat="1" ht="14.25" customHeight="1" spans="2:11">
      <c r="B139" s="57">
        <v>188</v>
      </c>
      <c r="C139" s="58" t="s">
        <v>271</v>
      </c>
      <c r="D139" s="58" t="s">
        <v>93</v>
      </c>
      <c r="E139" s="58" t="s">
        <v>468</v>
      </c>
      <c r="F139" s="58" t="s">
        <v>469</v>
      </c>
      <c r="G139" s="60">
        <v>0</v>
      </c>
      <c r="H139" s="47" t="str">
        <f t="shared" si="4"/>
        <v/>
      </c>
      <c r="I139" s="47" t="str">
        <f t="shared" ref="I139:I202" si="5">IF(G139=2,2,"")</f>
        <v/>
      </c>
      <c r="J139" s="47">
        <v>1</v>
      </c>
      <c r="K139" s="61">
        <v>0</v>
      </c>
    </row>
    <row r="140" s="47" customFormat="1" ht="14.25" customHeight="1" spans="2:11">
      <c r="B140" s="57">
        <v>189</v>
      </c>
      <c r="C140" s="58" t="s">
        <v>268</v>
      </c>
      <c r="D140" s="58" t="s">
        <v>159</v>
      </c>
      <c r="E140" s="58" t="s">
        <v>470</v>
      </c>
      <c r="F140" s="58" t="s">
        <v>471</v>
      </c>
      <c r="G140" s="60">
        <v>0</v>
      </c>
      <c r="H140" s="47" t="str">
        <f t="shared" si="4"/>
        <v/>
      </c>
      <c r="I140" s="47" t="str">
        <f t="shared" si="5"/>
        <v/>
      </c>
      <c r="J140" s="47">
        <v>1</v>
      </c>
      <c r="K140" s="61">
        <v>0</v>
      </c>
    </row>
    <row r="141" s="47" customFormat="1" ht="14.25" customHeight="1" spans="2:11">
      <c r="B141" s="57">
        <v>82</v>
      </c>
      <c r="C141" s="58" t="s">
        <v>390</v>
      </c>
      <c r="D141" s="58" t="s">
        <v>151</v>
      </c>
      <c r="E141" s="58" t="s">
        <v>331</v>
      </c>
      <c r="F141" s="58" t="s">
        <v>295</v>
      </c>
      <c r="G141" s="60">
        <v>0</v>
      </c>
      <c r="H141" s="47" t="str">
        <f t="shared" si="4"/>
        <v/>
      </c>
      <c r="I141" s="47" t="str">
        <f t="shared" si="5"/>
        <v/>
      </c>
      <c r="J141" s="47">
        <v>1</v>
      </c>
      <c r="K141" s="61">
        <v>0</v>
      </c>
    </row>
    <row r="142" s="47" customFormat="1" ht="14.25" customHeight="1" spans="2:11">
      <c r="B142" s="57">
        <v>190</v>
      </c>
      <c r="C142" s="58" t="s">
        <v>306</v>
      </c>
      <c r="D142" s="58" t="s">
        <v>119</v>
      </c>
      <c r="E142" s="58" t="s">
        <v>472</v>
      </c>
      <c r="F142" s="58" t="s">
        <v>313</v>
      </c>
      <c r="G142" s="60">
        <v>0</v>
      </c>
      <c r="H142" s="47" t="str">
        <f t="shared" si="4"/>
        <v/>
      </c>
      <c r="I142" s="47" t="str">
        <f t="shared" si="5"/>
        <v/>
      </c>
      <c r="J142" s="47">
        <v>1</v>
      </c>
      <c r="K142" s="61">
        <v>0</v>
      </c>
    </row>
    <row r="143" s="47" customFormat="1" ht="14.25" customHeight="1" spans="2:11">
      <c r="B143" s="57">
        <v>191</v>
      </c>
      <c r="C143" s="58" t="s">
        <v>268</v>
      </c>
      <c r="D143" s="58" t="s">
        <v>153</v>
      </c>
      <c r="E143" s="58" t="s">
        <v>473</v>
      </c>
      <c r="F143" s="58" t="s">
        <v>474</v>
      </c>
      <c r="G143" s="60">
        <v>0</v>
      </c>
      <c r="H143" s="47" t="str">
        <f t="shared" si="4"/>
        <v/>
      </c>
      <c r="I143" s="47" t="str">
        <f t="shared" si="5"/>
        <v/>
      </c>
      <c r="J143" s="47">
        <v>1</v>
      </c>
      <c r="K143" s="61">
        <v>0</v>
      </c>
    </row>
    <row r="144" s="47" customFormat="1" ht="14.25" customHeight="1" spans="2:11">
      <c r="B144" s="57">
        <v>255</v>
      </c>
      <c r="C144" s="58" t="s">
        <v>268</v>
      </c>
      <c r="D144" s="58" t="s">
        <v>159</v>
      </c>
      <c r="E144" s="58" t="s">
        <v>475</v>
      </c>
      <c r="F144" s="58" t="s">
        <v>476</v>
      </c>
      <c r="G144" s="60">
        <v>0</v>
      </c>
      <c r="H144" s="47" t="str">
        <f t="shared" si="4"/>
        <v/>
      </c>
      <c r="I144" s="47" t="str">
        <f t="shared" si="5"/>
        <v/>
      </c>
      <c r="J144" s="47">
        <v>1</v>
      </c>
      <c r="K144" s="61">
        <v>0</v>
      </c>
    </row>
    <row r="145" s="47" customFormat="1" ht="14.25" customHeight="1" spans="2:11">
      <c r="B145" s="57">
        <v>83</v>
      </c>
      <c r="C145" s="58" t="s">
        <v>274</v>
      </c>
      <c r="D145" s="58" t="s">
        <v>106</v>
      </c>
      <c r="E145" s="58" t="s">
        <v>477</v>
      </c>
      <c r="F145" s="58" t="s">
        <v>313</v>
      </c>
      <c r="G145" s="60">
        <v>0</v>
      </c>
      <c r="H145" s="47" t="str">
        <f t="shared" si="4"/>
        <v/>
      </c>
      <c r="I145" s="47" t="str">
        <f t="shared" si="5"/>
        <v/>
      </c>
      <c r="J145" s="47">
        <v>1</v>
      </c>
      <c r="K145" s="61">
        <v>0</v>
      </c>
    </row>
    <row r="146" s="47" customFormat="1" ht="14.25" customHeight="1" spans="2:11">
      <c r="B146" s="57">
        <v>84</v>
      </c>
      <c r="C146" s="58" t="s">
        <v>274</v>
      </c>
      <c r="D146" s="58" t="s">
        <v>125</v>
      </c>
      <c r="E146" s="58" t="s">
        <v>478</v>
      </c>
      <c r="F146" s="58" t="s">
        <v>313</v>
      </c>
      <c r="G146" s="60">
        <v>0</v>
      </c>
      <c r="H146" s="47" t="str">
        <f t="shared" si="4"/>
        <v/>
      </c>
      <c r="I146" s="47" t="str">
        <f t="shared" si="5"/>
        <v/>
      </c>
      <c r="J146" s="47">
        <v>1</v>
      </c>
      <c r="K146" s="61">
        <v>0</v>
      </c>
    </row>
    <row r="147" s="47" customFormat="1" ht="14.25" customHeight="1" spans="2:11">
      <c r="B147" s="57">
        <v>85</v>
      </c>
      <c r="C147" s="58" t="s">
        <v>296</v>
      </c>
      <c r="D147" s="58" t="s">
        <v>83</v>
      </c>
      <c r="E147" s="58" t="s">
        <v>479</v>
      </c>
      <c r="F147" s="58" t="s">
        <v>480</v>
      </c>
      <c r="G147" s="60">
        <v>0</v>
      </c>
      <c r="H147" s="47" t="str">
        <f t="shared" si="4"/>
        <v/>
      </c>
      <c r="I147" s="47" t="str">
        <f t="shared" si="5"/>
        <v/>
      </c>
      <c r="J147" s="47">
        <v>1</v>
      </c>
      <c r="K147" s="61">
        <v>0</v>
      </c>
    </row>
    <row r="148" s="47" customFormat="1" ht="14.25" customHeight="1" spans="2:11">
      <c r="B148" s="57">
        <v>192</v>
      </c>
      <c r="C148" s="58" t="s">
        <v>296</v>
      </c>
      <c r="D148" s="58" t="s">
        <v>84</v>
      </c>
      <c r="E148" s="58" t="s">
        <v>400</v>
      </c>
      <c r="F148" s="58" t="s">
        <v>286</v>
      </c>
      <c r="G148" s="60">
        <v>0</v>
      </c>
      <c r="H148" s="47" t="str">
        <f t="shared" si="4"/>
        <v/>
      </c>
      <c r="I148" s="47" t="str">
        <f t="shared" si="5"/>
        <v/>
      </c>
      <c r="J148" s="47">
        <v>1</v>
      </c>
      <c r="K148" s="61">
        <v>0</v>
      </c>
    </row>
    <row r="149" s="47" customFormat="1" ht="14.25" customHeight="1" spans="2:11">
      <c r="B149" s="57">
        <v>193</v>
      </c>
      <c r="C149" s="58" t="s">
        <v>271</v>
      </c>
      <c r="D149" s="58" t="s">
        <v>128</v>
      </c>
      <c r="E149" s="58" t="s">
        <v>481</v>
      </c>
      <c r="F149" s="58" t="s">
        <v>348</v>
      </c>
      <c r="G149" s="60">
        <v>0</v>
      </c>
      <c r="H149" s="47" t="str">
        <f t="shared" si="4"/>
        <v/>
      </c>
      <c r="I149" s="47" t="str">
        <f t="shared" si="5"/>
        <v/>
      </c>
      <c r="J149" s="47">
        <v>1</v>
      </c>
      <c r="K149" s="61">
        <v>0</v>
      </c>
    </row>
    <row r="150" s="47" customFormat="1" ht="14.25" customHeight="1" spans="2:11">
      <c r="B150" s="57">
        <v>86</v>
      </c>
      <c r="C150" s="58" t="s">
        <v>274</v>
      </c>
      <c r="D150" s="58" t="s">
        <v>69</v>
      </c>
      <c r="E150" s="58" t="s">
        <v>482</v>
      </c>
      <c r="F150" s="58" t="s">
        <v>483</v>
      </c>
      <c r="G150" s="60">
        <v>0</v>
      </c>
      <c r="H150" s="47" t="str">
        <f t="shared" si="4"/>
        <v/>
      </c>
      <c r="I150" s="47" t="str">
        <f t="shared" si="5"/>
        <v/>
      </c>
      <c r="J150" s="47">
        <v>1</v>
      </c>
      <c r="K150" s="61">
        <v>0</v>
      </c>
    </row>
    <row r="151" s="47" customFormat="1" ht="14.25" customHeight="1" spans="2:11">
      <c r="B151" s="57">
        <v>194</v>
      </c>
      <c r="C151" s="58" t="s">
        <v>274</v>
      </c>
      <c r="D151" s="58" t="s">
        <v>69</v>
      </c>
      <c r="E151" s="58" t="s">
        <v>484</v>
      </c>
      <c r="F151" s="58" t="s">
        <v>485</v>
      </c>
      <c r="G151" s="60">
        <v>0</v>
      </c>
      <c r="H151" s="47" t="str">
        <f t="shared" si="4"/>
        <v/>
      </c>
      <c r="I151" s="47" t="str">
        <f t="shared" si="5"/>
        <v/>
      </c>
      <c r="J151" s="47">
        <v>1</v>
      </c>
      <c r="K151" s="61">
        <v>0</v>
      </c>
    </row>
    <row r="152" s="47" customFormat="1" ht="14.25" customHeight="1" spans="2:11">
      <c r="B152" s="57">
        <v>195</v>
      </c>
      <c r="C152" s="58" t="s">
        <v>279</v>
      </c>
      <c r="D152" s="58" t="s">
        <v>109</v>
      </c>
      <c r="E152" s="58" t="s">
        <v>486</v>
      </c>
      <c r="F152" s="58" t="s">
        <v>487</v>
      </c>
      <c r="G152" s="60">
        <v>0</v>
      </c>
      <c r="H152" s="47" t="str">
        <f t="shared" si="4"/>
        <v/>
      </c>
      <c r="I152" s="47" t="str">
        <f t="shared" si="5"/>
        <v/>
      </c>
      <c r="J152" s="47">
        <v>1</v>
      </c>
      <c r="K152" s="61">
        <v>0</v>
      </c>
    </row>
    <row r="153" s="47" customFormat="1" ht="14.25" customHeight="1" spans="2:11">
      <c r="B153" s="57">
        <v>196</v>
      </c>
      <c r="C153" s="58" t="s">
        <v>271</v>
      </c>
      <c r="D153" s="58" t="s">
        <v>76</v>
      </c>
      <c r="E153" s="58" t="s">
        <v>488</v>
      </c>
      <c r="F153" s="58" t="s">
        <v>313</v>
      </c>
      <c r="G153" s="60">
        <v>0</v>
      </c>
      <c r="H153" s="47" t="str">
        <f t="shared" si="4"/>
        <v/>
      </c>
      <c r="I153" s="47" t="str">
        <f t="shared" si="5"/>
        <v/>
      </c>
      <c r="J153" s="47">
        <v>1</v>
      </c>
      <c r="K153" s="61">
        <v>0</v>
      </c>
    </row>
    <row r="154" s="47" customFormat="1" ht="14.25" customHeight="1" spans="2:11">
      <c r="B154" s="57">
        <v>197</v>
      </c>
      <c r="C154" s="58" t="s">
        <v>271</v>
      </c>
      <c r="D154" s="58" t="s">
        <v>143</v>
      </c>
      <c r="E154" s="58" t="s">
        <v>489</v>
      </c>
      <c r="F154" s="58" t="s">
        <v>313</v>
      </c>
      <c r="G154" s="60">
        <v>0</v>
      </c>
      <c r="H154" s="47" t="str">
        <f t="shared" si="4"/>
        <v/>
      </c>
      <c r="I154" s="47" t="str">
        <f t="shared" si="5"/>
        <v/>
      </c>
      <c r="J154" s="47">
        <v>1</v>
      </c>
      <c r="K154" s="61">
        <v>0</v>
      </c>
    </row>
    <row r="155" s="47" customFormat="1" ht="14.25" customHeight="1" spans="2:11">
      <c r="B155" s="57">
        <v>256</v>
      </c>
      <c r="C155" s="58" t="s">
        <v>268</v>
      </c>
      <c r="D155" s="58" t="s">
        <v>157</v>
      </c>
      <c r="E155" s="58" t="s">
        <v>440</v>
      </c>
      <c r="F155" s="58" t="s">
        <v>289</v>
      </c>
      <c r="G155" s="60">
        <v>0</v>
      </c>
      <c r="H155" s="47" t="str">
        <f t="shared" si="4"/>
        <v/>
      </c>
      <c r="I155" s="47" t="str">
        <f t="shared" si="5"/>
        <v/>
      </c>
      <c r="J155" s="47">
        <v>1</v>
      </c>
      <c r="K155" s="61">
        <v>0</v>
      </c>
    </row>
    <row r="156" s="47" customFormat="1" ht="14.25" customHeight="1" spans="2:11">
      <c r="B156" s="57">
        <v>198</v>
      </c>
      <c r="C156" s="58" t="s">
        <v>268</v>
      </c>
      <c r="D156" s="58" t="s">
        <v>157</v>
      </c>
      <c r="E156" s="58" t="s">
        <v>440</v>
      </c>
      <c r="F156" s="58" t="s">
        <v>295</v>
      </c>
      <c r="G156" s="60">
        <v>0</v>
      </c>
      <c r="H156" s="47" t="str">
        <f t="shared" si="4"/>
        <v/>
      </c>
      <c r="I156" s="47" t="str">
        <f t="shared" si="5"/>
        <v/>
      </c>
      <c r="J156" s="47">
        <v>1</v>
      </c>
      <c r="K156" s="61">
        <v>0</v>
      </c>
    </row>
    <row r="157" s="47" customFormat="1" ht="14.25" customHeight="1" spans="2:11">
      <c r="B157" s="57">
        <v>199</v>
      </c>
      <c r="C157" s="58" t="s">
        <v>274</v>
      </c>
      <c r="D157" s="58" t="s">
        <v>103</v>
      </c>
      <c r="E157" s="58" t="s">
        <v>490</v>
      </c>
      <c r="F157" s="58" t="s">
        <v>313</v>
      </c>
      <c r="G157" s="60">
        <v>0</v>
      </c>
      <c r="H157" s="47" t="str">
        <f t="shared" si="4"/>
        <v/>
      </c>
      <c r="I157" s="47" t="str">
        <f t="shared" si="5"/>
        <v/>
      </c>
      <c r="J157" s="47">
        <v>1</v>
      </c>
      <c r="K157" s="61">
        <v>0</v>
      </c>
    </row>
    <row r="158" s="47" customFormat="1" ht="14.25" customHeight="1" spans="2:11">
      <c r="B158" s="57">
        <v>87</v>
      </c>
      <c r="C158" s="58" t="s">
        <v>268</v>
      </c>
      <c r="D158" s="58" t="s">
        <v>159</v>
      </c>
      <c r="E158" s="58" t="s">
        <v>491</v>
      </c>
      <c r="F158" s="58" t="s">
        <v>492</v>
      </c>
      <c r="G158" s="60">
        <v>0</v>
      </c>
      <c r="H158" s="47" t="str">
        <f t="shared" si="4"/>
        <v/>
      </c>
      <c r="I158" s="47" t="str">
        <f t="shared" si="5"/>
        <v/>
      </c>
      <c r="J158" s="47">
        <v>1</v>
      </c>
      <c r="K158" s="61">
        <v>0</v>
      </c>
    </row>
    <row r="159" s="47" customFormat="1" ht="14.25" customHeight="1" spans="2:11">
      <c r="B159" s="57">
        <v>88</v>
      </c>
      <c r="C159" s="58" t="s">
        <v>274</v>
      </c>
      <c r="D159" s="58" t="s">
        <v>87</v>
      </c>
      <c r="E159" s="58" t="s">
        <v>493</v>
      </c>
      <c r="F159" s="58" t="s">
        <v>313</v>
      </c>
      <c r="G159" s="60">
        <v>0</v>
      </c>
      <c r="H159" s="47" t="str">
        <f t="shared" si="4"/>
        <v/>
      </c>
      <c r="I159" s="47" t="str">
        <f t="shared" si="5"/>
        <v/>
      </c>
      <c r="J159" s="47">
        <v>1</v>
      </c>
      <c r="K159" s="61">
        <v>0</v>
      </c>
    </row>
    <row r="160" s="47" customFormat="1" ht="14.25" customHeight="1" spans="2:11">
      <c r="B160" s="57">
        <v>89</v>
      </c>
      <c r="C160" s="58" t="s">
        <v>306</v>
      </c>
      <c r="D160" s="58" t="s">
        <v>112</v>
      </c>
      <c r="E160" s="58" t="s">
        <v>494</v>
      </c>
      <c r="F160" s="58" t="s">
        <v>313</v>
      </c>
      <c r="G160" s="60">
        <v>0</v>
      </c>
      <c r="H160" s="47" t="str">
        <f t="shared" si="4"/>
        <v/>
      </c>
      <c r="I160" s="47" t="str">
        <f t="shared" si="5"/>
        <v/>
      </c>
      <c r="J160" s="47">
        <v>1</v>
      </c>
      <c r="K160" s="61">
        <v>0</v>
      </c>
    </row>
    <row r="161" s="47" customFormat="1" ht="14.25" customHeight="1" spans="2:11">
      <c r="B161" s="57">
        <v>90</v>
      </c>
      <c r="C161" s="58" t="s">
        <v>268</v>
      </c>
      <c r="D161" s="58" t="s">
        <v>159</v>
      </c>
      <c r="E161" s="58" t="s">
        <v>495</v>
      </c>
      <c r="F161" s="58" t="s">
        <v>496</v>
      </c>
      <c r="G161" s="60">
        <v>0</v>
      </c>
      <c r="H161" s="47" t="str">
        <f t="shared" si="4"/>
        <v/>
      </c>
      <c r="I161" s="47" t="str">
        <f t="shared" si="5"/>
        <v/>
      </c>
      <c r="J161" s="47">
        <v>1</v>
      </c>
      <c r="K161" s="61">
        <v>0</v>
      </c>
    </row>
    <row r="162" s="47" customFormat="1" ht="14.25" customHeight="1" spans="2:11">
      <c r="B162" s="57">
        <v>91</v>
      </c>
      <c r="C162" s="58" t="s">
        <v>279</v>
      </c>
      <c r="D162" s="58" t="s">
        <v>148</v>
      </c>
      <c r="E162" s="58" t="s">
        <v>497</v>
      </c>
      <c r="F162" s="58" t="s">
        <v>498</v>
      </c>
      <c r="G162" s="60">
        <v>0</v>
      </c>
      <c r="H162" s="47" t="str">
        <f t="shared" si="4"/>
        <v/>
      </c>
      <c r="I162" s="47" t="str">
        <f t="shared" si="5"/>
        <v/>
      </c>
      <c r="J162" s="47">
        <v>1</v>
      </c>
      <c r="K162" s="61">
        <v>0</v>
      </c>
    </row>
    <row r="163" s="47" customFormat="1" ht="14.25" customHeight="1" spans="2:11">
      <c r="B163" s="57">
        <v>92</v>
      </c>
      <c r="C163" s="58" t="s">
        <v>268</v>
      </c>
      <c r="D163" s="58" t="s">
        <v>153</v>
      </c>
      <c r="E163" s="58" t="s">
        <v>499</v>
      </c>
      <c r="F163" s="58" t="s">
        <v>500</v>
      </c>
      <c r="G163" s="60">
        <v>0</v>
      </c>
      <c r="H163" s="47" t="str">
        <f t="shared" si="4"/>
        <v/>
      </c>
      <c r="I163" s="47" t="str">
        <f t="shared" si="5"/>
        <v/>
      </c>
      <c r="J163" s="47">
        <v>1</v>
      </c>
      <c r="K163" s="61">
        <v>0</v>
      </c>
    </row>
    <row r="164" s="47" customFormat="1" ht="14.25" customHeight="1" spans="2:11">
      <c r="B164" s="57">
        <v>93</v>
      </c>
      <c r="C164" s="58" t="s">
        <v>268</v>
      </c>
      <c r="D164" s="58" t="s">
        <v>150</v>
      </c>
      <c r="E164" s="58" t="s">
        <v>501</v>
      </c>
      <c r="F164" s="58" t="s">
        <v>502</v>
      </c>
      <c r="G164" s="60">
        <v>1</v>
      </c>
      <c r="H164" s="47">
        <f t="shared" si="4"/>
        <v>1</v>
      </c>
      <c r="I164" s="47" t="str">
        <f t="shared" si="5"/>
        <v/>
      </c>
      <c r="J164" s="47">
        <v>1</v>
      </c>
      <c r="K164" s="61">
        <v>0</v>
      </c>
    </row>
    <row r="165" s="47" customFormat="1" ht="14.25" customHeight="1" spans="2:11">
      <c r="B165" s="57">
        <v>94</v>
      </c>
      <c r="C165" s="58" t="s">
        <v>268</v>
      </c>
      <c r="D165" s="58" t="s">
        <v>150</v>
      </c>
      <c r="E165" s="58" t="s">
        <v>503</v>
      </c>
      <c r="F165" s="58" t="s">
        <v>504</v>
      </c>
      <c r="G165" s="60">
        <v>1</v>
      </c>
      <c r="H165" s="47">
        <f t="shared" si="4"/>
        <v>1</v>
      </c>
      <c r="I165" s="47" t="str">
        <f t="shared" si="5"/>
        <v/>
      </c>
      <c r="J165" s="47">
        <v>1</v>
      </c>
      <c r="K165" s="61">
        <v>0</v>
      </c>
    </row>
    <row r="166" s="47" customFormat="1" ht="14.25" customHeight="1" spans="2:11">
      <c r="B166" s="57">
        <v>200</v>
      </c>
      <c r="C166" s="58" t="s">
        <v>306</v>
      </c>
      <c r="D166" s="58" t="s">
        <v>133</v>
      </c>
      <c r="E166" s="58" t="s">
        <v>505</v>
      </c>
      <c r="F166" s="58" t="s">
        <v>313</v>
      </c>
      <c r="G166" s="60">
        <v>1</v>
      </c>
      <c r="H166" s="47">
        <f t="shared" si="4"/>
        <v>1</v>
      </c>
      <c r="I166" s="47" t="str">
        <f t="shared" si="5"/>
        <v/>
      </c>
      <c r="J166" s="47">
        <v>1</v>
      </c>
      <c r="K166" s="61">
        <v>0</v>
      </c>
    </row>
    <row r="167" s="47" customFormat="1" ht="14.25" customHeight="1" spans="2:11">
      <c r="B167" s="57">
        <v>201</v>
      </c>
      <c r="C167" s="58" t="s">
        <v>274</v>
      </c>
      <c r="D167" s="58" t="s">
        <v>113</v>
      </c>
      <c r="E167" s="58" t="s">
        <v>506</v>
      </c>
      <c r="F167" s="58" t="s">
        <v>507</v>
      </c>
      <c r="G167" s="60">
        <v>1</v>
      </c>
      <c r="H167" s="47">
        <f t="shared" si="4"/>
        <v>1</v>
      </c>
      <c r="I167" s="47" t="str">
        <f t="shared" si="5"/>
        <v/>
      </c>
      <c r="J167" s="47">
        <v>1</v>
      </c>
      <c r="K167" s="61">
        <v>0</v>
      </c>
    </row>
    <row r="168" s="47" customFormat="1" ht="14.25" customHeight="1" spans="2:11">
      <c r="B168" s="57">
        <v>95</v>
      </c>
      <c r="C168" s="58" t="s">
        <v>306</v>
      </c>
      <c r="D168" s="58" t="s">
        <v>107</v>
      </c>
      <c r="E168" s="58" t="s">
        <v>508</v>
      </c>
      <c r="F168" s="58" t="s">
        <v>509</v>
      </c>
      <c r="G168" s="60">
        <v>1</v>
      </c>
      <c r="H168" s="47">
        <f t="shared" si="4"/>
        <v>1</v>
      </c>
      <c r="I168" s="47" t="str">
        <f t="shared" si="5"/>
        <v/>
      </c>
      <c r="J168" s="47">
        <v>1</v>
      </c>
      <c r="K168" s="61">
        <v>0</v>
      </c>
    </row>
    <row r="169" s="47" customFormat="1" ht="14.25" customHeight="1" spans="2:11">
      <c r="B169" s="57">
        <v>96</v>
      </c>
      <c r="C169" s="58" t="s">
        <v>306</v>
      </c>
      <c r="D169" s="58" t="s">
        <v>107</v>
      </c>
      <c r="E169" s="58" t="s">
        <v>510</v>
      </c>
      <c r="F169" s="58" t="s">
        <v>293</v>
      </c>
      <c r="G169" s="60">
        <v>1</v>
      </c>
      <c r="H169" s="47">
        <f t="shared" si="4"/>
        <v>1</v>
      </c>
      <c r="I169" s="47" t="str">
        <f t="shared" si="5"/>
        <v/>
      </c>
      <c r="J169" s="47">
        <v>1</v>
      </c>
      <c r="K169" s="61">
        <v>0</v>
      </c>
    </row>
    <row r="170" s="47" customFormat="1" ht="14.25" customHeight="1" spans="2:11">
      <c r="B170" s="57">
        <v>97</v>
      </c>
      <c r="C170" s="58" t="s">
        <v>268</v>
      </c>
      <c r="D170" s="58" t="s">
        <v>155</v>
      </c>
      <c r="E170" s="58" t="s">
        <v>511</v>
      </c>
      <c r="F170" s="58" t="s">
        <v>313</v>
      </c>
      <c r="G170" s="60">
        <v>1</v>
      </c>
      <c r="H170" s="47">
        <f t="shared" si="4"/>
        <v>1</v>
      </c>
      <c r="I170" s="47" t="str">
        <f t="shared" si="5"/>
        <v/>
      </c>
      <c r="J170" s="47">
        <v>1</v>
      </c>
      <c r="K170" s="61">
        <v>0</v>
      </c>
    </row>
    <row r="171" s="47" customFormat="1" ht="14.25" customHeight="1" spans="2:11">
      <c r="B171" s="57">
        <v>202</v>
      </c>
      <c r="C171" s="58" t="s">
        <v>271</v>
      </c>
      <c r="D171" s="58" t="s">
        <v>93</v>
      </c>
      <c r="E171" s="58" t="s">
        <v>512</v>
      </c>
      <c r="F171" s="58" t="s">
        <v>513</v>
      </c>
      <c r="G171" s="60">
        <v>1</v>
      </c>
      <c r="H171" s="47">
        <f t="shared" si="4"/>
        <v>1</v>
      </c>
      <c r="I171" s="47" t="str">
        <f t="shared" si="5"/>
        <v/>
      </c>
      <c r="J171" s="47">
        <v>1</v>
      </c>
      <c r="K171" s="61">
        <v>0</v>
      </c>
    </row>
    <row r="172" s="47" customFormat="1" ht="14.25" customHeight="1" spans="2:11">
      <c r="B172" s="57">
        <v>203</v>
      </c>
      <c r="C172" s="58" t="s">
        <v>306</v>
      </c>
      <c r="D172" s="58" t="s">
        <v>90</v>
      </c>
      <c r="E172" s="58" t="s">
        <v>514</v>
      </c>
      <c r="F172" s="58" t="s">
        <v>515</v>
      </c>
      <c r="G172" s="60">
        <v>1</v>
      </c>
      <c r="H172" s="47">
        <f t="shared" si="4"/>
        <v>1</v>
      </c>
      <c r="I172" s="47" t="str">
        <f t="shared" si="5"/>
        <v/>
      </c>
      <c r="J172" s="47">
        <v>1</v>
      </c>
      <c r="K172" s="61">
        <v>0</v>
      </c>
    </row>
    <row r="173" s="47" customFormat="1" ht="14.25" customHeight="1" spans="2:11">
      <c r="B173" s="57">
        <v>204</v>
      </c>
      <c r="C173" s="58" t="s">
        <v>271</v>
      </c>
      <c r="D173" s="58" t="s">
        <v>110</v>
      </c>
      <c r="E173" s="58" t="s">
        <v>516</v>
      </c>
      <c r="F173" s="58" t="s">
        <v>517</v>
      </c>
      <c r="G173" s="60">
        <v>1</v>
      </c>
      <c r="H173" s="47">
        <f t="shared" si="4"/>
        <v>1</v>
      </c>
      <c r="I173" s="47" t="str">
        <f t="shared" si="5"/>
        <v/>
      </c>
      <c r="J173" s="47">
        <v>1</v>
      </c>
      <c r="K173" s="61">
        <v>0</v>
      </c>
    </row>
    <row r="174" s="47" customFormat="1" ht="14.25" customHeight="1" spans="2:11">
      <c r="B174" s="57">
        <v>205</v>
      </c>
      <c r="C174" s="58" t="s">
        <v>271</v>
      </c>
      <c r="D174" s="58" t="s">
        <v>110</v>
      </c>
      <c r="E174" s="58" t="s">
        <v>516</v>
      </c>
      <c r="F174" s="58" t="s">
        <v>518</v>
      </c>
      <c r="G174" s="60">
        <v>1</v>
      </c>
      <c r="H174" s="47">
        <f t="shared" si="4"/>
        <v>1</v>
      </c>
      <c r="I174" s="47" t="str">
        <f t="shared" si="5"/>
        <v/>
      </c>
      <c r="J174" s="47">
        <v>1</v>
      </c>
      <c r="K174" s="61">
        <v>0</v>
      </c>
    </row>
    <row r="175" s="47" customFormat="1" ht="14.25" customHeight="1" spans="2:11">
      <c r="B175" s="57">
        <v>206</v>
      </c>
      <c r="C175" s="58" t="s">
        <v>268</v>
      </c>
      <c r="D175" s="58" t="s">
        <v>159</v>
      </c>
      <c r="E175" s="58" t="s">
        <v>519</v>
      </c>
      <c r="F175" s="58" t="s">
        <v>520</v>
      </c>
      <c r="G175" s="60">
        <v>1</v>
      </c>
      <c r="H175" s="47">
        <f t="shared" si="4"/>
        <v>1</v>
      </c>
      <c r="I175" s="47" t="str">
        <f t="shared" si="5"/>
        <v/>
      </c>
      <c r="J175" s="47">
        <v>1</v>
      </c>
      <c r="K175" s="61">
        <v>0</v>
      </c>
    </row>
    <row r="176" s="47" customFormat="1" ht="14.25" customHeight="1" spans="2:11">
      <c r="B176" s="57">
        <v>207</v>
      </c>
      <c r="C176" s="58" t="s">
        <v>274</v>
      </c>
      <c r="D176" s="58" t="s">
        <v>135</v>
      </c>
      <c r="E176" s="58" t="s">
        <v>521</v>
      </c>
      <c r="F176" s="58" t="s">
        <v>313</v>
      </c>
      <c r="G176" s="60">
        <v>1</v>
      </c>
      <c r="H176" s="47">
        <f t="shared" si="4"/>
        <v>1</v>
      </c>
      <c r="I176" s="47" t="str">
        <f t="shared" si="5"/>
        <v/>
      </c>
      <c r="J176" s="47">
        <v>1</v>
      </c>
      <c r="K176" s="61">
        <v>0</v>
      </c>
    </row>
    <row r="177" s="47" customFormat="1" ht="14.25" customHeight="1" spans="2:11">
      <c r="B177" s="57">
        <v>208</v>
      </c>
      <c r="C177" s="58" t="s">
        <v>390</v>
      </c>
      <c r="D177" s="58" t="s">
        <v>105</v>
      </c>
      <c r="E177" s="58" t="s">
        <v>522</v>
      </c>
      <c r="F177" s="58" t="s">
        <v>523</v>
      </c>
      <c r="G177" s="60">
        <v>1</v>
      </c>
      <c r="H177" s="47">
        <f t="shared" si="4"/>
        <v>1</v>
      </c>
      <c r="I177" s="47" t="str">
        <f t="shared" si="5"/>
        <v/>
      </c>
      <c r="J177" s="47">
        <v>1</v>
      </c>
      <c r="K177" s="61">
        <v>0</v>
      </c>
    </row>
    <row r="178" s="47" customFormat="1" ht="14.25" customHeight="1" spans="2:11">
      <c r="B178" s="57">
        <v>209</v>
      </c>
      <c r="C178" s="58" t="s">
        <v>271</v>
      </c>
      <c r="D178" s="58" t="s">
        <v>128</v>
      </c>
      <c r="E178" s="58" t="s">
        <v>524</v>
      </c>
      <c r="F178" s="58" t="s">
        <v>515</v>
      </c>
      <c r="G178" s="60">
        <v>1</v>
      </c>
      <c r="H178" s="47">
        <f t="shared" si="4"/>
        <v>1</v>
      </c>
      <c r="I178" s="47" t="str">
        <f t="shared" si="5"/>
        <v/>
      </c>
      <c r="J178" s="47">
        <v>1</v>
      </c>
      <c r="K178" s="61">
        <v>0</v>
      </c>
    </row>
    <row r="179" s="47" customFormat="1" ht="14.25" customHeight="1" spans="2:11">
      <c r="B179" s="57">
        <v>250</v>
      </c>
      <c r="C179" s="58" t="s">
        <v>296</v>
      </c>
      <c r="D179" s="58" t="s">
        <v>79</v>
      </c>
      <c r="E179" s="58" t="s">
        <v>370</v>
      </c>
      <c r="F179" s="58" t="s">
        <v>525</v>
      </c>
      <c r="G179" s="60">
        <v>1</v>
      </c>
      <c r="H179" s="47">
        <f t="shared" si="4"/>
        <v>1</v>
      </c>
      <c r="I179" s="47" t="str">
        <f t="shared" si="5"/>
        <v/>
      </c>
      <c r="J179" s="47">
        <v>1</v>
      </c>
      <c r="K179" s="61">
        <v>0</v>
      </c>
    </row>
    <row r="180" s="47" customFormat="1" ht="14.25" customHeight="1" spans="2:11">
      <c r="B180" s="57">
        <v>251</v>
      </c>
      <c r="C180" s="58" t="s">
        <v>268</v>
      </c>
      <c r="D180" s="58" t="s">
        <v>150</v>
      </c>
      <c r="E180" s="58" t="s">
        <v>526</v>
      </c>
      <c r="F180" s="58" t="s">
        <v>527</v>
      </c>
      <c r="G180" s="60">
        <v>1</v>
      </c>
      <c r="H180" s="47">
        <f t="shared" si="4"/>
        <v>1</v>
      </c>
      <c r="I180" s="47" t="str">
        <f t="shared" si="5"/>
        <v/>
      </c>
      <c r="J180" s="47">
        <v>1</v>
      </c>
      <c r="K180" s="61">
        <v>0</v>
      </c>
    </row>
    <row r="181" s="47" customFormat="1" ht="14.25" customHeight="1" spans="2:11">
      <c r="B181" s="57">
        <v>210</v>
      </c>
      <c r="C181" s="58" t="s">
        <v>296</v>
      </c>
      <c r="D181" s="58" t="s">
        <v>79</v>
      </c>
      <c r="E181" s="58" t="s">
        <v>528</v>
      </c>
      <c r="F181" s="58" t="s">
        <v>529</v>
      </c>
      <c r="G181" s="60">
        <v>1</v>
      </c>
      <c r="H181" s="47">
        <f t="shared" si="4"/>
        <v>1</v>
      </c>
      <c r="I181" s="47" t="str">
        <f t="shared" si="5"/>
        <v/>
      </c>
      <c r="J181" s="47">
        <v>1</v>
      </c>
      <c r="K181" s="61">
        <v>0</v>
      </c>
    </row>
    <row r="182" s="47" customFormat="1" ht="14.25" customHeight="1" spans="2:11">
      <c r="B182" s="57">
        <v>211</v>
      </c>
      <c r="C182" s="58" t="s">
        <v>279</v>
      </c>
      <c r="D182" s="58" t="s">
        <v>146</v>
      </c>
      <c r="E182" s="58" t="s">
        <v>530</v>
      </c>
      <c r="F182" s="58" t="s">
        <v>531</v>
      </c>
      <c r="G182" s="60">
        <v>1</v>
      </c>
      <c r="H182" s="47">
        <f t="shared" si="4"/>
        <v>1</v>
      </c>
      <c r="I182" s="47" t="str">
        <f t="shared" si="5"/>
        <v/>
      </c>
      <c r="J182" s="47">
        <v>1</v>
      </c>
      <c r="K182" s="61">
        <v>0</v>
      </c>
    </row>
    <row r="183" s="47" customFormat="1" ht="14.25" customHeight="1" spans="2:11">
      <c r="B183" s="57">
        <v>98</v>
      </c>
      <c r="C183" s="58" t="s">
        <v>279</v>
      </c>
      <c r="D183" s="58" t="s">
        <v>146</v>
      </c>
      <c r="E183" s="58" t="s">
        <v>345</v>
      </c>
      <c r="F183" s="58" t="s">
        <v>532</v>
      </c>
      <c r="G183" s="60">
        <v>1</v>
      </c>
      <c r="H183" s="47">
        <f t="shared" si="4"/>
        <v>1</v>
      </c>
      <c r="I183" s="47" t="str">
        <f t="shared" si="5"/>
        <v/>
      </c>
      <c r="J183" s="47">
        <v>1</v>
      </c>
      <c r="K183" s="61">
        <v>0</v>
      </c>
    </row>
    <row r="184" s="47" customFormat="1" ht="14.25" customHeight="1" spans="2:11">
      <c r="B184" s="57">
        <v>99</v>
      </c>
      <c r="C184" s="58" t="s">
        <v>279</v>
      </c>
      <c r="D184" s="58" t="s">
        <v>146</v>
      </c>
      <c r="E184" s="58" t="s">
        <v>530</v>
      </c>
      <c r="F184" s="58" t="s">
        <v>533</v>
      </c>
      <c r="G184" s="60">
        <v>1</v>
      </c>
      <c r="H184" s="47">
        <f t="shared" si="4"/>
        <v>1</v>
      </c>
      <c r="I184" s="47" t="str">
        <f t="shared" si="5"/>
        <v/>
      </c>
      <c r="J184" s="47">
        <v>1</v>
      </c>
      <c r="K184" s="61">
        <v>0</v>
      </c>
    </row>
    <row r="185" s="47" customFormat="1" ht="14.25" customHeight="1" spans="2:11">
      <c r="B185" s="57">
        <v>212</v>
      </c>
      <c r="C185" s="58" t="s">
        <v>279</v>
      </c>
      <c r="D185" s="58" t="s">
        <v>146</v>
      </c>
      <c r="E185" s="58" t="s">
        <v>345</v>
      </c>
      <c r="F185" s="58" t="s">
        <v>534</v>
      </c>
      <c r="G185" s="60">
        <v>1</v>
      </c>
      <c r="H185" s="47">
        <f t="shared" si="4"/>
        <v>1</v>
      </c>
      <c r="I185" s="47" t="str">
        <f t="shared" si="5"/>
        <v/>
      </c>
      <c r="J185" s="47">
        <v>1</v>
      </c>
      <c r="K185" s="61">
        <v>0</v>
      </c>
    </row>
    <row r="186" s="47" customFormat="1" ht="14.25" customHeight="1" spans="2:11">
      <c r="B186" s="57">
        <v>213</v>
      </c>
      <c r="C186" s="58" t="s">
        <v>274</v>
      </c>
      <c r="D186" s="58" t="s">
        <v>137</v>
      </c>
      <c r="E186" s="58" t="s">
        <v>462</v>
      </c>
      <c r="F186" s="58" t="s">
        <v>535</v>
      </c>
      <c r="G186" s="60">
        <v>1</v>
      </c>
      <c r="H186" s="47">
        <f t="shared" si="4"/>
        <v>1</v>
      </c>
      <c r="I186" s="47" t="str">
        <f t="shared" si="5"/>
        <v/>
      </c>
      <c r="J186" s="47">
        <v>1</v>
      </c>
      <c r="K186" s="61">
        <v>0</v>
      </c>
    </row>
    <row r="187" s="47" customFormat="1" ht="14.25" customHeight="1" spans="2:11">
      <c r="B187" s="57">
        <v>100</v>
      </c>
      <c r="C187" s="58" t="s">
        <v>265</v>
      </c>
      <c r="D187" s="58" t="s">
        <v>536</v>
      </c>
      <c r="E187" s="58" t="s">
        <v>537</v>
      </c>
      <c r="F187" s="58" t="s">
        <v>536</v>
      </c>
      <c r="G187" s="60">
        <v>1</v>
      </c>
      <c r="H187" s="47">
        <f t="shared" si="4"/>
        <v>1</v>
      </c>
      <c r="I187" s="47" t="str">
        <f t="shared" si="5"/>
        <v/>
      </c>
      <c r="J187" s="47">
        <v>1</v>
      </c>
      <c r="K187" s="61">
        <v>0</v>
      </c>
    </row>
    <row r="188" s="47" customFormat="1" ht="14.25" customHeight="1" spans="2:11">
      <c r="B188" s="57">
        <v>214</v>
      </c>
      <c r="C188" s="58" t="s">
        <v>268</v>
      </c>
      <c r="D188" s="58" t="s">
        <v>131</v>
      </c>
      <c r="E188" s="58" t="s">
        <v>538</v>
      </c>
      <c r="F188" s="58" t="s">
        <v>131</v>
      </c>
      <c r="G188" s="60">
        <v>1</v>
      </c>
      <c r="H188" s="47">
        <f t="shared" si="4"/>
        <v>1</v>
      </c>
      <c r="I188" s="47" t="str">
        <f t="shared" si="5"/>
        <v/>
      </c>
      <c r="J188" s="47">
        <v>1</v>
      </c>
      <c r="K188" s="61">
        <v>0</v>
      </c>
    </row>
    <row r="189" s="47" customFormat="1" ht="14.25" customHeight="1" spans="2:11">
      <c r="B189" s="57">
        <v>215</v>
      </c>
      <c r="C189" s="58" t="s">
        <v>279</v>
      </c>
      <c r="D189" s="58" t="s">
        <v>148</v>
      </c>
      <c r="E189" s="58" t="s">
        <v>539</v>
      </c>
      <c r="F189" s="58" t="s">
        <v>540</v>
      </c>
      <c r="G189" s="60">
        <v>1</v>
      </c>
      <c r="H189" s="47">
        <f t="shared" si="4"/>
        <v>1</v>
      </c>
      <c r="I189" s="47" t="str">
        <f t="shared" si="5"/>
        <v/>
      </c>
      <c r="J189" s="47">
        <v>1</v>
      </c>
      <c r="K189" s="61">
        <v>0</v>
      </c>
    </row>
    <row r="190" s="47" customFormat="1" ht="14.25" customHeight="1" spans="2:11">
      <c r="B190" s="57">
        <v>216</v>
      </c>
      <c r="C190" s="58" t="s">
        <v>265</v>
      </c>
      <c r="D190" s="58" t="s">
        <v>141</v>
      </c>
      <c r="E190" s="58" t="s">
        <v>328</v>
      </c>
      <c r="F190" s="58" t="s">
        <v>541</v>
      </c>
      <c r="G190" s="60">
        <v>1</v>
      </c>
      <c r="H190" s="47">
        <f t="shared" si="4"/>
        <v>1</v>
      </c>
      <c r="I190" s="47" t="str">
        <f t="shared" si="5"/>
        <v/>
      </c>
      <c r="J190" s="47">
        <v>1</v>
      </c>
      <c r="K190" s="61">
        <v>0</v>
      </c>
    </row>
    <row r="191" s="47" customFormat="1" ht="14.25" customHeight="1" spans="2:11">
      <c r="B191" s="57">
        <v>217</v>
      </c>
      <c r="C191" s="58" t="s">
        <v>265</v>
      </c>
      <c r="D191" s="58" t="s">
        <v>141</v>
      </c>
      <c r="E191" s="58" t="s">
        <v>314</v>
      </c>
      <c r="F191" s="58" t="s">
        <v>542</v>
      </c>
      <c r="G191" s="60">
        <v>1</v>
      </c>
      <c r="H191" s="47">
        <f t="shared" si="4"/>
        <v>1</v>
      </c>
      <c r="I191" s="47" t="str">
        <f t="shared" si="5"/>
        <v/>
      </c>
      <c r="J191" s="47">
        <v>1</v>
      </c>
      <c r="K191" s="61">
        <v>0</v>
      </c>
    </row>
    <row r="192" s="47" customFormat="1" ht="14.25" customHeight="1" spans="2:11">
      <c r="B192" s="57">
        <v>101</v>
      </c>
      <c r="C192" s="58" t="s">
        <v>265</v>
      </c>
      <c r="D192" s="58" t="s">
        <v>141</v>
      </c>
      <c r="E192" s="58" t="s">
        <v>314</v>
      </c>
      <c r="F192" s="58" t="s">
        <v>543</v>
      </c>
      <c r="G192" s="60">
        <v>1</v>
      </c>
      <c r="H192" s="47">
        <f t="shared" si="4"/>
        <v>1</v>
      </c>
      <c r="I192" s="47" t="str">
        <f t="shared" si="5"/>
        <v/>
      </c>
      <c r="J192" s="47">
        <v>1</v>
      </c>
      <c r="K192" s="61">
        <v>0</v>
      </c>
    </row>
    <row r="193" s="47" customFormat="1" ht="14.25" customHeight="1" spans="2:11">
      <c r="B193" s="57">
        <v>102</v>
      </c>
      <c r="C193" s="58" t="s">
        <v>265</v>
      </c>
      <c r="D193" s="58" t="s">
        <v>141</v>
      </c>
      <c r="E193" s="58" t="s">
        <v>314</v>
      </c>
      <c r="F193" s="58" t="s">
        <v>544</v>
      </c>
      <c r="G193" s="60">
        <v>1</v>
      </c>
      <c r="H193" s="47">
        <f t="shared" si="4"/>
        <v>1</v>
      </c>
      <c r="I193" s="47" t="str">
        <f t="shared" si="5"/>
        <v/>
      </c>
      <c r="J193" s="47">
        <v>1</v>
      </c>
      <c r="K193" s="61">
        <v>0</v>
      </c>
    </row>
    <row r="194" s="47" customFormat="1" ht="14.25" customHeight="1" spans="2:11">
      <c r="B194" s="57">
        <v>103</v>
      </c>
      <c r="C194" s="58" t="s">
        <v>265</v>
      </c>
      <c r="D194" s="58" t="s">
        <v>141</v>
      </c>
      <c r="E194" s="58" t="s">
        <v>460</v>
      </c>
      <c r="F194" s="58" t="s">
        <v>545</v>
      </c>
      <c r="G194" s="60">
        <v>1</v>
      </c>
      <c r="H194" s="47">
        <f t="shared" si="4"/>
        <v>1</v>
      </c>
      <c r="I194" s="47" t="str">
        <f t="shared" si="5"/>
        <v/>
      </c>
      <c r="J194" s="47">
        <v>1</v>
      </c>
      <c r="K194" s="61">
        <v>0</v>
      </c>
    </row>
    <row r="195" s="47" customFormat="1" ht="14.25" customHeight="1" spans="2:11">
      <c r="B195" s="57">
        <v>104</v>
      </c>
      <c r="C195" s="58" t="s">
        <v>279</v>
      </c>
      <c r="D195" s="58" t="s">
        <v>142</v>
      </c>
      <c r="E195" s="58" t="s">
        <v>280</v>
      </c>
      <c r="F195" s="58" t="s">
        <v>546</v>
      </c>
      <c r="G195" s="60">
        <v>1</v>
      </c>
      <c r="H195" s="47">
        <f t="shared" si="4"/>
        <v>1</v>
      </c>
      <c r="I195" s="47" t="str">
        <f t="shared" si="5"/>
        <v/>
      </c>
      <c r="J195" s="47">
        <v>1</v>
      </c>
      <c r="K195" s="61">
        <v>0</v>
      </c>
    </row>
    <row r="196" s="47" customFormat="1" ht="14.25" customHeight="1" spans="2:11">
      <c r="B196" s="57">
        <v>105</v>
      </c>
      <c r="C196" s="58" t="s">
        <v>268</v>
      </c>
      <c r="D196" s="58" t="s">
        <v>153</v>
      </c>
      <c r="E196" s="58" t="s">
        <v>547</v>
      </c>
      <c r="F196" s="58" t="s">
        <v>548</v>
      </c>
      <c r="G196" s="60">
        <v>1</v>
      </c>
      <c r="H196" s="47">
        <f t="shared" si="4"/>
        <v>1</v>
      </c>
      <c r="I196" s="47" t="str">
        <f t="shared" si="5"/>
        <v/>
      </c>
      <c r="J196" s="47">
        <v>1</v>
      </c>
      <c r="K196" s="61">
        <v>0</v>
      </c>
    </row>
    <row r="197" s="47" customFormat="1" ht="14.25" customHeight="1" spans="2:11">
      <c r="B197" s="57">
        <v>218</v>
      </c>
      <c r="C197" s="58" t="s">
        <v>271</v>
      </c>
      <c r="D197" s="58" t="s">
        <v>93</v>
      </c>
      <c r="E197" s="58" t="s">
        <v>361</v>
      </c>
      <c r="F197" s="58" t="s">
        <v>549</v>
      </c>
      <c r="G197" s="60">
        <v>1</v>
      </c>
      <c r="H197" s="47">
        <f t="shared" si="4"/>
        <v>1</v>
      </c>
      <c r="I197" s="47" t="str">
        <f t="shared" si="5"/>
        <v/>
      </c>
      <c r="J197" s="47">
        <v>1</v>
      </c>
      <c r="K197" s="61">
        <v>0</v>
      </c>
    </row>
    <row r="198" s="47" customFormat="1" ht="14.25" customHeight="1" spans="2:11">
      <c r="B198" s="57">
        <v>219</v>
      </c>
      <c r="C198" s="58" t="s">
        <v>306</v>
      </c>
      <c r="D198" s="58" t="s">
        <v>90</v>
      </c>
      <c r="E198" s="58" t="s">
        <v>391</v>
      </c>
      <c r="F198" s="58" t="s">
        <v>289</v>
      </c>
      <c r="G198" s="60">
        <v>1</v>
      </c>
      <c r="H198" s="47">
        <f t="shared" si="4"/>
        <v>1</v>
      </c>
      <c r="I198" s="47" t="str">
        <f t="shared" si="5"/>
        <v/>
      </c>
      <c r="J198" s="47">
        <v>1</v>
      </c>
      <c r="K198" s="61">
        <v>0</v>
      </c>
    </row>
    <row r="199" s="47" customFormat="1" ht="14.25" customHeight="1" spans="2:11">
      <c r="B199" s="57">
        <v>220</v>
      </c>
      <c r="C199" s="58" t="s">
        <v>306</v>
      </c>
      <c r="D199" s="58" t="s">
        <v>95</v>
      </c>
      <c r="E199" s="58" t="s">
        <v>550</v>
      </c>
      <c r="F199" s="58" t="s">
        <v>311</v>
      </c>
      <c r="G199" s="60">
        <v>1</v>
      </c>
      <c r="H199" s="47">
        <f t="shared" si="4"/>
        <v>1</v>
      </c>
      <c r="I199" s="47" t="str">
        <f t="shared" si="5"/>
        <v/>
      </c>
      <c r="J199" s="47">
        <v>1</v>
      </c>
      <c r="K199" s="61">
        <v>0</v>
      </c>
    </row>
    <row r="200" s="47" customFormat="1" ht="14.25" customHeight="1" spans="2:11">
      <c r="B200" s="57">
        <v>221</v>
      </c>
      <c r="C200" s="58" t="s">
        <v>271</v>
      </c>
      <c r="D200" s="58" t="s">
        <v>88</v>
      </c>
      <c r="E200" s="58" t="s">
        <v>288</v>
      </c>
      <c r="F200" s="58" t="s">
        <v>295</v>
      </c>
      <c r="G200" s="60">
        <v>1</v>
      </c>
      <c r="H200" s="47">
        <f t="shared" ref="H200:H263" si="6">IF(G200=1,1,"")</f>
        <v>1</v>
      </c>
      <c r="I200" s="47" t="str">
        <f t="shared" si="5"/>
        <v/>
      </c>
      <c r="J200" s="47">
        <v>1</v>
      </c>
      <c r="K200" s="61">
        <v>0</v>
      </c>
    </row>
    <row r="201" s="47" customFormat="1" ht="14.25" customHeight="1" spans="2:11">
      <c r="B201" s="57">
        <v>222</v>
      </c>
      <c r="C201" s="58" t="s">
        <v>271</v>
      </c>
      <c r="D201" s="58" t="s">
        <v>88</v>
      </c>
      <c r="E201" s="58" t="s">
        <v>288</v>
      </c>
      <c r="F201" s="58" t="s">
        <v>551</v>
      </c>
      <c r="G201" s="60">
        <v>1</v>
      </c>
      <c r="H201" s="47">
        <f t="shared" si="6"/>
        <v>1</v>
      </c>
      <c r="I201" s="47" t="str">
        <f t="shared" si="5"/>
        <v/>
      </c>
      <c r="J201" s="47">
        <v>1</v>
      </c>
      <c r="K201" s="61">
        <v>0</v>
      </c>
    </row>
    <row r="202" s="47" customFormat="1" ht="14.25" customHeight="1" spans="2:11">
      <c r="B202" s="57">
        <v>106</v>
      </c>
      <c r="C202" s="58" t="s">
        <v>265</v>
      </c>
      <c r="D202" s="58" t="s">
        <v>120</v>
      </c>
      <c r="E202" s="58" t="s">
        <v>552</v>
      </c>
      <c r="F202" s="58" t="s">
        <v>313</v>
      </c>
      <c r="G202" s="60">
        <v>1</v>
      </c>
      <c r="H202" s="47">
        <f t="shared" si="6"/>
        <v>1</v>
      </c>
      <c r="I202" s="47" t="str">
        <f t="shared" si="5"/>
        <v/>
      </c>
      <c r="J202" s="47">
        <v>1</v>
      </c>
      <c r="K202" s="61">
        <v>0</v>
      </c>
    </row>
    <row r="203" s="47" customFormat="1" ht="14.25" customHeight="1" spans="2:11">
      <c r="B203" s="57">
        <v>107</v>
      </c>
      <c r="C203" s="58" t="s">
        <v>268</v>
      </c>
      <c r="D203" s="58" t="s">
        <v>159</v>
      </c>
      <c r="E203" s="58" t="s">
        <v>553</v>
      </c>
      <c r="F203" s="58" t="s">
        <v>554</v>
      </c>
      <c r="G203" s="60">
        <v>1</v>
      </c>
      <c r="H203" s="47">
        <f t="shared" si="6"/>
        <v>1</v>
      </c>
      <c r="I203" s="47" t="str">
        <f t="shared" ref="I203:I266" si="7">IF(G203=2,2,"")</f>
        <v/>
      </c>
      <c r="J203" s="47">
        <v>1</v>
      </c>
      <c r="K203" s="61">
        <v>0</v>
      </c>
    </row>
    <row r="204" s="47" customFormat="1" ht="14.25" customHeight="1" spans="2:11">
      <c r="B204" s="57">
        <v>108</v>
      </c>
      <c r="C204" s="58" t="s">
        <v>268</v>
      </c>
      <c r="D204" s="58" t="s">
        <v>159</v>
      </c>
      <c r="E204" s="58" t="s">
        <v>555</v>
      </c>
      <c r="F204" s="58" t="s">
        <v>556</v>
      </c>
      <c r="G204" s="60">
        <v>1</v>
      </c>
      <c r="H204" s="47">
        <f t="shared" si="6"/>
        <v>1</v>
      </c>
      <c r="I204" s="47" t="str">
        <f t="shared" si="7"/>
        <v/>
      </c>
      <c r="J204" s="47">
        <v>1</v>
      </c>
      <c r="K204" s="61">
        <v>0</v>
      </c>
    </row>
    <row r="205" s="47" customFormat="1" ht="14.25" customHeight="1" spans="2:11">
      <c r="B205" s="57">
        <v>109</v>
      </c>
      <c r="C205" s="58" t="s">
        <v>390</v>
      </c>
      <c r="D205" s="58" t="s">
        <v>151</v>
      </c>
      <c r="E205" s="58" t="s">
        <v>557</v>
      </c>
      <c r="F205" s="58" t="s">
        <v>394</v>
      </c>
      <c r="G205" s="60">
        <v>1</v>
      </c>
      <c r="H205" s="47">
        <f t="shared" si="6"/>
        <v>1</v>
      </c>
      <c r="I205" s="47" t="str">
        <f t="shared" si="7"/>
        <v/>
      </c>
      <c r="J205" s="47">
        <v>1</v>
      </c>
      <c r="K205" s="61">
        <v>0</v>
      </c>
    </row>
    <row r="206" s="47" customFormat="1" ht="14.25" customHeight="1" spans="2:11">
      <c r="B206" s="57">
        <v>110</v>
      </c>
      <c r="C206" s="58" t="s">
        <v>279</v>
      </c>
      <c r="D206" s="58" t="s">
        <v>152</v>
      </c>
      <c r="E206" s="58" t="s">
        <v>459</v>
      </c>
      <c r="F206" s="58" t="s">
        <v>394</v>
      </c>
      <c r="G206" s="60">
        <v>1</v>
      </c>
      <c r="H206" s="47">
        <f t="shared" si="6"/>
        <v>1</v>
      </c>
      <c r="I206" s="47" t="str">
        <f t="shared" si="7"/>
        <v/>
      </c>
      <c r="J206" s="47">
        <v>1</v>
      </c>
      <c r="K206" s="61">
        <v>0</v>
      </c>
    </row>
    <row r="207" s="47" customFormat="1" ht="14.25" customHeight="1" spans="2:11">
      <c r="B207" s="57">
        <v>111</v>
      </c>
      <c r="C207" s="58" t="s">
        <v>279</v>
      </c>
      <c r="D207" s="58" t="s">
        <v>152</v>
      </c>
      <c r="E207" s="58" t="s">
        <v>459</v>
      </c>
      <c r="F207" s="58" t="s">
        <v>558</v>
      </c>
      <c r="G207" s="60">
        <v>1</v>
      </c>
      <c r="H207" s="47">
        <f t="shared" si="6"/>
        <v>1</v>
      </c>
      <c r="I207" s="47" t="str">
        <f t="shared" si="7"/>
        <v/>
      </c>
      <c r="J207" s="47">
        <v>1</v>
      </c>
      <c r="K207" s="61">
        <v>0</v>
      </c>
    </row>
    <row r="208" s="47" customFormat="1" ht="14.25" customHeight="1" spans="2:11">
      <c r="B208" s="57">
        <v>112</v>
      </c>
      <c r="C208" s="58" t="s">
        <v>279</v>
      </c>
      <c r="D208" s="58" t="s">
        <v>152</v>
      </c>
      <c r="E208" s="58" t="s">
        <v>459</v>
      </c>
      <c r="F208" s="58" t="s">
        <v>559</v>
      </c>
      <c r="G208" s="60">
        <v>1</v>
      </c>
      <c r="H208" s="47">
        <f t="shared" si="6"/>
        <v>1</v>
      </c>
      <c r="I208" s="47" t="str">
        <f t="shared" si="7"/>
        <v/>
      </c>
      <c r="J208" s="47">
        <v>1</v>
      </c>
      <c r="K208" s="61">
        <v>0</v>
      </c>
    </row>
    <row r="209" s="47" customFormat="1" ht="14.25" customHeight="1" spans="2:11">
      <c r="B209" s="57">
        <v>113</v>
      </c>
      <c r="C209" s="58" t="s">
        <v>296</v>
      </c>
      <c r="D209" s="58" t="s">
        <v>122</v>
      </c>
      <c r="E209" s="58" t="s">
        <v>380</v>
      </c>
      <c r="F209" s="58" t="s">
        <v>560</v>
      </c>
      <c r="G209" s="60">
        <v>1</v>
      </c>
      <c r="H209" s="47">
        <f t="shared" si="6"/>
        <v>1</v>
      </c>
      <c r="I209" s="47" t="str">
        <f t="shared" si="7"/>
        <v/>
      </c>
      <c r="J209" s="47">
        <v>1</v>
      </c>
      <c r="K209" s="61">
        <v>0</v>
      </c>
    </row>
    <row r="210" s="47" customFormat="1" ht="14.25" customHeight="1" spans="2:11">
      <c r="B210" s="57">
        <v>114</v>
      </c>
      <c r="C210" s="58" t="s">
        <v>268</v>
      </c>
      <c r="D210" s="58" t="s">
        <v>194</v>
      </c>
      <c r="E210" s="58" t="s">
        <v>561</v>
      </c>
      <c r="F210" s="58" t="s">
        <v>562</v>
      </c>
      <c r="G210" s="60">
        <v>1</v>
      </c>
      <c r="H210" s="47">
        <f t="shared" si="6"/>
        <v>1</v>
      </c>
      <c r="I210" s="47" t="str">
        <f t="shared" si="7"/>
        <v/>
      </c>
      <c r="J210" s="47">
        <v>1</v>
      </c>
      <c r="K210" s="61">
        <v>0</v>
      </c>
    </row>
    <row r="211" s="47" customFormat="1" ht="14.25" customHeight="1" spans="2:11">
      <c r="B211" s="57">
        <v>115</v>
      </c>
      <c r="C211" s="58" t="s">
        <v>268</v>
      </c>
      <c r="D211" s="58" t="s">
        <v>149</v>
      </c>
      <c r="E211" s="58" t="s">
        <v>563</v>
      </c>
      <c r="F211" s="58" t="s">
        <v>564</v>
      </c>
      <c r="G211" s="60">
        <v>1</v>
      </c>
      <c r="H211" s="47">
        <f t="shared" si="6"/>
        <v>1</v>
      </c>
      <c r="I211" s="47" t="str">
        <f t="shared" si="7"/>
        <v/>
      </c>
      <c r="J211" s="47">
        <v>1</v>
      </c>
      <c r="K211" s="61">
        <v>0</v>
      </c>
    </row>
    <row r="212" s="47" customFormat="1" ht="14.25" customHeight="1" spans="2:11">
      <c r="B212" s="57">
        <v>223</v>
      </c>
      <c r="C212" s="58" t="s">
        <v>268</v>
      </c>
      <c r="D212" s="58" t="s">
        <v>149</v>
      </c>
      <c r="E212" s="58" t="s">
        <v>565</v>
      </c>
      <c r="F212" s="58" t="s">
        <v>566</v>
      </c>
      <c r="G212" s="60">
        <v>1</v>
      </c>
      <c r="H212" s="47">
        <f t="shared" si="6"/>
        <v>1</v>
      </c>
      <c r="I212" s="47" t="str">
        <f t="shared" si="7"/>
        <v/>
      </c>
      <c r="J212" s="47">
        <v>1</v>
      </c>
      <c r="K212" s="61">
        <v>0</v>
      </c>
    </row>
    <row r="213" s="47" customFormat="1" ht="14.25" customHeight="1" spans="2:11">
      <c r="B213" s="57">
        <v>116</v>
      </c>
      <c r="C213" s="58" t="s">
        <v>268</v>
      </c>
      <c r="D213" s="58" t="s">
        <v>149</v>
      </c>
      <c r="E213" s="58" t="s">
        <v>567</v>
      </c>
      <c r="F213" s="58" t="s">
        <v>568</v>
      </c>
      <c r="G213" s="60">
        <v>1</v>
      </c>
      <c r="H213" s="47">
        <f t="shared" si="6"/>
        <v>1</v>
      </c>
      <c r="I213" s="47" t="str">
        <f t="shared" si="7"/>
        <v/>
      </c>
      <c r="J213" s="47">
        <v>1</v>
      </c>
      <c r="K213" s="61">
        <v>0</v>
      </c>
    </row>
    <row r="214" s="47" customFormat="1" ht="14.25" customHeight="1" spans="2:11">
      <c r="B214" s="57">
        <v>224</v>
      </c>
      <c r="C214" s="58" t="s">
        <v>268</v>
      </c>
      <c r="D214" s="58" t="s">
        <v>149</v>
      </c>
      <c r="E214" s="58" t="s">
        <v>565</v>
      </c>
      <c r="F214" s="58" t="s">
        <v>569</v>
      </c>
      <c r="G214" s="60">
        <v>1</v>
      </c>
      <c r="H214" s="47">
        <f t="shared" si="6"/>
        <v>1</v>
      </c>
      <c r="I214" s="47" t="str">
        <f t="shared" si="7"/>
        <v/>
      </c>
      <c r="J214" s="47">
        <v>1</v>
      </c>
      <c r="K214" s="61">
        <v>0</v>
      </c>
    </row>
    <row r="215" s="47" customFormat="1" ht="14.25" customHeight="1" spans="2:11">
      <c r="B215" s="57">
        <v>117</v>
      </c>
      <c r="C215" s="58" t="s">
        <v>268</v>
      </c>
      <c r="D215" s="58" t="s">
        <v>149</v>
      </c>
      <c r="E215" s="58" t="s">
        <v>567</v>
      </c>
      <c r="F215" s="58" t="s">
        <v>570</v>
      </c>
      <c r="G215" s="60">
        <v>1</v>
      </c>
      <c r="H215" s="47">
        <f t="shared" si="6"/>
        <v>1</v>
      </c>
      <c r="I215" s="47" t="str">
        <f t="shared" si="7"/>
        <v/>
      </c>
      <c r="J215" s="47">
        <v>1</v>
      </c>
      <c r="K215" s="61">
        <v>0</v>
      </c>
    </row>
    <row r="216" s="47" customFormat="1" ht="14.25" customHeight="1" spans="2:11">
      <c r="B216" s="57">
        <v>118</v>
      </c>
      <c r="C216" s="58" t="s">
        <v>268</v>
      </c>
      <c r="D216" s="58" t="s">
        <v>149</v>
      </c>
      <c r="E216" s="58" t="s">
        <v>567</v>
      </c>
      <c r="F216" s="58" t="s">
        <v>571</v>
      </c>
      <c r="G216" s="60">
        <v>1</v>
      </c>
      <c r="H216" s="47">
        <f t="shared" si="6"/>
        <v>1</v>
      </c>
      <c r="I216" s="47" t="str">
        <f t="shared" si="7"/>
        <v/>
      </c>
      <c r="J216" s="47">
        <v>1</v>
      </c>
      <c r="K216" s="61">
        <v>0</v>
      </c>
    </row>
    <row r="217" s="47" customFormat="1" ht="14.25" customHeight="1" spans="2:11">
      <c r="B217" s="57">
        <v>119</v>
      </c>
      <c r="C217" s="58" t="s">
        <v>268</v>
      </c>
      <c r="D217" s="58" t="s">
        <v>149</v>
      </c>
      <c r="E217" s="58" t="s">
        <v>567</v>
      </c>
      <c r="F217" s="58" t="s">
        <v>572</v>
      </c>
      <c r="G217" s="60">
        <v>1</v>
      </c>
      <c r="H217" s="47">
        <f t="shared" si="6"/>
        <v>1</v>
      </c>
      <c r="I217" s="47" t="str">
        <f t="shared" si="7"/>
        <v/>
      </c>
      <c r="J217" s="47">
        <v>1</v>
      </c>
      <c r="K217" s="61">
        <v>0</v>
      </c>
    </row>
    <row r="218" s="47" customFormat="1" ht="14.25" customHeight="1" spans="2:11">
      <c r="B218" s="57">
        <v>120</v>
      </c>
      <c r="C218" s="58" t="s">
        <v>268</v>
      </c>
      <c r="D218" s="58" t="s">
        <v>149</v>
      </c>
      <c r="E218" s="58" t="s">
        <v>565</v>
      </c>
      <c r="F218" s="58" t="s">
        <v>573</v>
      </c>
      <c r="G218" s="60">
        <v>1</v>
      </c>
      <c r="H218" s="47">
        <f t="shared" si="6"/>
        <v>1</v>
      </c>
      <c r="I218" s="47" t="str">
        <f t="shared" si="7"/>
        <v/>
      </c>
      <c r="J218" s="47">
        <v>1</v>
      </c>
      <c r="K218" s="61">
        <v>0</v>
      </c>
    </row>
    <row r="219" s="47" customFormat="1" ht="14.25" customHeight="1" spans="2:11">
      <c r="B219" s="57">
        <v>225</v>
      </c>
      <c r="C219" s="58" t="s">
        <v>268</v>
      </c>
      <c r="D219" s="58" t="s">
        <v>149</v>
      </c>
      <c r="E219" s="58" t="s">
        <v>565</v>
      </c>
      <c r="F219" s="58" t="s">
        <v>574</v>
      </c>
      <c r="G219" s="60">
        <v>1</v>
      </c>
      <c r="H219" s="47">
        <f t="shared" si="6"/>
        <v>1</v>
      </c>
      <c r="I219" s="47" t="str">
        <f t="shared" si="7"/>
        <v/>
      </c>
      <c r="J219" s="47">
        <v>1</v>
      </c>
      <c r="K219" s="61">
        <v>0</v>
      </c>
    </row>
    <row r="220" s="47" customFormat="1" ht="14.25" customHeight="1" spans="2:11">
      <c r="B220" s="57">
        <v>226</v>
      </c>
      <c r="C220" s="58" t="s">
        <v>268</v>
      </c>
      <c r="D220" s="58" t="s">
        <v>149</v>
      </c>
      <c r="E220" s="58" t="s">
        <v>565</v>
      </c>
      <c r="F220" s="58" t="s">
        <v>575</v>
      </c>
      <c r="G220" s="60">
        <v>1</v>
      </c>
      <c r="H220" s="47">
        <f t="shared" si="6"/>
        <v>1</v>
      </c>
      <c r="I220" s="47" t="str">
        <f t="shared" si="7"/>
        <v/>
      </c>
      <c r="J220" s="47">
        <v>1</v>
      </c>
      <c r="K220" s="61">
        <v>0</v>
      </c>
    </row>
    <row r="221" s="47" customFormat="1" ht="14.25" customHeight="1" spans="2:11">
      <c r="B221" s="57">
        <v>227</v>
      </c>
      <c r="C221" s="58" t="s">
        <v>268</v>
      </c>
      <c r="D221" s="58" t="s">
        <v>149</v>
      </c>
      <c r="E221" s="58" t="s">
        <v>576</v>
      </c>
      <c r="F221" s="58" t="s">
        <v>577</v>
      </c>
      <c r="G221" s="60">
        <v>1</v>
      </c>
      <c r="H221" s="47">
        <f t="shared" si="6"/>
        <v>1</v>
      </c>
      <c r="I221" s="47" t="str">
        <f t="shared" si="7"/>
        <v/>
      </c>
      <c r="J221" s="47">
        <v>1</v>
      </c>
      <c r="K221" s="61">
        <v>0</v>
      </c>
    </row>
    <row r="222" s="47" customFormat="1" ht="14.25" customHeight="1" spans="2:11">
      <c r="B222" s="57">
        <v>121</v>
      </c>
      <c r="C222" s="58" t="s">
        <v>268</v>
      </c>
      <c r="D222" s="58" t="s">
        <v>149</v>
      </c>
      <c r="E222" s="58" t="s">
        <v>563</v>
      </c>
      <c r="F222" s="58" t="s">
        <v>578</v>
      </c>
      <c r="G222" s="60">
        <v>1</v>
      </c>
      <c r="H222" s="47">
        <f t="shared" si="6"/>
        <v>1</v>
      </c>
      <c r="I222" s="47" t="str">
        <f t="shared" si="7"/>
        <v/>
      </c>
      <c r="J222" s="47">
        <v>1</v>
      </c>
      <c r="K222" s="61">
        <v>0</v>
      </c>
    </row>
    <row r="223" s="47" customFormat="1" ht="14.25" customHeight="1" spans="2:11">
      <c r="B223" s="57">
        <v>122</v>
      </c>
      <c r="C223" s="58" t="s">
        <v>268</v>
      </c>
      <c r="D223" s="58" t="s">
        <v>149</v>
      </c>
      <c r="E223" s="58" t="s">
        <v>563</v>
      </c>
      <c r="F223" s="58" t="s">
        <v>579</v>
      </c>
      <c r="G223" s="60">
        <v>1</v>
      </c>
      <c r="H223" s="47">
        <f t="shared" si="6"/>
        <v>1</v>
      </c>
      <c r="I223" s="47" t="str">
        <f t="shared" si="7"/>
        <v/>
      </c>
      <c r="J223" s="47">
        <v>1</v>
      </c>
      <c r="K223" s="61">
        <v>0</v>
      </c>
    </row>
    <row r="224" s="47" customFormat="1" ht="14.25" customHeight="1" spans="2:11">
      <c r="B224" s="57">
        <v>123</v>
      </c>
      <c r="C224" s="58" t="s">
        <v>268</v>
      </c>
      <c r="D224" s="58" t="s">
        <v>149</v>
      </c>
      <c r="E224" s="58" t="s">
        <v>563</v>
      </c>
      <c r="F224" s="58" t="s">
        <v>580</v>
      </c>
      <c r="G224" s="60">
        <v>1</v>
      </c>
      <c r="H224" s="47">
        <f t="shared" si="6"/>
        <v>1</v>
      </c>
      <c r="I224" s="47" t="str">
        <f t="shared" si="7"/>
        <v/>
      </c>
      <c r="J224" s="47">
        <v>1</v>
      </c>
      <c r="K224" s="61">
        <v>0</v>
      </c>
    </row>
    <row r="225" s="47" customFormat="1" ht="14.25" customHeight="1" spans="2:11">
      <c r="B225" s="57">
        <v>124</v>
      </c>
      <c r="C225" s="58" t="s">
        <v>268</v>
      </c>
      <c r="D225" s="58" t="s">
        <v>149</v>
      </c>
      <c r="E225" s="58" t="s">
        <v>576</v>
      </c>
      <c r="F225" s="58" t="s">
        <v>581</v>
      </c>
      <c r="G225" s="60">
        <v>1</v>
      </c>
      <c r="H225" s="47">
        <f t="shared" si="6"/>
        <v>1</v>
      </c>
      <c r="I225" s="47" t="str">
        <f t="shared" si="7"/>
        <v/>
      </c>
      <c r="J225" s="47">
        <v>1</v>
      </c>
      <c r="K225" s="61">
        <v>0</v>
      </c>
    </row>
    <row r="226" s="47" customFormat="1" ht="14.25" customHeight="1" spans="2:11">
      <c r="B226" s="57">
        <v>125</v>
      </c>
      <c r="C226" s="58" t="s">
        <v>279</v>
      </c>
      <c r="D226" s="58" t="s">
        <v>109</v>
      </c>
      <c r="E226" s="58" t="s">
        <v>582</v>
      </c>
      <c r="F226" s="58" t="s">
        <v>583</v>
      </c>
      <c r="G226" s="60">
        <v>1</v>
      </c>
      <c r="H226" s="47">
        <f t="shared" si="6"/>
        <v>1</v>
      </c>
      <c r="I226" s="47" t="str">
        <f t="shared" si="7"/>
        <v/>
      </c>
      <c r="J226" s="47">
        <v>1</v>
      </c>
      <c r="K226" s="61">
        <v>0</v>
      </c>
    </row>
    <row r="227" s="47" customFormat="1" ht="14.25" customHeight="1" spans="2:11">
      <c r="B227" s="57">
        <v>126</v>
      </c>
      <c r="C227" s="58" t="s">
        <v>268</v>
      </c>
      <c r="D227" s="58" t="s">
        <v>153</v>
      </c>
      <c r="E227" s="58" t="s">
        <v>584</v>
      </c>
      <c r="F227" s="58" t="s">
        <v>585</v>
      </c>
      <c r="G227" s="60">
        <v>1</v>
      </c>
      <c r="H227" s="47">
        <f t="shared" si="6"/>
        <v>1</v>
      </c>
      <c r="I227" s="47" t="str">
        <f t="shared" si="7"/>
        <v/>
      </c>
      <c r="J227" s="47">
        <v>1</v>
      </c>
      <c r="K227" s="61">
        <v>0</v>
      </c>
    </row>
    <row r="228" s="47" customFormat="1" ht="14.25" customHeight="1" spans="2:11">
      <c r="B228" s="57">
        <v>127</v>
      </c>
      <c r="C228" s="58" t="s">
        <v>279</v>
      </c>
      <c r="D228" s="58" t="s">
        <v>142</v>
      </c>
      <c r="E228" s="58" t="s">
        <v>280</v>
      </c>
      <c r="F228" s="58" t="s">
        <v>586</v>
      </c>
      <c r="G228" s="60">
        <v>1</v>
      </c>
      <c r="H228" s="47">
        <f t="shared" si="6"/>
        <v>1</v>
      </c>
      <c r="I228" s="47" t="str">
        <f t="shared" si="7"/>
        <v/>
      </c>
      <c r="J228" s="47">
        <v>1</v>
      </c>
      <c r="K228" s="61">
        <v>0</v>
      </c>
    </row>
    <row r="229" s="47" customFormat="1" ht="14.25" customHeight="1" spans="2:11">
      <c r="B229" s="57">
        <v>128</v>
      </c>
      <c r="C229" s="58" t="s">
        <v>268</v>
      </c>
      <c r="D229" s="58" t="s">
        <v>144</v>
      </c>
      <c r="E229" s="58" t="s">
        <v>587</v>
      </c>
      <c r="F229" s="58" t="s">
        <v>588</v>
      </c>
      <c r="G229" s="60">
        <v>1</v>
      </c>
      <c r="H229" s="47">
        <f t="shared" si="6"/>
        <v>1</v>
      </c>
      <c r="I229" s="47" t="str">
        <f t="shared" si="7"/>
        <v/>
      </c>
      <c r="J229" s="47">
        <v>1</v>
      </c>
      <c r="K229" s="61">
        <v>0</v>
      </c>
    </row>
    <row r="230" s="47" customFormat="1" ht="14.25" customHeight="1" spans="2:11">
      <c r="B230" s="57">
        <v>228</v>
      </c>
      <c r="C230" s="58" t="s">
        <v>390</v>
      </c>
      <c r="D230" s="58" t="s">
        <v>117</v>
      </c>
      <c r="E230" s="58" t="s">
        <v>589</v>
      </c>
      <c r="F230" s="58" t="s">
        <v>313</v>
      </c>
      <c r="G230" s="60">
        <v>1</v>
      </c>
      <c r="H230" s="47">
        <f t="shared" si="6"/>
        <v>1</v>
      </c>
      <c r="I230" s="47" t="str">
        <f t="shared" si="7"/>
        <v/>
      </c>
      <c r="J230" s="47">
        <v>1</v>
      </c>
      <c r="K230" s="61">
        <v>0</v>
      </c>
    </row>
    <row r="231" s="47" customFormat="1" ht="14.25" customHeight="1" spans="2:11">
      <c r="B231" s="57">
        <v>129</v>
      </c>
      <c r="C231" s="58" t="s">
        <v>306</v>
      </c>
      <c r="D231" s="58" t="s">
        <v>95</v>
      </c>
      <c r="E231" s="58" t="s">
        <v>550</v>
      </c>
      <c r="F231" s="58" t="s">
        <v>295</v>
      </c>
      <c r="G231" s="60">
        <v>1</v>
      </c>
      <c r="H231" s="47">
        <f t="shared" si="6"/>
        <v>1</v>
      </c>
      <c r="I231" s="47" t="str">
        <f t="shared" si="7"/>
        <v/>
      </c>
      <c r="J231" s="47">
        <v>1</v>
      </c>
      <c r="K231" s="61">
        <v>0</v>
      </c>
    </row>
    <row r="232" s="47" customFormat="1" ht="14.25" customHeight="1" spans="2:11">
      <c r="B232" s="57">
        <v>130</v>
      </c>
      <c r="C232" s="58" t="s">
        <v>265</v>
      </c>
      <c r="D232" s="58" t="s">
        <v>140</v>
      </c>
      <c r="E232" s="58" t="s">
        <v>590</v>
      </c>
      <c r="F232" s="58" t="s">
        <v>591</v>
      </c>
      <c r="G232" s="60">
        <v>1</v>
      </c>
      <c r="H232" s="47">
        <f t="shared" si="6"/>
        <v>1</v>
      </c>
      <c r="I232" s="47" t="str">
        <f t="shared" si="7"/>
        <v/>
      </c>
      <c r="J232" s="47">
        <v>1</v>
      </c>
      <c r="K232" s="61">
        <v>0</v>
      </c>
    </row>
    <row r="233" s="47" customFormat="1" ht="14.25" customHeight="1" spans="2:11">
      <c r="B233" s="57">
        <v>229</v>
      </c>
      <c r="C233" s="58" t="s">
        <v>268</v>
      </c>
      <c r="D233" s="58" t="s">
        <v>153</v>
      </c>
      <c r="E233" s="58" t="s">
        <v>592</v>
      </c>
      <c r="F233" s="58" t="s">
        <v>593</v>
      </c>
      <c r="G233" s="60">
        <v>1</v>
      </c>
      <c r="H233" s="47">
        <f t="shared" si="6"/>
        <v>1</v>
      </c>
      <c r="I233" s="47" t="str">
        <f t="shared" si="7"/>
        <v/>
      </c>
      <c r="J233" s="47">
        <v>1</v>
      </c>
      <c r="K233" s="61">
        <v>0</v>
      </c>
    </row>
    <row r="234" s="47" customFormat="1" ht="14.25" customHeight="1" spans="2:11">
      <c r="B234" s="57">
        <v>131</v>
      </c>
      <c r="C234" s="58" t="s">
        <v>279</v>
      </c>
      <c r="D234" s="58" t="s">
        <v>147</v>
      </c>
      <c r="E234" s="58" t="s">
        <v>594</v>
      </c>
      <c r="F234" s="58" t="s">
        <v>595</v>
      </c>
      <c r="G234" s="60">
        <v>1</v>
      </c>
      <c r="H234" s="47">
        <f t="shared" si="6"/>
        <v>1</v>
      </c>
      <c r="I234" s="47" t="str">
        <f t="shared" si="7"/>
        <v/>
      </c>
      <c r="J234" s="47">
        <v>1</v>
      </c>
      <c r="K234" s="61">
        <v>0</v>
      </c>
    </row>
    <row r="235" s="47" customFormat="1" ht="14.25" customHeight="1" spans="2:11">
      <c r="B235" s="57">
        <v>132</v>
      </c>
      <c r="C235" s="58" t="s">
        <v>279</v>
      </c>
      <c r="D235" s="58" t="s">
        <v>147</v>
      </c>
      <c r="E235" s="58" t="s">
        <v>596</v>
      </c>
      <c r="F235" s="58" t="s">
        <v>597</v>
      </c>
      <c r="G235" s="60">
        <v>1</v>
      </c>
      <c r="H235" s="47">
        <f t="shared" si="6"/>
        <v>1</v>
      </c>
      <c r="I235" s="47" t="str">
        <f t="shared" si="7"/>
        <v/>
      </c>
      <c r="J235" s="47">
        <v>1</v>
      </c>
      <c r="K235" s="61">
        <v>0</v>
      </c>
    </row>
    <row r="236" s="47" customFormat="1" ht="14.25" customHeight="1" spans="2:11">
      <c r="B236" s="57">
        <v>230</v>
      </c>
      <c r="C236" s="58" t="s">
        <v>265</v>
      </c>
      <c r="D236" s="58" t="s">
        <v>140</v>
      </c>
      <c r="E236" s="58" t="s">
        <v>590</v>
      </c>
      <c r="F236" s="58" t="s">
        <v>598</v>
      </c>
      <c r="G236" s="60">
        <v>1</v>
      </c>
      <c r="H236" s="47">
        <f t="shared" si="6"/>
        <v>1</v>
      </c>
      <c r="I236" s="47" t="str">
        <f t="shared" si="7"/>
        <v/>
      </c>
      <c r="J236" s="47">
        <v>1</v>
      </c>
      <c r="K236" s="61">
        <v>0</v>
      </c>
    </row>
    <row r="237" s="47" customFormat="1" ht="53.25" customHeight="1" spans="2:11">
      <c r="B237" s="57">
        <v>133</v>
      </c>
      <c r="C237" s="58" t="s">
        <v>279</v>
      </c>
      <c r="D237" s="58" t="s">
        <v>147</v>
      </c>
      <c r="E237" s="58" t="s">
        <v>596</v>
      </c>
      <c r="F237" s="58" t="s">
        <v>599</v>
      </c>
      <c r="G237" s="60">
        <v>1</v>
      </c>
      <c r="H237" s="47">
        <f t="shared" si="6"/>
        <v>1</v>
      </c>
      <c r="I237" s="47" t="str">
        <f t="shared" si="7"/>
        <v/>
      </c>
      <c r="J237" s="47">
        <v>1</v>
      </c>
      <c r="K237" s="61">
        <v>0</v>
      </c>
    </row>
    <row r="238" s="47" customFormat="1" ht="14.25" customHeight="1" spans="2:11">
      <c r="B238" s="57">
        <v>134</v>
      </c>
      <c r="C238" s="58" t="s">
        <v>268</v>
      </c>
      <c r="D238" s="58" t="s">
        <v>153</v>
      </c>
      <c r="E238" s="58" t="s">
        <v>600</v>
      </c>
      <c r="F238" s="58" t="s">
        <v>601</v>
      </c>
      <c r="G238" s="60">
        <v>1</v>
      </c>
      <c r="H238" s="47">
        <f t="shared" si="6"/>
        <v>1</v>
      </c>
      <c r="I238" s="47" t="str">
        <f t="shared" si="7"/>
        <v/>
      </c>
      <c r="J238" s="47">
        <v>1</v>
      </c>
      <c r="K238" s="61">
        <v>0</v>
      </c>
    </row>
    <row r="239" s="47" customFormat="1" ht="14.25" customHeight="1" spans="2:11">
      <c r="B239" s="57">
        <v>135</v>
      </c>
      <c r="C239" s="58" t="s">
        <v>268</v>
      </c>
      <c r="D239" s="58" t="s">
        <v>159</v>
      </c>
      <c r="E239" s="58" t="s">
        <v>602</v>
      </c>
      <c r="F239" s="58" t="s">
        <v>603</v>
      </c>
      <c r="G239" s="60">
        <v>1</v>
      </c>
      <c r="H239" s="47">
        <f t="shared" si="6"/>
        <v>1</v>
      </c>
      <c r="I239" s="47" t="str">
        <f t="shared" si="7"/>
        <v/>
      </c>
      <c r="J239" s="47">
        <v>1</v>
      </c>
      <c r="K239" s="61">
        <v>0</v>
      </c>
    </row>
    <row r="240" s="47" customFormat="1" ht="14.25" customHeight="1" spans="2:11">
      <c r="B240" s="57">
        <v>136</v>
      </c>
      <c r="C240" s="58" t="s">
        <v>279</v>
      </c>
      <c r="D240" s="58" t="s">
        <v>139</v>
      </c>
      <c r="E240" s="58" t="s">
        <v>604</v>
      </c>
      <c r="F240" s="58" t="s">
        <v>313</v>
      </c>
      <c r="G240" s="60">
        <v>1</v>
      </c>
      <c r="H240" s="47">
        <f t="shared" si="6"/>
        <v>1</v>
      </c>
      <c r="I240" s="47" t="str">
        <f t="shared" si="7"/>
        <v/>
      </c>
      <c r="J240" s="47">
        <v>1</v>
      </c>
      <c r="K240" s="61">
        <v>0</v>
      </c>
    </row>
    <row r="241" s="47" customFormat="1" ht="14.25" customHeight="1" spans="2:11">
      <c r="B241" s="57">
        <v>231</v>
      </c>
      <c r="C241" s="58" t="s">
        <v>390</v>
      </c>
      <c r="D241" s="58" t="s">
        <v>136</v>
      </c>
      <c r="E241" s="58" t="s">
        <v>605</v>
      </c>
      <c r="F241" s="58" t="s">
        <v>606</v>
      </c>
      <c r="G241" s="60">
        <v>1</v>
      </c>
      <c r="H241" s="47">
        <f t="shared" si="6"/>
        <v>1</v>
      </c>
      <c r="I241" s="47" t="str">
        <f t="shared" si="7"/>
        <v/>
      </c>
      <c r="J241" s="47">
        <v>1</v>
      </c>
      <c r="K241" s="61">
        <v>0</v>
      </c>
    </row>
    <row r="242" s="47" customFormat="1" ht="14.25" customHeight="1" spans="2:11">
      <c r="B242" s="57">
        <v>137</v>
      </c>
      <c r="C242" s="58" t="s">
        <v>279</v>
      </c>
      <c r="D242" s="58" t="s">
        <v>154</v>
      </c>
      <c r="E242" s="58" t="s">
        <v>607</v>
      </c>
      <c r="F242" s="58" t="s">
        <v>608</v>
      </c>
      <c r="G242" s="60">
        <v>1</v>
      </c>
      <c r="H242" s="47">
        <f t="shared" si="6"/>
        <v>1</v>
      </c>
      <c r="I242" s="47" t="str">
        <f t="shared" si="7"/>
        <v/>
      </c>
      <c r="J242" s="47">
        <v>1</v>
      </c>
      <c r="K242" s="61">
        <v>0</v>
      </c>
    </row>
    <row r="243" s="47" customFormat="1" ht="14.25" customHeight="1" spans="2:11">
      <c r="B243" s="57">
        <v>138</v>
      </c>
      <c r="C243" s="58" t="s">
        <v>274</v>
      </c>
      <c r="D243" s="58" t="s">
        <v>156</v>
      </c>
      <c r="E243" s="58" t="s">
        <v>609</v>
      </c>
      <c r="F243" s="58" t="s">
        <v>313</v>
      </c>
      <c r="G243" s="60">
        <v>1</v>
      </c>
      <c r="H243" s="47">
        <f t="shared" si="6"/>
        <v>1</v>
      </c>
      <c r="I243" s="47" t="str">
        <f t="shared" si="7"/>
        <v/>
      </c>
      <c r="J243" s="47">
        <v>1</v>
      </c>
      <c r="K243" s="61">
        <v>0</v>
      </c>
    </row>
    <row r="244" s="47" customFormat="1" ht="14.25" customHeight="1" spans="2:11">
      <c r="B244" s="57">
        <v>139</v>
      </c>
      <c r="C244" s="58" t="s">
        <v>265</v>
      </c>
      <c r="D244" s="58" t="s">
        <v>141</v>
      </c>
      <c r="E244" s="58" t="s">
        <v>610</v>
      </c>
      <c r="F244" s="58" t="s">
        <v>611</v>
      </c>
      <c r="G244" s="60">
        <v>1</v>
      </c>
      <c r="H244" s="47">
        <f t="shared" si="6"/>
        <v>1</v>
      </c>
      <c r="I244" s="47" t="str">
        <f t="shared" si="7"/>
        <v/>
      </c>
      <c r="J244" s="47">
        <v>1</v>
      </c>
      <c r="K244" s="61">
        <v>0</v>
      </c>
    </row>
    <row r="245" s="47" customFormat="1" ht="14.25" customHeight="1" spans="2:11">
      <c r="B245" s="57">
        <v>140</v>
      </c>
      <c r="C245" s="58" t="s">
        <v>390</v>
      </c>
      <c r="D245" s="58" t="s">
        <v>136</v>
      </c>
      <c r="E245" s="58" t="s">
        <v>612</v>
      </c>
      <c r="F245" s="58" t="s">
        <v>613</v>
      </c>
      <c r="G245" s="60">
        <v>1</v>
      </c>
      <c r="H245" s="47">
        <f t="shared" si="6"/>
        <v>1</v>
      </c>
      <c r="I245" s="47" t="str">
        <f t="shared" si="7"/>
        <v/>
      </c>
      <c r="J245" s="47">
        <v>1</v>
      </c>
      <c r="K245" s="61">
        <v>0</v>
      </c>
    </row>
    <row r="246" s="47" customFormat="1" ht="14.25" customHeight="1" spans="2:11">
      <c r="B246" s="57">
        <v>141</v>
      </c>
      <c r="C246" s="58" t="s">
        <v>268</v>
      </c>
      <c r="D246" s="58" t="s">
        <v>159</v>
      </c>
      <c r="E246" s="58" t="s">
        <v>614</v>
      </c>
      <c r="F246" s="58" t="s">
        <v>615</v>
      </c>
      <c r="G246" s="60">
        <v>1</v>
      </c>
      <c r="H246" s="47">
        <f t="shared" si="6"/>
        <v>1</v>
      </c>
      <c r="I246" s="47" t="str">
        <f t="shared" si="7"/>
        <v/>
      </c>
      <c r="J246" s="47">
        <v>1</v>
      </c>
      <c r="K246" s="61">
        <v>0</v>
      </c>
    </row>
    <row r="247" s="47" customFormat="1" ht="14.25" customHeight="1" spans="2:11">
      <c r="B247" s="57">
        <v>232</v>
      </c>
      <c r="C247" s="58" t="s">
        <v>390</v>
      </c>
      <c r="D247" s="58" t="s">
        <v>192</v>
      </c>
      <c r="E247" s="58" t="s">
        <v>616</v>
      </c>
      <c r="F247" s="58" t="s">
        <v>409</v>
      </c>
      <c r="G247" s="60">
        <v>1</v>
      </c>
      <c r="H247" s="47">
        <f t="shared" si="6"/>
        <v>1</v>
      </c>
      <c r="I247" s="47" t="str">
        <f t="shared" si="7"/>
        <v/>
      </c>
      <c r="J247" s="47">
        <v>1</v>
      </c>
      <c r="K247" s="61">
        <v>0</v>
      </c>
    </row>
    <row r="248" s="47" customFormat="1" ht="14.25" customHeight="1" spans="2:11">
      <c r="B248" s="57">
        <v>233</v>
      </c>
      <c r="C248" s="58" t="s">
        <v>390</v>
      </c>
      <c r="D248" s="58" t="s">
        <v>138</v>
      </c>
      <c r="E248" s="58" t="s">
        <v>617</v>
      </c>
      <c r="F248" s="58" t="s">
        <v>295</v>
      </c>
      <c r="G248" s="60">
        <v>1</v>
      </c>
      <c r="H248" s="47">
        <f t="shared" si="6"/>
        <v>1</v>
      </c>
      <c r="I248" s="47" t="str">
        <f t="shared" si="7"/>
        <v/>
      </c>
      <c r="J248" s="47">
        <v>1</v>
      </c>
      <c r="K248" s="61">
        <v>0</v>
      </c>
    </row>
    <row r="249" s="47" customFormat="1" ht="14.25" customHeight="1" spans="2:11">
      <c r="B249" s="57">
        <v>234</v>
      </c>
      <c r="C249" s="58" t="s">
        <v>268</v>
      </c>
      <c r="D249" s="58" t="s">
        <v>153</v>
      </c>
      <c r="E249" s="58" t="s">
        <v>618</v>
      </c>
      <c r="F249" s="58" t="s">
        <v>619</v>
      </c>
      <c r="G249" s="60">
        <v>1</v>
      </c>
      <c r="H249" s="47">
        <f t="shared" si="6"/>
        <v>1</v>
      </c>
      <c r="I249" s="47" t="str">
        <f t="shared" si="7"/>
        <v/>
      </c>
      <c r="J249" s="47">
        <v>1</v>
      </c>
      <c r="K249" s="61">
        <v>0</v>
      </c>
    </row>
    <row r="250" s="47" customFormat="1" ht="14.25" customHeight="1" spans="2:11">
      <c r="B250" s="57">
        <v>235</v>
      </c>
      <c r="C250" s="58" t="s">
        <v>390</v>
      </c>
      <c r="D250" s="58" t="s">
        <v>192</v>
      </c>
      <c r="E250" s="58" t="s">
        <v>616</v>
      </c>
      <c r="F250" s="58" t="s">
        <v>559</v>
      </c>
      <c r="G250" s="60">
        <v>1</v>
      </c>
      <c r="H250" s="47">
        <f t="shared" si="6"/>
        <v>1</v>
      </c>
      <c r="I250" s="47" t="str">
        <f t="shared" si="7"/>
        <v/>
      </c>
      <c r="J250" s="47">
        <v>1</v>
      </c>
      <c r="K250" s="61">
        <v>0</v>
      </c>
    </row>
    <row r="251" s="47" customFormat="1" ht="14.25" customHeight="1" spans="2:11">
      <c r="B251" s="57">
        <v>236</v>
      </c>
      <c r="C251" s="58" t="s">
        <v>390</v>
      </c>
      <c r="D251" s="58" t="s">
        <v>192</v>
      </c>
      <c r="E251" s="58" t="s">
        <v>616</v>
      </c>
      <c r="F251" s="58" t="s">
        <v>394</v>
      </c>
      <c r="G251" s="60">
        <v>1</v>
      </c>
      <c r="H251" s="47">
        <f t="shared" si="6"/>
        <v>1</v>
      </c>
      <c r="I251" s="47" t="str">
        <f t="shared" si="7"/>
        <v/>
      </c>
      <c r="J251" s="47">
        <v>1</v>
      </c>
      <c r="K251" s="61">
        <v>0</v>
      </c>
    </row>
    <row r="252" s="47" customFormat="1" ht="14.25" customHeight="1" spans="2:11">
      <c r="B252" s="57">
        <v>237</v>
      </c>
      <c r="C252" s="58" t="s">
        <v>296</v>
      </c>
      <c r="D252" s="58" t="s">
        <v>132</v>
      </c>
      <c r="E252" s="58" t="s">
        <v>331</v>
      </c>
      <c r="F252" s="58" t="s">
        <v>313</v>
      </c>
      <c r="G252" s="60">
        <v>2</v>
      </c>
      <c r="H252" s="47" t="str">
        <f t="shared" si="6"/>
        <v/>
      </c>
      <c r="I252" s="47">
        <f t="shared" si="7"/>
        <v>2</v>
      </c>
      <c r="J252" s="47">
        <v>1</v>
      </c>
      <c r="K252" s="61">
        <v>0</v>
      </c>
    </row>
    <row r="253" s="47" customFormat="1" ht="14.25" customHeight="1" spans="2:11">
      <c r="B253" s="57">
        <v>238</v>
      </c>
      <c r="C253" s="58" t="s">
        <v>306</v>
      </c>
      <c r="D253" s="58" t="s">
        <v>90</v>
      </c>
      <c r="E253" s="58" t="s">
        <v>391</v>
      </c>
      <c r="F253" s="58" t="s">
        <v>295</v>
      </c>
      <c r="G253" s="60">
        <v>2</v>
      </c>
      <c r="H253" s="47" t="str">
        <f t="shared" si="6"/>
        <v/>
      </c>
      <c r="I253" s="47">
        <f t="shared" si="7"/>
        <v>2</v>
      </c>
      <c r="J253" s="47">
        <v>1</v>
      </c>
      <c r="K253" s="61">
        <v>0</v>
      </c>
    </row>
    <row r="254" s="47" customFormat="1" ht="14.25" customHeight="1" spans="2:11">
      <c r="B254" s="57">
        <v>239</v>
      </c>
      <c r="C254" s="58" t="s">
        <v>279</v>
      </c>
      <c r="D254" s="58" t="s">
        <v>152</v>
      </c>
      <c r="E254" s="58" t="s">
        <v>459</v>
      </c>
      <c r="F254" s="58" t="s">
        <v>409</v>
      </c>
      <c r="G254" s="60">
        <v>2</v>
      </c>
      <c r="H254" s="47" t="str">
        <f t="shared" si="6"/>
        <v/>
      </c>
      <c r="I254" s="47">
        <f t="shared" si="7"/>
        <v>2</v>
      </c>
      <c r="J254" s="47">
        <v>1</v>
      </c>
      <c r="K254" s="61">
        <v>0</v>
      </c>
    </row>
    <row r="255" s="47" customFormat="1" ht="14.25" customHeight="1" spans="2:11">
      <c r="B255" s="57">
        <v>240</v>
      </c>
      <c r="C255" s="58" t="s">
        <v>268</v>
      </c>
      <c r="D255" s="58" t="s">
        <v>153</v>
      </c>
      <c r="E255" s="58" t="s">
        <v>620</v>
      </c>
      <c r="F255" s="58" t="s">
        <v>621</v>
      </c>
      <c r="G255" s="60">
        <v>2</v>
      </c>
      <c r="H255" s="47" t="str">
        <f t="shared" si="6"/>
        <v/>
      </c>
      <c r="I255" s="47">
        <f t="shared" si="7"/>
        <v>2</v>
      </c>
      <c r="J255" s="47">
        <v>1</v>
      </c>
      <c r="K255" s="61">
        <v>0</v>
      </c>
    </row>
    <row r="256" s="47" customFormat="1" ht="14.25" customHeight="1" spans="2:11">
      <c r="B256" s="57">
        <v>241</v>
      </c>
      <c r="C256" s="58" t="s">
        <v>390</v>
      </c>
      <c r="D256" s="58" t="s">
        <v>136</v>
      </c>
      <c r="E256" s="58" t="s">
        <v>622</v>
      </c>
      <c r="F256" s="58" t="s">
        <v>623</v>
      </c>
      <c r="G256" s="59">
        <v>1</v>
      </c>
      <c r="H256" s="47">
        <f t="shared" si="6"/>
        <v>1</v>
      </c>
      <c r="I256" s="47" t="str">
        <f t="shared" si="7"/>
        <v/>
      </c>
      <c r="J256" s="47">
        <v>1</v>
      </c>
      <c r="K256" s="61">
        <v>0</v>
      </c>
    </row>
    <row r="257" s="47" customFormat="1" ht="14.25" customHeight="1" spans="2:11">
      <c r="B257" s="57">
        <v>242</v>
      </c>
      <c r="C257" s="58" t="s">
        <v>390</v>
      </c>
      <c r="D257" s="58" t="s">
        <v>158</v>
      </c>
      <c r="E257" s="58" t="s">
        <v>524</v>
      </c>
      <c r="F257" s="58" t="s">
        <v>313</v>
      </c>
      <c r="G257" s="59">
        <v>1</v>
      </c>
      <c r="H257" s="47">
        <f t="shared" si="6"/>
        <v>1</v>
      </c>
      <c r="I257" s="47" t="str">
        <f t="shared" si="7"/>
        <v/>
      </c>
      <c r="J257" s="47">
        <v>1</v>
      </c>
      <c r="K257" s="61">
        <v>0</v>
      </c>
    </row>
    <row r="258" s="47" customFormat="1" ht="14.25" customHeight="1" spans="2:11">
      <c r="B258" s="57">
        <v>243</v>
      </c>
      <c r="C258" s="58" t="s">
        <v>265</v>
      </c>
      <c r="D258" s="58" t="s">
        <v>98</v>
      </c>
      <c r="E258" s="58" t="s">
        <v>352</v>
      </c>
      <c r="F258" s="58" t="s">
        <v>624</v>
      </c>
      <c r="G258" s="59">
        <v>0</v>
      </c>
      <c r="H258" s="47" t="str">
        <f t="shared" si="6"/>
        <v/>
      </c>
      <c r="I258" s="47" t="str">
        <f t="shared" si="7"/>
        <v/>
      </c>
      <c r="J258" s="47">
        <v>1</v>
      </c>
      <c r="K258" s="61">
        <v>0</v>
      </c>
    </row>
    <row r="259" s="47" customFormat="1" ht="14.25" customHeight="1" spans="2:11">
      <c r="B259" s="57">
        <v>244</v>
      </c>
      <c r="C259" s="58" t="s">
        <v>265</v>
      </c>
      <c r="D259" s="58" t="s">
        <v>98</v>
      </c>
      <c r="E259" s="58" t="s">
        <v>352</v>
      </c>
      <c r="F259" s="58" t="s">
        <v>625</v>
      </c>
      <c r="G259" s="59">
        <v>0</v>
      </c>
      <c r="H259" s="47" t="str">
        <f t="shared" si="6"/>
        <v/>
      </c>
      <c r="I259" s="47" t="str">
        <f t="shared" si="7"/>
        <v/>
      </c>
      <c r="J259" s="47">
        <v>1</v>
      </c>
      <c r="K259" s="61">
        <v>0</v>
      </c>
    </row>
    <row r="260" s="47" customFormat="1" ht="14.25" customHeight="1" spans="2:11">
      <c r="B260" s="57">
        <v>245</v>
      </c>
      <c r="C260" s="58" t="s">
        <v>265</v>
      </c>
      <c r="D260" s="58" t="s">
        <v>98</v>
      </c>
      <c r="E260" s="58" t="s">
        <v>352</v>
      </c>
      <c r="F260" s="58" t="s">
        <v>626</v>
      </c>
      <c r="G260" s="59">
        <v>0</v>
      </c>
      <c r="H260" s="47" t="str">
        <f t="shared" si="6"/>
        <v/>
      </c>
      <c r="I260" s="47" t="str">
        <f t="shared" si="7"/>
        <v/>
      </c>
      <c r="J260" s="47">
        <v>1</v>
      </c>
      <c r="K260" s="61">
        <v>0</v>
      </c>
    </row>
    <row r="261" s="47" customFormat="1" ht="14.25" customHeight="1" spans="2:11">
      <c r="B261" s="57">
        <v>246</v>
      </c>
      <c r="C261" s="58" t="s">
        <v>265</v>
      </c>
      <c r="D261" s="58" t="s">
        <v>98</v>
      </c>
      <c r="E261" s="58" t="s">
        <v>352</v>
      </c>
      <c r="F261" s="58" t="s">
        <v>627</v>
      </c>
      <c r="G261" s="59">
        <v>0</v>
      </c>
      <c r="H261" s="47" t="str">
        <f t="shared" si="6"/>
        <v/>
      </c>
      <c r="I261" s="47" t="str">
        <f t="shared" si="7"/>
        <v/>
      </c>
      <c r="J261" s="47">
        <v>1</v>
      </c>
      <c r="K261" s="61">
        <v>0</v>
      </c>
    </row>
    <row r="262" s="47" customFormat="1" ht="14.25" customHeight="1" spans="2:11">
      <c r="B262" s="57">
        <v>257</v>
      </c>
      <c r="C262" s="58" t="s">
        <v>268</v>
      </c>
      <c r="D262" s="58" t="s">
        <v>159</v>
      </c>
      <c r="E262" s="58" t="s">
        <v>628</v>
      </c>
      <c r="F262" s="58" t="s">
        <v>629</v>
      </c>
      <c r="G262" s="59">
        <v>1</v>
      </c>
      <c r="H262" s="47">
        <f t="shared" si="6"/>
        <v>1</v>
      </c>
      <c r="I262" s="47" t="str">
        <f t="shared" si="7"/>
        <v/>
      </c>
      <c r="J262" s="47">
        <v>1</v>
      </c>
      <c r="K262" s="61">
        <v>0</v>
      </c>
    </row>
    <row r="263" s="47" customFormat="1" ht="14.25" customHeight="1" spans="2:11">
      <c r="B263" s="57">
        <v>258</v>
      </c>
      <c r="C263" s="58" t="s">
        <v>279</v>
      </c>
      <c r="D263" s="58" t="s">
        <v>154</v>
      </c>
      <c r="E263" s="58" t="s">
        <v>607</v>
      </c>
      <c r="F263" s="58" t="s">
        <v>630</v>
      </c>
      <c r="G263" s="59">
        <v>1</v>
      </c>
      <c r="H263" s="47">
        <f t="shared" si="6"/>
        <v>1</v>
      </c>
      <c r="I263" s="47" t="str">
        <f t="shared" si="7"/>
        <v/>
      </c>
      <c r="J263" s="47">
        <v>1</v>
      </c>
      <c r="K263" s="61">
        <v>0</v>
      </c>
    </row>
    <row r="264" s="47" customFormat="1" ht="14.25" customHeight="1" spans="2:11">
      <c r="B264" s="57">
        <v>259</v>
      </c>
      <c r="C264" s="58" t="s">
        <v>268</v>
      </c>
      <c r="D264" s="58" t="s">
        <v>149</v>
      </c>
      <c r="E264" s="58" t="s">
        <v>631</v>
      </c>
      <c r="F264" s="58" t="s">
        <v>632</v>
      </c>
      <c r="G264" s="59">
        <v>1</v>
      </c>
      <c r="H264" s="47">
        <f t="shared" ref="H264:H266" si="8">IF(G264=1,1,"")</f>
        <v>1</v>
      </c>
      <c r="I264" s="47" t="str">
        <f t="shared" si="7"/>
        <v/>
      </c>
      <c r="J264" s="47">
        <v>1</v>
      </c>
      <c r="K264" s="61">
        <v>0</v>
      </c>
    </row>
    <row r="265" s="47" customFormat="1" ht="14.25" customHeight="1" spans="2:11">
      <c r="B265" s="57">
        <v>142</v>
      </c>
      <c r="C265" s="58" t="s">
        <v>268</v>
      </c>
      <c r="D265" s="58" t="s">
        <v>149</v>
      </c>
      <c r="E265" s="58" t="s">
        <v>631</v>
      </c>
      <c r="F265" s="58" t="s">
        <v>633</v>
      </c>
      <c r="G265" s="59">
        <v>1</v>
      </c>
      <c r="H265" s="47">
        <f t="shared" si="8"/>
        <v>1</v>
      </c>
      <c r="I265" s="47" t="str">
        <f t="shared" si="7"/>
        <v/>
      </c>
      <c r="J265" s="47">
        <v>1</v>
      </c>
      <c r="K265" s="61">
        <v>0</v>
      </c>
    </row>
    <row r="266" s="47" customFormat="1" ht="14.25" customHeight="1" spans="2:11">
      <c r="B266" s="57">
        <v>143</v>
      </c>
      <c r="C266" s="58" t="s">
        <v>268</v>
      </c>
      <c r="D266" s="58" t="s">
        <v>149</v>
      </c>
      <c r="E266" s="58" t="s">
        <v>392</v>
      </c>
      <c r="F266" s="58" t="s">
        <v>634</v>
      </c>
      <c r="G266" s="59">
        <v>1</v>
      </c>
      <c r="H266" s="47">
        <f t="shared" si="8"/>
        <v>1</v>
      </c>
      <c r="I266" s="47" t="str">
        <f t="shared" si="7"/>
        <v/>
      </c>
      <c r="J266" s="47">
        <v>1</v>
      </c>
      <c r="K266" s="61">
        <v>0</v>
      </c>
    </row>
  </sheetData>
  <sortState ref="B8:U266">
    <sortCondition ref="D8:D266"/>
  </sortState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0"/>
  <dimension ref="B2:T109"/>
  <sheetViews>
    <sheetView workbookViewId="0">
      <pane xSplit="2" ySplit="15" topLeftCell="C71" activePane="bottomRight" state="frozen"/>
      <selection/>
      <selection pane="topRight"/>
      <selection pane="bottomLeft"/>
      <selection pane="bottomRight" activeCell="A89" sqref="$A89:$XFD89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4" width="13.5" style="7" customWidth="1"/>
    <col min="5" max="11" width="13.5" style="9" customWidth="1"/>
    <col min="12" max="12" width="49.8583333333333" style="6" customWidth="1"/>
    <col min="13" max="14" width="48.1416666666667" style="6" customWidth="1"/>
    <col min="15" max="15" width="52.5" style="6" customWidth="1"/>
    <col min="16" max="16" width="48.1416666666667" style="6" customWidth="1"/>
    <col min="17" max="17" width="12.1416666666667" style="9" customWidth="1"/>
    <col min="18" max="18" width="29.3583333333333" style="34" customWidth="1"/>
    <col min="19" max="16384" width="10.8583333333333" style="6"/>
  </cols>
  <sheetData>
    <row r="2" ht="15.6" spans="2:2">
      <c r="B2" s="4" t="s">
        <v>635</v>
      </c>
    </row>
    <row r="4" s="4" customFormat="1" ht="15.6" spans="2:20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</row>
    <row r="5" spans="2:20">
      <c r="B5" s="6" t="s">
        <v>636</v>
      </c>
      <c r="C5" s="15">
        <v>45566</v>
      </c>
      <c r="E5" s="8"/>
      <c r="F5" s="8"/>
      <c r="G5" s="7"/>
      <c r="H5" s="7"/>
      <c r="L5" s="9"/>
      <c r="M5" s="9"/>
      <c r="N5" s="9"/>
      <c r="O5" s="11"/>
      <c r="P5" s="11"/>
      <c r="Q5" s="11"/>
      <c r="R5" s="11"/>
      <c r="S5" s="11"/>
      <c r="T5" s="11"/>
    </row>
    <row r="7" spans="2:2">
      <c r="B7" s="6" t="s">
        <v>173</v>
      </c>
    </row>
    <row r="8" spans="2:4">
      <c r="B8" s="6" t="s">
        <v>174</v>
      </c>
      <c r="D8" s="11">
        <v>1</v>
      </c>
    </row>
    <row r="9" spans="2:4">
      <c r="B9" s="6" t="s">
        <v>175</v>
      </c>
      <c r="D9" s="11">
        <v>0.5</v>
      </c>
    </row>
    <row r="10" spans="2:2">
      <c r="B10" s="6" t="s">
        <v>176</v>
      </c>
    </row>
    <row r="11" spans="2:3">
      <c r="B11" s="6" t="s">
        <v>177</v>
      </c>
      <c r="C11" s="17"/>
    </row>
    <row r="12" spans="3:3">
      <c r="C12" s="17"/>
    </row>
    <row r="14" s="5" customFormat="1" ht="60" spans="2:18">
      <c r="B14" s="5" t="s">
        <v>2</v>
      </c>
      <c r="C14" s="19" t="s">
        <v>178</v>
      </c>
      <c r="D14" s="19" t="s">
        <v>179</v>
      </c>
      <c r="E14" s="21" t="s">
        <v>637</v>
      </c>
      <c r="F14" s="21" t="s">
        <v>638</v>
      </c>
      <c r="G14" s="21" t="s">
        <v>639</v>
      </c>
      <c r="H14" s="21" t="s">
        <v>640</v>
      </c>
      <c r="I14" s="21" t="s">
        <v>641</v>
      </c>
      <c r="J14" s="21" t="s">
        <v>642</v>
      </c>
      <c r="K14" s="21" t="s">
        <v>643</v>
      </c>
      <c r="L14" s="30" t="s">
        <v>637</v>
      </c>
      <c r="M14" s="30" t="s">
        <v>638</v>
      </c>
      <c r="N14" s="30" t="s">
        <v>639</v>
      </c>
      <c r="O14" s="30" t="s">
        <v>644</v>
      </c>
      <c r="P14" s="30" t="s">
        <v>645</v>
      </c>
      <c r="Q14" s="30" t="s">
        <v>214</v>
      </c>
      <c r="R14" s="30" t="s">
        <v>642</v>
      </c>
    </row>
    <row r="15" s="5" customFormat="1" spans="2:18">
      <c r="B15" s="5" t="s">
        <v>182</v>
      </c>
      <c r="C15" s="22"/>
      <c r="D15" s="22"/>
      <c r="E15" s="21"/>
      <c r="F15" s="21"/>
      <c r="G15" s="21"/>
      <c r="H15" s="21"/>
      <c r="I15" s="21"/>
      <c r="J15" s="21" t="str">
        <f>_xlfn.TEXTJOIN(,0,COUNTIF(J16:J104,"подписана")," из ",COUNTIF(J16:J104,"подписана")+COUNTIF(J16:J104,"в разработке"))</f>
        <v>16 из 31</v>
      </c>
      <c r="K15" s="21"/>
      <c r="L15" s="6"/>
      <c r="M15" s="6"/>
      <c r="N15" s="6"/>
      <c r="O15" s="6"/>
      <c r="P15" s="6"/>
      <c r="Q15" s="9" t="str">
        <f>_xlfn.TEXTJOIN(,0,SUMIF(C16:C104,"=2",C16:C104)/2," / ",SUMIF(C16:C104,"=1",C16:C104)," / ",85-SUMIF(C16:C104,"=2",C16:C104)/2-SUMIF(C16:C104,"=1",C16:C104))</f>
        <v>29 / 16 / 40</v>
      </c>
      <c r="R15" s="34"/>
    </row>
    <row r="16" spans="2:18">
      <c r="B16" s="25" t="s">
        <v>146</v>
      </c>
      <c r="C16" s="22">
        <f>IF(D16&gt;$D$8,2,IF(D16&gt;$D$9,1,0))</f>
        <v>2</v>
      </c>
      <c r="D16" s="22">
        <f>MAX(E16,F16,G16,H16)</f>
        <v>2</v>
      </c>
      <c r="E16" s="45"/>
      <c r="F16" s="45"/>
      <c r="G16" s="45">
        <v>2</v>
      </c>
      <c r="H16" s="45"/>
      <c r="I16" s="45"/>
      <c r="J16" s="45" t="s">
        <v>257</v>
      </c>
      <c r="K16" s="9">
        <f t="shared" ref="K16:K79" si="0">IF(J16=$J$107,2,IF(J16=$J$108,1,0))</f>
        <v>0</v>
      </c>
      <c r="L16" s="6" t="str">
        <f>IF(E16&gt;0,"Имеются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16" s="6" t="str">
        <f>IF(F16&gt;0,"Для ряда территорий осутствует схема потоков ТКО","Все потоки ТКО указаны в территориальной схеме")</f>
        <v>Все потоки ТКО указаны в территориальной схеме</v>
      </c>
      <c r="N16" s="6" t="str">
        <f>IF(G16=2,"Риски замещения объектов по 765 приказу высокие",IF(G16=1,"Риски замещения объектов по 765 приказу средние","Объектов по 765 приказу нет"))</f>
        <v>Риски замещения объектов по 765 приказу высокие</v>
      </c>
      <c r="O16" s="6" t="str">
        <f>IF(H16&gt;0,"Захоронение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16" s="6" t="str">
        <f>IF(I16&gt;0,"Действующие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16" s="9" t="str">
        <f>IF(E16&gt;0,"свалки",IF(F16&gt;0,"белые пятна",IF(G16&gt;0,"765 приказ",IF(H16&gt;0,"перегруз",""))))</f>
        <v>765 приказ</v>
      </c>
      <c r="R16" s="34" t="str">
        <f>_xlfn.TEXTJOIN(,0,"Дорожная карта ",J16)</f>
        <v>Дорожная карта подписана</v>
      </c>
    </row>
    <row r="17" spans="2:18">
      <c r="B17" s="25" t="s">
        <v>150</v>
      </c>
      <c r="C17" s="22">
        <f t="shared" ref="C17:C80" si="1">IF(D17&gt;$D$8,2,IF(D17&gt;$D$9,1,0))</f>
        <v>2</v>
      </c>
      <c r="D17" s="22">
        <f t="shared" ref="D17:D80" si="2">MAX(E17,F17,G17,H17)</f>
        <v>2</v>
      </c>
      <c r="E17" s="45"/>
      <c r="F17" s="45">
        <v>2</v>
      </c>
      <c r="G17" s="45"/>
      <c r="H17" s="45"/>
      <c r="I17" s="45"/>
      <c r="J17" s="45" t="s">
        <v>255</v>
      </c>
      <c r="K17" s="9">
        <f t="shared" si="0"/>
        <v>2</v>
      </c>
      <c r="L17" s="6" t="str">
        <f t="shared" ref="L17:L80" si="3">IF(E17&gt;0,"Имеются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17" s="6" t="str">
        <f t="shared" ref="M17:M80" si="4">IF(F17&gt;0,"Для ряда территорий осутствует схема потоков ТКО","Все потоки ТКО указаны в территориальной схеме")</f>
        <v>Для ряда территорий осутствует схема потоков ТКО</v>
      </c>
      <c r="N17" s="6" t="str">
        <f t="shared" ref="N17:N80" si="5">IF(G17=2,"Риски замещения объектов по 765 приказу высокие",IF(G17=1,"Риски замещения объектов по 765 приказу средние","Объектов по 765 приказу нет"))</f>
        <v>Объектов по 765 приказу нет</v>
      </c>
      <c r="O17" s="6" t="str">
        <f t="shared" ref="O17:O80" si="6">IF(H17&gt;0,"Захоронение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17" s="6" t="str">
        <f t="shared" ref="P17:P80" si="7">IF(I17&gt;0,"Действующие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17" s="9" t="str">
        <f t="shared" ref="Q17:Q80" si="8">IF(E17&gt;0,"свалки",IF(F17&gt;0,"белые пятна",IF(G17&gt;0,"765 приказ",IF(H17&gt;0,"перегруз",""))))</f>
        <v>белые пятна</v>
      </c>
      <c r="R17" s="34" t="str">
        <f t="shared" ref="R17:R80" si="9">_xlfn.TEXTJOIN(,0,"Дорожная карта ",J17)</f>
        <v>Дорожная карта в разработке</v>
      </c>
    </row>
    <row r="18" spans="2:18">
      <c r="B18" s="25" t="s">
        <v>133</v>
      </c>
      <c r="C18" s="22">
        <f t="shared" si="1"/>
        <v>2</v>
      </c>
      <c r="D18" s="22">
        <f t="shared" si="2"/>
        <v>2</v>
      </c>
      <c r="E18" s="45"/>
      <c r="F18" s="45"/>
      <c r="G18" s="45">
        <v>2</v>
      </c>
      <c r="H18" s="45"/>
      <c r="I18" s="45"/>
      <c r="J18" s="45" t="s">
        <v>257</v>
      </c>
      <c r="K18" s="9">
        <f t="shared" si="0"/>
        <v>0</v>
      </c>
      <c r="L18" s="6" t="str">
        <f t="shared" si="3"/>
        <v>Нелегальные объекты захоронения ТКО не выявлены</v>
      </c>
      <c r="M18" s="6" t="str">
        <f t="shared" si="4"/>
        <v>Все потоки ТКО указаны в территориальной схеме</v>
      </c>
      <c r="N18" s="6" t="str">
        <f t="shared" si="5"/>
        <v>Риски замещения объектов по 765 приказу высокие</v>
      </c>
      <c r="O18" s="6" t="str">
        <f t="shared" si="6"/>
        <v>Захоронение осуществляется без превышения мощностей</v>
      </c>
      <c r="P18" s="6" t="str">
        <f t="shared" si="7"/>
        <v>Действующих мощностей хватит более, чем на 3 года</v>
      </c>
      <c r="Q18" s="9" t="str">
        <f t="shared" si="8"/>
        <v>765 приказ</v>
      </c>
      <c r="R18" s="34" t="str">
        <f t="shared" si="9"/>
        <v>Дорожная карта подписана</v>
      </c>
    </row>
    <row r="19" spans="2:18">
      <c r="B19" s="25" t="s">
        <v>121</v>
      </c>
      <c r="C19" s="22">
        <f t="shared" si="1"/>
        <v>1</v>
      </c>
      <c r="D19" s="22">
        <f t="shared" si="2"/>
        <v>1</v>
      </c>
      <c r="E19" s="45"/>
      <c r="F19" s="45"/>
      <c r="G19" s="45"/>
      <c r="H19" s="45">
        <v>1</v>
      </c>
      <c r="I19" s="45">
        <v>1</v>
      </c>
      <c r="J19" s="45" t="s">
        <v>258</v>
      </c>
      <c r="K19" s="9">
        <f t="shared" si="0"/>
        <v>0</v>
      </c>
      <c r="L19" s="6" t="str">
        <f t="shared" si="3"/>
        <v>Нелегальные объекты захоронения ТКО не выявлены</v>
      </c>
      <c r="M19" s="6" t="str">
        <f t="shared" si="4"/>
        <v>Все потоки ТКО указаны в территориальной схеме</v>
      </c>
      <c r="N19" s="6" t="str">
        <f t="shared" si="5"/>
        <v>Объектов по 765 приказу нет</v>
      </c>
      <c r="O19" s="6" t="str">
        <f t="shared" si="6"/>
        <v>Захоронение осуществляется с превышением мощностей</v>
      </c>
      <c r="P19" s="6" t="str">
        <f t="shared" si="7"/>
        <v>Действующие мощности будут исчерпаны за 3 года</v>
      </c>
      <c r="Q19" s="9" t="str">
        <f t="shared" si="8"/>
        <v>перегруз</v>
      </c>
      <c r="R19" s="34" t="str">
        <f t="shared" si="9"/>
        <v>Дорожная карта не требуется</v>
      </c>
    </row>
    <row r="20" spans="2:18">
      <c r="B20" s="25" t="s">
        <v>106</v>
      </c>
      <c r="C20" s="22">
        <f t="shared" si="1"/>
        <v>1</v>
      </c>
      <c r="D20" s="22">
        <f t="shared" si="2"/>
        <v>1</v>
      </c>
      <c r="E20" s="45"/>
      <c r="F20" s="45"/>
      <c r="G20" s="45"/>
      <c r="H20" s="45">
        <v>1</v>
      </c>
      <c r="I20" s="45"/>
      <c r="J20" s="45" t="s">
        <v>258</v>
      </c>
      <c r="K20" s="9">
        <f t="shared" si="0"/>
        <v>0</v>
      </c>
      <c r="L20" s="6" t="str">
        <f t="shared" si="3"/>
        <v>Нелегальные объекты захоронения ТКО не выявлены</v>
      </c>
      <c r="M20" s="6" t="str">
        <f t="shared" si="4"/>
        <v>Все потоки ТКО указаны в территориальной схеме</v>
      </c>
      <c r="N20" s="6" t="str">
        <f t="shared" si="5"/>
        <v>Объектов по 765 приказу нет</v>
      </c>
      <c r="O20" s="6" t="str">
        <f t="shared" si="6"/>
        <v>Захоронение осуществляется с превышением мощностей</v>
      </c>
      <c r="P20" s="6" t="str">
        <f t="shared" si="7"/>
        <v>Действующих мощностей хватит более, чем на 3 года</v>
      </c>
      <c r="Q20" s="9" t="str">
        <f t="shared" si="8"/>
        <v>перегруз</v>
      </c>
      <c r="R20" s="34" t="str">
        <f t="shared" si="9"/>
        <v>Дорожная карта не требуется</v>
      </c>
    </row>
    <row r="21" spans="2:18">
      <c r="B21" s="25" t="s">
        <v>91</v>
      </c>
      <c r="C21" s="22">
        <f t="shared" si="1"/>
        <v>1</v>
      </c>
      <c r="D21" s="22">
        <f t="shared" si="2"/>
        <v>1</v>
      </c>
      <c r="E21" s="45"/>
      <c r="F21" s="45"/>
      <c r="G21" s="45">
        <v>1</v>
      </c>
      <c r="H21" s="45">
        <v>1</v>
      </c>
      <c r="I21" s="45">
        <v>1</v>
      </c>
      <c r="J21" s="45" t="s">
        <v>257</v>
      </c>
      <c r="K21" s="9">
        <f t="shared" si="0"/>
        <v>0</v>
      </c>
      <c r="L21" s="6" t="str">
        <f t="shared" si="3"/>
        <v>Нелегальные объекты захоронения ТКО не выявлены</v>
      </c>
      <c r="M21" s="6" t="str">
        <f t="shared" si="4"/>
        <v>Все потоки ТКО указаны в территориальной схеме</v>
      </c>
      <c r="N21" s="6" t="str">
        <f t="shared" si="5"/>
        <v>Риски замещения объектов по 765 приказу средние</v>
      </c>
      <c r="O21" s="6" t="str">
        <f t="shared" si="6"/>
        <v>Захоронение осуществляется с превышением мощностей</v>
      </c>
      <c r="P21" s="6" t="str">
        <f t="shared" si="7"/>
        <v>Действующие мощности будут исчерпаны за 3 года</v>
      </c>
      <c r="Q21" s="9" t="str">
        <f t="shared" si="8"/>
        <v>765 приказ</v>
      </c>
      <c r="R21" s="34" t="str">
        <f t="shared" si="9"/>
        <v>Дорожная карта подписана</v>
      </c>
    </row>
    <row r="22" spans="2:18">
      <c r="B22" s="25" t="s">
        <v>113</v>
      </c>
      <c r="C22" s="22">
        <f t="shared" si="1"/>
        <v>0</v>
      </c>
      <c r="D22" s="22">
        <f t="shared" si="2"/>
        <v>0</v>
      </c>
      <c r="E22" s="45"/>
      <c r="F22" s="45"/>
      <c r="G22" s="45"/>
      <c r="H22" s="45"/>
      <c r="I22" s="45"/>
      <c r="J22" s="45" t="s">
        <v>258</v>
      </c>
      <c r="K22" s="9">
        <f t="shared" si="0"/>
        <v>0</v>
      </c>
      <c r="L22" s="6" t="str">
        <f t="shared" si="3"/>
        <v>Нелегальные объекты захоронения ТКО не выявлены</v>
      </c>
      <c r="M22" s="6" t="str">
        <f t="shared" si="4"/>
        <v>Все потоки ТКО указаны в территориальной схеме</v>
      </c>
      <c r="N22" s="6" t="str">
        <f t="shared" si="5"/>
        <v>Объектов по 765 приказу нет</v>
      </c>
      <c r="O22" s="6" t="str">
        <f t="shared" si="6"/>
        <v>Захоронение осуществляется без превышения мощностей</v>
      </c>
      <c r="P22" s="6" t="str">
        <f t="shared" si="7"/>
        <v>Действующих мощностей хватит более, чем на 3 года</v>
      </c>
      <c r="Q22" s="9" t="str">
        <f t="shared" si="8"/>
        <v/>
      </c>
      <c r="R22" s="34" t="str">
        <f t="shared" si="9"/>
        <v>Дорожная карта не требуется</v>
      </c>
    </row>
    <row r="23" spans="2:18">
      <c r="B23" s="25" t="s">
        <v>86</v>
      </c>
      <c r="C23" s="22">
        <f t="shared" si="1"/>
        <v>0</v>
      </c>
      <c r="D23" s="22">
        <f t="shared" si="2"/>
        <v>0</v>
      </c>
      <c r="E23" s="45"/>
      <c r="F23" s="45"/>
      <c r="G23" s="45"/>
      <c r="H23" s="45"/>
      <c r="I23" s="45"/>
      <c r="J23" s="45" t="s">
        <v>258</v>
      </c>
      <c r="K23" s="9">
        <f t="shared" si="0"/>
        <v>0</v>
      </c>
      <c r="L23" s="6" t="str">
        <f t="shared" si="3"/>
        <v>Нелегальные объекты захоронения ТКО не выявлены</v>
      </c>
      <c r="M23" s="6" t="str">
        <f t="shared" si="4"/>
        <v>Все потоки ТКО указаны в территориальной схеме</v>
      </c>
      <c r="N23" s="6" t="str">
        <f t="shared" si="5"/>
        <v>Объектов по 765 приказу нет</v>
      </c>
      <c r="O23" s="6" t="str">
        <f t="shared" si="6"/>
        <v>Захоронение осуществляется без превышения мощностей</v>
      </c>
      <c r="P23" s="6" t="str">
        <f t="shared" si="7"/>
        <v>Действующих мощностей хватит более, чем на 3 года</v>
      </c>
      <c r="Q23" s="9" t="str">
        <f t="shared" si="8"/>
        <v/>
      </c>
      <c r="R23" s="34" t="str">
        <f t="shared" si="9"/>
        <v>Дорожная карта не требуется</v>
      </c>
    </row>
    <row r="24" spans="2:18">
      <c r="B24" s="25" t="s">
        <v>107</v>
      </c>
      <c r="C24" s="22">
        <f t="shared" si="1"/>
        <v>0</v>
      </c>
      <c r="D24" s="22">
        <f t="shared" si="2"/>
        <v>0</v>
      </c>
      <c r="E24" s="45"/>
      <c r="F24" s="45"/>
      <c r="G24" s="45"/>
      <c r="H24" s="45"/>
      <c r="I24" s="45"/>
      <c r="J24" s="45" t="s">
        <v>258</v>
      </c>
      <c r="K24" s="9">
        <f t="shared" si="0"/>
        <v>0</v>
      </c>
      <c r="L24" s="6" t="str">
        <f t="shared" si="3"/>
        <v>Нелегальные объекты захоронения ТКО не выявлены</v>
      </c>
      <c r="M24" s="6" t="str">
        <f t="shared" si="4"/>
        <v>Все потоки ТКО указаны в территориальной схеме</v>
      </c>
      <c r="N24" s="6" t="str">
        <f t="shared" si="5"/>
        <v>Объектов по 765 приказу нет</v>
      </c>
      <c r="O24" s="6" t="str">
        <f t="shared" si="6"/>
        <v>Захоронение осуществляется без превышения мощностей</v>
      </c>
      <c r="P24" s="6" t="str">
        <f t="shared" si="7"/>
        <v>Действующих мощностей хватит более, чем на 3 года</v>
      </c>
      <c r="Q24" s="9" t="str">
        <f t="shared" si="8"/>
        <v/>
      </c>
      <c r="R24" s="34" t="str">
        <f t="shared" si="9"/>
        <v>Дорожная карта не требуется</v>
      </c>
    </row>
    <row r="25" spans="2:18">
      <c r="B25" s="25" t="s">
        <v>137</v>
      </c>
      <c r="C25" s="22">
        <f t="shared" si="1"/>
        <v>1</v>
      </c>
      <c r="D25" s="22">
        <f t="shared" si="2"/>
        <v>1</v>
      </c>
      <c r="E25" s="45"/>
      <c r="F25" s="45"/>
      <c r="G25" s="45">
        <v>1</v>
      </c>
      <c r="H25" s="45"/>
      <c r="I25" s="45"/>
      <c r="J25" s="45" t="s">
        <v>257</v>
      </c>
      <c r="K25" s="9">
        <f t="shared" si="0"/>
        <v>0</v>
      </c>
      <c r="L25" s="6" t="str">
        <f t="shared" si="3"/>
        <v>Нелегальные объекты захоронения ТКО не выявлены</v>
      </c>
      <c r="M25" s="6" t="str">
        <f t="shared" si="4"/>
        <v>Все потоки ТКО указаны в территориальной схеме</v>
      </c>
      <c r="N25" s="6" t="str">
        <f t="shared" si="5"/>
        <v>Риски замещения объектов по 765 приказу средние</v>
      </c>
      <c r="O25" s="6" t="str">
        <f t="shared" si="6"/>
        <v>Захоронение осуществляется без превышения мощностей</v>
      </c>
      <c r="P25" s="6" t="str">
        <f t="shared" si="7"/>
        <v>Действующих мощностей хватит более, чем на 3 года</v>
      </c>
      <c r="Q25" s="9" t="str">
        <f t="shared" si="8"/>
        <v>765 приказ</v>
      </c>
      <c r="R25" s="34" t="str">
        <f t="shared" si="9"/>
        <v>Дорожная карта подписана</v>
      </c>
    </row>
    <row r="26" spans="2:18">
      <c r="B26" s="25" t="s">
        <v>68</v>
      </c>
      <c r="C26" s="22">
        <f t="shared" si="1"/>
        <v>0</v>
      </c>
      <c r="D26" s="22">
        <f t="shared" si="2"/>
        <v>0</v>
      </c>
      <c r="E26" s="45"/>
      <c r="F26" s="45"/>
      <c r="G26" s="45"/>
      <c r="H26" s="45"/>
      <c r="I26" s="45"/>
      <c r="J26" s="45" t="s">
        <v>258</v>
      </c>
      <c r="K26" s="9">
        <f t="shared" si="0"/>
        <v>0</v>
      </c>
      <c r="L26" s="6" t="str">
        <f t="shared" si="3"/>
        <v>Нелегальные объекты захоронения ТКО не выявлены</v>
      </c>
      <c r="M26" s="6" t="str">
        <f t="shared" si="4"/>
        <v>Все потоки ТКО указаны в территориальной схеме</v>
      </c>
      <c r="N26" s="6" t="str">
        <f t="shared" si="5"/>
        <v>Объектов по 765 приказу нет</v>
      </c>
      <c r="O26" s="6" t="str">
        <f t="shared" si="6"/>
        <v>Захоронение осуществляется без превышения мощностей</v>
      </c>
      <c r="P26" s="6" t="str">
        <f t="shared" si="7"/>
        <v>Действующих мощностей хватит более, чем на 3 года</v>
      </c>
      <c r="Q26" s="9" t="str">
        <f t="shared" si="8"/>
        <v/>
      </c>
      <c r="R26" s="34" t="str">
        <f t="shared" si="9"/>
        <v>Дорожная карта не требуется</v>
      </c>
    </row>
    <row r="27" spans="2:18">
      <c r="B27" s="25" t="s">
        <v>71</v>
      </c>
      <c r="C27" s="22">
        <f t="shared" si="1"/>
        <v>0</v>
      </c>
      <c r="D27" s="22">
        <f t="shared" si="2"/>
        <v>0</v>
      </c>
      <c r="E27" s="45"/>
      <c r="F27" s="45"/>
      <c r="G27" s="45"/>
      <c r="H27" s="45"/>
      <c r="I27" s="45"/>
      <c r="J27" s="45" t="s">
        <v>258</v>
      </c>
      <c r="K27" s="9">
        <f t="shared" si="0"/>
        <v>0</v>
      </c>
      <c r="L27" s="6" t="str">
        <f t="shared" si="3"/>
        <v>Нелегальные объекты захоронения ТКО не выявлены</v>
      </c>
      <c r="M27" s="6" t="str">
        <f t="shared" si="4"/>
        <v>Все потоки ТКО указаны в территориальной схеме</v>
      </c>
      <c r="N27" s="6" t="str">
        <f t="shared" si="5"/>
        <v>Объектов по 765 приказу нет</v>
      </c>
      <c r="O27" s="6" t="str">
        <f t="shared" si="6"/>
        <v>Захоронение осуществляется без превышения мощностей</v>
      </c>
      <c r="P27" s="6" t="str">
        <f t="shared" si="7"/>
        <v>Действующих мощностей хватит более, чем на 3 года</v>
      </c>
      <c r="Q27" s="9" t="str">
        <f t="shared" si="8"/>
        <v/>
      </c>
      <c r="R27" s="34" t="str">
        <f t="shared" si="9"/>
        <v>Дорожная карта не требуется</v>
      </c>
    </row>
    <row r="28" spans="2:18">
      <c r="B28" s="25" t="s">
        <v>118</v>
      </c>
      <c r="C28" s="22">
        <f t="shared" si="1"/>
        <v>1</v>
      </c>
      <c r="D28" s="22">
        <f t="shared" si="2"/>
        <v>1</v>
      </c>
      <c r="E28" s="45"/>
      <c r="F28" s="45"/>
      <c r="G28" s="45"/>
      <c r="H28" s="45">
        <v>1</v>
      </c>
      <c r="I28" s="45"/>
      <c r="J28" s="45" t="s">
        <v>258</v>
      </c>
      <c r="K28" s="9">
        <f t="shared" si="0"/>
        <v>0</v>
      </c>
      <c r="L28" s="6" t="str">
        <f t="shared" si="3"/>
        <v>Нелегальные объекты захоронения ТКО не выявлены</v>
      </c>
      <c r="M28" s="6" t="str">
        <f t="shared" si="4"/>
        <v>Все потоки ТКО указаны в территориальной схеме</v>
      </c>
      <c r="N28" s="6" t="str">
        <f t="shared" si="5"/>
        <v>Объектов по 765 приказу нет</v>
      </c>
      <c r="O28" s="6" t="str">
        <f t="shared" si="6"/>
        <v>Захоронение осуществляется с превышением мощностей</v>
      </c>
      <c r="P28" s="6" t="str">
        <f t="shared" si="7"/>
        <v>Действующих мощностей хватит более, чем на 3 года</v>
      </c>
      <c r="Q28" s="9" t="str">
        <f t="shared" si="8"/>
        <v>перегруз</v>
      </c>
      <c r="R28" s="34" t="str">
        <f t="shared" si="9"/>
        <v>Дорожная карта не требуется</v>
      </c>
    </row>
    <row r="29" spans="2:18">
      <c r="B29" s="25" t="s">
        <v>160</v>
      </c>
      <c r="C29" s="22">
        <f t="shared" si="1"/>
        <v>0</v>
      </c>
      <c r="D29" s="22">
        <f t="shared" si="2"/>
        <v>0</v>
      </c>
      <c r="E29" s="45"/>
      <c r="F29" s="45"/>
      <c r="G29" s="45"/>
      <c r="H29" s="45"/>
      <c r="I29" s="45"/>
      <c r="J29" s="45" t="s">
        <v>258</v>
      </c>
      <c r="K29" s="9">
        <f t="shared" si="0"/>
        <v>0</v>
      </c>
      <c r="L29" s="6" t="str">
        <f t="shared" si="3"/>
        <v>Нелегальные объекты захоронения ТКО не выявлены</v>
      </c>
      <c r="M29" s="6" t="str">
        <f t="shared" si="4"/>
        <v>Все потоки ТКО указаны в территориальной схеме</v>
      </c>
      <c r="N29" s="6" t="str">
        <f t="shared" si="5"/>
        <v>Объектов по 765 приказу нет</v>
      </c>
      <c r="O29" s="6" t="str">
        <f t="shared" si="6"/>
        <v>Захоронение осуществляется без превышения мощностей</v>
      </c>
      <c r="P29" s="6" t="str">
        <f t="shared" si="7"/>
        <v>Действующих мощностей хватит более, чем на 3 года</v>
      </c>
      <c r="Q29" s="9" t="str">
        <f t="shared" si="8"/>
        <v/>
      </c>
      <c r="R29" s="34" t="str">
        <f t="shared" si="9"/>
        <v>Дорожная карта не требуется</v>
      </c>
    </row>
    <row r="30" spans="2:18">
      <c r="B30" s="25" t="s">
        <v>131</v>
      </c>
      <c r="C30" s="22">
        <f t="shared" si="1"/>
        <v>0</v>
      </c>
      <c r="D30" s="22">
        <f t="shared" si="2"/>
        <v>0</v>
      </c>
      <c r="E30" s="45"/>
      <c r="F30" s="45"/>
      <c r="G30" s="45"/>
      <c r="H30" s="45"/>
      <c r="I30" s="45"/>
      <c r="J30" s="45" t="s">
        <v>258</v>
      </c>
      <c r="K30" s="9">
        <f t="shared" si="0"/>
        <v>0</v>
      </c>
      <c r="L30" s="6" t="str">
        <f t="shared" si="3"/>
        <v>Нелегальные объекты захоронения ТКО не выявлены</v>
      </c>
      <c r="M30" s="6" t="str">
        <f t="shared" si="4"/>
        <v>Все потоки ТКО указаны в территориальной схеме</v>
      </c>
      <c r="N30" s="6" t="str">
        <f t="shared" si="5"/>
        <v>Объектов по 765 приказу нет</v>
      </c>
      <c r="O30" s="6" t="str">
        <f t="shared" si="6"/>
        <v>Захоронение осуществляется без превышения мощностей</v>
      </c>
      <c r="P30" s="6" t="str">
        <f t="shared" si="7"/>
        <v>Действующих мощностей хватит более, чем на 3 года</v>
      </c>
      <c r="Q30" s="9" t="str">
        <f t="shared" si="8"/>
        <v/>
      </c>
      <c r="R30" s="34" t="str">
        <f t="shared" si="9"/>
        <v>Дорожная карта не требуется</v>
      </c>
    </row>
    <row r="31" spans="2:18">
      <c r="B31" s="25" t="s">
        <v>155</v>
      </c>
      <c r="C31" s="22">
        <f t="shared" si="1"/>
        <v>2</v>
      </c>
      <c r="D31" s="22">
        <f t="shared" si="2"/>
        <v>2</v>
      </c>
      <c r="E31" s="45">
        <v>2</v>
      </c>
      <c r="F31" s="45"/>
      <c r="G31" s="45"/>
      <c r="H31" s="45">
        <v>1</v>
      </c>
      <c r="I31" s="45"/>
      <c r="J31" s="45" t="s">
        <v>255</v>
      </c>
      <c r="K31" s="9">
        <f t="shared" si="0"/>
        <v>2</v>
      </c>
      <c r="L31" s="6" t="str">
        <f t="shared" si="3"/>
        <v>Имеются нелегальные объекты захоронения ТКО</v>
      </c>
      <c r="M31" s="6" t="str">
        <f t="shared" si="4"/>
        <v>Все потоки ТКО указаны в территориальной схеме</v>
      </c>
      <c r="N31" s="6" t="str">
        <f t="shared" si="5"/>
        <v>Объектов по 765 приказу нет</v>
      </c>
      <c r="O31" s="6" t="str">
        <f t="shared" si="6"/>
        <v>Захоронение осуществляется с превышением мощностей</v>
      </c>
      <c r="P31" s="6" t="str">
        <f t="shared" si="7"/>
        <v>Действующих мощностей хватит более, чем на 3 года</v>
      </c>
      <c r="Q31" s="9" t="str">
        <f t="shared" si="8"/>
        <v>свалки</v>
      </c>
      <c r="R31" s="34" t="str">
        <f t="shared" si="9"/>
        <v>Дорожная карта в разработке</v>
      </c>
    </row>
    <row r="32" spans="2:18">
      <c r="B32" s="25" t="s">
        <v>161</v>
      </c>
      <c r="C32" s="22">
        <f t="shared" si="1"/>
        <v>0</v>
      </c>
      <c r="D32" s="22">
        <f t="shared" si="2"/>
        <v>0</v>
      </c>
      <c r="E32" s="45"/>
      <c r="F32" s="45"/>
      <c r="G32" s="45"/>
      <c r="H32" s="45"/>
      <c r="I32" s="45"/>
      <c r="J32" s="45" t="s">
        <v>258</v>
      </c>
      <c r="K32" s="9">
        <f t="shared" si="0"/>
        <v>0</v>
      </c>
      <c r="L32" s="6" t="str">
        <f t="shared" si="3"/>
        <v>Нелегальные объекты захоронения ТКО не выявлены</v>
      </c>
      <c r="M32" s="6" t="str">
        <f t="shared" si="4"/>
        <v>Все потоки ТКО указаны в территориальной схеме</v>
      </c>
      <c r="N32" s="6" t="str">
        <f t="shared" si="5"/>
        <v>Объектов по 765 приказу нет</v>
      </c>
      <c r="O32" s="6" t="str">
        <f t="shared" si="6"/>
        <v>Захоронение осуществляется без превышения мощностей</v>
      </c>
      <c r="P32" s="6" t="str">
        <f t="shared" si="7"/>
        <v>Действующих мощностей хватит более, чем на 3 года</v>
      </c>
      <c r="Q32" s="9" t="str">
        <f t="shared" si="8"/>
        <v/>
      </c>
      <c r="R32" s="34" t="str">
        <f t="shared" si="9"/>
        <v>Дорожная карта не требуется</v>
      </c>
    </row>
    <row r="33" spans="2:18">
      <c r="B33" s="25" t="s">
        <v>81</v>
      </c>
      <c r="C33" s="22">
        <f t="shared" si="1"/>
        <v>0</v>
      </c>
      <c r="D33" s="22">
        <f t="shared" si="2"/>
        <v>0</v>
      </c>
      <c r="E33" s="45"/>
      <c r="F33" s="45"/>
      <c r="G33" s="45"/>
      <c r="H33" s="45"/>
      <c r="I33" s="45"/>
      <c r="J33" s="45" t="s">
        <v>258</v>
      </c>
      <c r="K33" s="9">
        <f t="shared" si="0"/>
        <v>0</v>
      </c>
      <c r="L33" s="6" t="str">
        <f t="shared" si="3"/>
        <v>Нелегальные объекты захоронения ТКО не выявлены</v>
      </c>
      <c r="M33" s="6" t="str">
        <f t="shared" si="4"/>
        <v>Все потоки ТКО указаны в территориальной схеме</v>
      </c>
      <c r="N33" s="6" t="str">
        <f t="shared" si="5"/>
        <v>Объектов по 765 приказу нет</v>
      </c>
      <c r="O33" s="6" t="str">
        <f t="shared" si="6"/>
        <v>Захоронение осуществляется без превышения мощностей</v>
      </c>
      <c r="P33" s="6" t="str">
        <f t="shared" si="7"/>
        <v>Действующих мощностей хватит более, чем на 3 года</v>
      </c>
      <c r="Q33" s="9" t="str">
        <f t="shared" si="8"/>
        <v/>
      </c>
      <c r="R33" s="34" t="str">
        <f t="shared" si="9"/>
        <v>Дорожная карта не требуется</v>
      </c>
    </row>
    <row r="34" spans="2:18">
      <c r="B34" s="25" t="s">
        <v>148</v>
      </c>
      <c r="C34" s="22">
        <f t="shared" si="1"/>
        <v>2</v>
      </c>
      <c r="D34" s="22">
        <f t="shared" si="2"/>
        <v>2</v>
      </c>
      <c r="E34" s="45"/>
      <c r="F34" s="45">
        <v>2</v>
      </c>
      <c r="G34" s="45">
        <v>2</v>
      </c>
      <c r="H34" s="45"/>
      <c r="I34" s="45"/>
      <c r="J34" s="45" t="s">
        <v>257</v>
      </c>
      <c r="K34" s="9">
        <f t="shared" si="0"/>
        <v>0</v>
      </c>
      <c r="L34" s="6" t="str">
        <f t="shared" si="3"/>
        <v>Нелегальные объекты захоронения ТКО не выявлены</v>
      </c>
      <c r="M34" s="6" t="str">
        <f t="shared" si="4"/>
        <v>Для ряда территорий осутствует схема потоков ТКО</v>
      </c>
      <c r="N34" s="6" t="str">
        <f t="shared" si="5"/>
        <v>Риски замещения объектов по 765 приказу высокие</v>
      </c>
      <c r="O34" s="6" t="str">
        <f t="shared" si="6"/>
        <v>Захоронение осуществляется без превышения мощностей</v>
      </c>
      <c r="P34" s="6" t="str">
        <f t="shared" si="7"/>
        <v>Действующих мощностей хватит более, чем на 3 года</v>
      </c>
      <c r="Q34" s="9" t="str">
        <f t="shared" si="8"/>
        <v>белые пятна</v>
      </c>
      <c r="R34" s="34" t="str">
        <f t="shared" si="9"/>
        <v>Дорожная карта подписана</v>
      </c>
    </row>
    <row r="35" spans="2:18">
      <c r="B35" s="25" t="s">
        <v>126</v>
      </c>
      <c r="C35" s="22">
        <f t="shared" si="1"/>
        <v>0</v>
      </c>
      <c r="D35" s="22">
        <f t="shared" si="2"/>
        <v>0</v>
      </c>
      <c r="E35" s="45"/>
      <c r="F35" s="45"/>
      <c r="G35" s="45"/>
      <c r="H35" s="45"/>
      <c r="I35" s="45">
        <v>1</v>
      </c>
      <c r="J35" s="45" t="s">
        <v>258</v>
      </c>
      <c r="K35" s="9">
        <f t="shared" si="0"/>
        <v>0</v>
      </c>
      <c r="L35" s="6" t="str">
        <f t="shared" si="3"/>
        <v>Нелегальные объекты захоронения ТКО не выявлены</v>
      </c>
      <c r="M35" s="6" t="str">
        <f t="shared" si="4"/>
        <v>Все потоки ТКО указаны в территориальной схеме</v>
      </c>
      <c r="N35" s="6" t="str">
        <f t="shared" si="5"/>
        <v>Объектов по 765 приказу нет</v>
      </c>
      <c r="O35" s="6" t="str">
        <f t="shared" si="6"/>
        <v>Захоронение осуществляется без превышения мощностей</v>
      </c>
      <c r="P35" s="6" t="str">
        <f t="shared" si="7"/>
        <v>Действующие мощности будут исчерпаны за 3 года</v>
      </c>
      <c r="Q35" s="9" t="str">
        <f t="shared" si="8"/>
        <v/>
      </c>
      <c r="R35" s="34" t="str">
        <f t="shared" si="9"/>
        <v>Дорожная карта не требуется</v>
      </c>
    </row>
    <row r="36" spans="2:18">
      <c r="B36" s="25" t="s">
        <v>119</v>
      </c>
      <c r="C36" s="22">
        <f t="shared" si="1"/>
        <v>1</v>
      </c>
      <c r="D36" s="22">
        <f t="shared" si="2"/>
        <v>1</v>
      </c>
      <c r="E36" s="45"/>
      <c r="F36" s="45"/>
      <c r="G36" s="45"/>
      <c r="H36" s="45">
        <v>1</v>
      </c>
      <c r="I36" s="45">
        <v>1</v>
      </c>
      <c r="J36" s="45" t="s">
        <v>258</v>
      </c>
      <c r="K36" s="9">
        <f t="shared" si="0"/>
        <v>0</v>
      </c>
      <c r="L36" s="6" t="str">
        <f t="shared" si="3"/>
        <v>Нелегальные объекты захоронения ТКО не выявлены</v>
      </c>
      <c r="M36" s="6" t="str">
        <f t="shared" si="4"/>
        <v>Все потоки ТКО указаны в территориальной схеме</v>
      </c>
      <c r="N36" s="6" t="str">
        <f t="shared" si="5"/>
        <v>Объектов по 765 приказу нет</v>
      </c>
      <c r="O36" s="6" t="str">
        <f t="shared" si="6"/>
        <v>Захоронение осуществляется с превышением мощностей</v>
      </c>
      <c r="P36" s="6" t="str">
        <f t="shared" si="7"/>
        <v>Действующие мощности будут исчерпаны за 3 года</v>
      </c>
      <c r="Q36" s="9" t="str">
        <f t="shared" si="8"/>
        <v>перегруз</v>
      </c>
      <c r="R36" s="34" t="str">
        <f t="shared" si="9"/>
        <v>Дорожная карта не требуется</v>
      </c>
    </row>
    <row r="37" spans="2:18">
      <c r="B37" s="25" t="s">
        <v>87</v>
      </c>
      <c r="C37" s="22">
        <f t="shared" si="1"/>
        <v>0</v>
      </c>
      <c r="D37" s="22">
        <f t="shared" si="2"/>
        <v>0</v>
      </c>
      <c r="E37" s="45"/>
      <c r="F37" s="45"/>
      <c r="G37" s="45"/>
      <c r="H37" s="45"/>
      <c r="I37" s="45"/>
      <c r="J37" s="45" t="s">
        <v>258</v>
      </c>
      <c r="K37" s="9">
        <f t="shared" si="0"/>
        <v>0</v>
      </c>
      <c r="L37" s="6" t="str">
        <f t="shared" si="3"/>
        <v>Нелегальные объекты захоронения ТКО не выявлены</v>
      </c>
      <c r="M37" s="6" t="str">
        <f t="shared" si="4"/>
        <v>Все потоки ТКО указаны в территориальной схеме</v>
      </c>
      <c r="N37" s="6" t="str">
        <f t="shared" si="5"/>
        <v>Объектов по 765 приказу нет</v>
      </c>
      <c r="O37" s="6" t="str">
        <f t="shared" si="6"/>
        <v>Захоронение осуществляется без превышения мощностей</v>
      </c>
      <c r="P37" s="6" t="str">
        <f t="shared" si="7"/>
        <v>Действующих мощностей хватит более, чем на 3 года</v>
      </c>
      <c r="Q37" s="9" t="str">
        <f t="shared" si="8"/>
        <v/>
      </c>
      <c r="R37" s="34" t="str">
        <f t="shared" si="9"/>
        <v>Дорожная карта не требуется</v>
      </c>
    </row>
    <row r="38" spans="2:18">
      <c r="B38" s="25" t="s">
        <v>134</v>
      </c>
      <c r="C38" s="22">
        <f t="shared" si="1"/>
        <v>2</v>
      </c>
      <c r="D38" s="22">
        <f t="shared" si="2"/>
        <v>2</v>
      </c>
      <c r="E38" s="45"/>
      <c r="F38" s="45">
        <v>2</v>
      </c>
      <c r="G38" s="45">
        <v>1</v>
      </c>
      <c r="H38" s="45"/>
      <c r="I38" s="45"/>
      <c r="J38" s="45" t="s">
        <v>255</v>
      </c>
      <c r="K38" s="9">
        <f t="shared" si="0"/>
        <v>2</v>
      </c>
      <c r="L38" s="6" t="str">
        <f t="shared" si="3"/>
        <v>Нелегальные объекты захоронения ТКО не выявлены</v>
      </c>
      <c r="M38" s="6" t="str">
        <f t="shared" si="4"/>
        <v>Для ряда территорий осутствует схема потоков ТКО</v>
      </c>
      <c r="N38" s="6" t="str">
        <f t="shared" si="5"/>
        <v>Риски замещения объектов по 765 приказу средние</v>
      </c>
      <c r="O38" s="6" t="str">
        <f t="shared" si="6"/>
        <v>Захоронение осуществляется без превышения мощностей</v>
      </c>
      <c r="P38" s="6" t="str">
        <f t="shared" si="7"/>
        <v>Действующих мощностей хватит более, чем на 3 года</v>
      </c>
      <c r="Q38" s="9" t="str">
        <f t="shared" si="8"/>
        <v>белые пятна</v>
      </c>
      <c r="R38" s="34" t="str">
        <f t="shared" si="9"/>
        <v>Дорожная карта в разработке</v>
      </c>
    </row>
    <row r="39" spans="2:18">
      <c r="B39" s="25" t="s">
        <v>138</v>
      </c>
      <c r="C39" s="22">
        <f t="shared" si="1"/>
        <v>0</v>
      </c>
      <c r="D39" s="22">
        <f t="shared" si="2"/>
        <v>0</v>
      </c>
      <c r="E39" s="45"/>
      <c r="F39" s="45"/>
      <c r="G39" s="45"/>
      <c r="H39" s="45"/>
      <c r="I39" s="45"/>
      <c r="J39" s="45" t="s">
        <v>258</v>
      </c>
      <c r="K39" s="9">
        <f t="shared" si="0"/>
        <v>0</v>
      </c>
      <c r="L39" s="6" t="str">
        <f t="shared" si="3"/>
        <v>Нелегальные объекты захоронения ТКО не выявлены</v>
      </c>
      <c r="M39" s="6" t="str">
        <f t="shared" si="4"/>
        <v>Все потоки ТКО указаны в территориальной схеме</v>
      </c>
      <c r="N39" s="6" t="str">
        <f t="shared" si="5"/>
        <v>Объектов по 765 приказу нет</v>
      </c>
      <c r="O39" s="6" t="str">
        <f t="shared" si="6"/>
        <v>Захоронение осуществляется без превышения мощностей</v>
      </c>
      <c r="P39" s="6" t="str">
        <f t="shared" si="7"/>
        <v>Действующих мощностей хватит более, чем на 3 года</v>
      </c>
      <c r="Q39" s="9" t="str">
        <f t="shared" si="8"/>
        <v/>
      </c>
      <c r="R39" s="34" t="str">
        <f t="shared" si="9"/>
        <v>Дорожная карта не требуется</v>
      </c>
    </row>
    <row r="40" spans="2:18">
      <c r="B40" s="25" t="s">
        <v>109</v>
      </c>
      <c r="C40" s="22">
        <f t="shared" si="1"/>
        <v>0</v>
      </c>
      <c r="D40" s="22">
        <f t="shared" si="2"/>
        <v>0</v>
      </c>
      <c r="E40" s="45"/>
      <c r="F40" s="45"/>
      <c r="G40" s="45"/>
      <c r="H40" s="45"/>
      <c r="I40" s="45"/>
      <c r="J40" s="45" t="s">
        <v>258</v>
      </c>
      <c r="K40" s="9">
        <f t="shared" si="0"/>
        <v>0</v>
      </c>
      <c r="L40" s="6" t="str">
        <f t="shared" si="3"/>
        <v>Нелегальные объекты захоронения ТКО не выявлены</v>
      </c>
      <c r="M40" s="6" t="str">
        <f t="shared" si="4"/>
        <v>Все потоки ТКО указаны в территориальной схеме</v>
      </c>
      <c r="N40" s="6" t="str">
        <f t="shared" si="5"/>
        <v>Объектов по 765 приказу нет</v>
      </c>
      <c r="O40" s="6" t="str">
        <f t="shared" si="6"/>
        <v>Захоронение осуществляется без превышения мощностей</v>
      </c>
      <c r="P40" s="6" t="str">
        <f t="shared" si="7"/>
        <v>Действующих мощностей хватит более, чем на 3 года</v>
      </c>
      <c r="Q40" s="9" t="str">
        <f t="shared" si="8"/>
        <v/>
      </c>
      <c r="R40" s="34" t="str">
        <f t="shared" si="9"/>
        <v>Дорожная карта не требуется</v>
      </c>
    </row>
    <row r="41" spans="2:18">
      <c r="B41" s="25" t="s">
        <v>76</v>
      </c>
      <c r="C41" s="22">
        <f t="shared" si="1"/>
        <v>0</v>
      </c>
      <c r="D41" s="22">
        <f t="shared" si="2"/>
        <v>0</v>
      </c>
      <c r="E41" s="45"/>
      <c r="F41" s="45"/>
      <c r="G41" s="45"/>
      <c r="H41" s="45"/>
      <c r="I41" s="45"/>
      <c r="J41" s="45" t="s">
        <v>258</v>
      </c>
      <c r="K41" s="9">
        <f t="shared" si="0"/>
        <v>0</v>
      </c>
      <c r="L41" s="6" t="str">
        <f t="shared" si="3"/>
        <v>Нелегальные объекты захоронения ТКО не выявлены</v>
      </c>
      <c r="M41" s="6" t="str">
        <f t="shared" si="4"/>
        <v>Все потоки ТКО указаны в территориальной схеме</v>
      </c>
      <c r="N41" s="6" t="str">
        <f t="shared" si="5"/>
        <v>Объектов по 765 приказу нет</v>
      </c>
      <c r="O41" s="6" t="str">
        <f t="shared" si="6"/>
        <v>Захоронение осуществляется без превышения мощностей</v>
      </c>
      <c r="P41" s="6" t="str">
        <f t="shared" si="7"/>
        <v>Действующих мощностей хватит более, чем на 3 года</v>
      </c>
      <c r="Q41" s="9" t="str">
        <f t="shared" si="8"/>
        <v/>
      </c>
      <c r="R41" s="34" t="str">
        <f t="shared" si="9"/>
        <v>Дорожная карта не требуется</v>
      </c>
    </row>
    <row r="42" spans="2:18">
      <c r="B42" s="25" t="s">
        <v>89</v>
      </c>
      <c r="C42" s="22">
        <f t="shared" si="1"/>
        <v>1</v>
      </c>
      <c r="D42" s="22">
        <f t="shared" si="2"/>
        <v>1</v>
      </c>
      <c r="E42" s="45"/>
      <c r="F42" s="45"/>
      <c r="G42" s="45"/>
      <c r="H42" s="45">
        <v>1</v>
      </c>
      <c r="I42" s="45"/>
      <c r="J42" s="45" t="s">
        <v>258</v>
      </c>
      <c r="K42" s="9">
        <f t="shared" si="0"/>
        <v>0</v>
      </c>
      <c r="L42" s="6" t="str">
        <f t="shared" si="3"/>
        <v>Нелегальные объекты захоронения ТКО не выявлены</v>
      </c>
      <c r="M42" s="6" t="str">
        <f t="shared" si="4"/>
        <v>Все потоки ТКО указаны в территориальной схеме</v>
      </c>
      <c r="N42" s="6" t="str">
        <f t="shared" si="5"/>
        <v>Объектов по 765 приказу нет</v>
      </c>
      <c r="O42" s="6" t="str">
        <f t="shared" si="6"/>
        <v>Захоронение осуществляется с превышением мощностей</v>
      </c>
      <c r="P42" s="6" t="str">
        <f t="shared" si="7"/>
        <v>Действующих мощностей хватит более, чем на 3 года</v>
      </c>
      <c r="Q42" s="9" t="str">
        <f t="shared" si="8"/>
        <v>перегруз</v>
      </c>
      <c r="R42" s="34" t="str">
        <f t="shared" si="9"/>
        <v>Дорожная карта не требуется</v>
      </c>
    </row>
    <row r="43" spans="2:18">
      <c r="B43" s="25" t="s">
        <v>141</v>
      </c>
      <c r="C43" s="22">
        <f t="shared" si="1"/>
        <v>2</v>
      </c>
      <c r="D43" s="22">
        <f t="shared" si="2"/>
        <v>2</v>
      </c>
      <c r="E43" s="45"/>
      <c r="F43" s="45"/>
      <c r="G43" s="45">
        <v>2</v>
      </c>
      <c r="H43" s="45">
        <v>1</v>
      </c>
      <c r="I43" s="45"/>
      <c r="J43" s="45" t="s">
        <v>256</v>
      </c>
      <c r="K43" s="9">
        <f t="shared" si="0"/>
        <v>1</v>
      </c>
      <c r="L43" s="6" t="str">
        <f t="shared" si="3"/>
        <v>Нелегальные объекты захоронения ТКО не выявлены</v>
      </c>
      <c r="M43" s="6" t="str">
        <f t="shared" si="4"/>
        <v>Все потоки ТКО указаны в территориальной схеме</v>
      </c>
      <c r="N43" s="6" t="str">
        <f t="shared" si="5"/>
        <v>Риски замещения объектов по 765 приказу высокие</v>
      </c>
      <c r="O43" s="6" t="str">
        <f t="shared" si="6"/>
        <v>Захоронение осуществляется с превышением мощностей</v>
      </c>
      <c r="P43" s="6" t="str">
        <f t="shared" si="7"/>
        <v>Действующих мощностей хватит более, чем на 3 года</v>
      </c>
      <c r="Q43" s="9" t="str">
        <f t="shared" si="8"/>
        <v>765 приказ</v>
      </c>
      <c r="R43" s="34" t="str">
        <f t="shared" si="9"/>
        <v>Дорожная карта на обсуждении</v>
      </c>
    </row>
    <row r="44" spans="2:18">
      <c r="B44" s="25" t="s">
        <v>142</v>
      </c>
      <c r="C44" s="22">
        <f t="shared" si="1"/>
        <v>2</v>
      </c>
      <c r="D44" s="22">
        <f t="shared" si="2"/>
        <v>2</v>
      </c>
      <c r="E44" s="45"/>
      <c r="F44" s="45">
        <v>2</v>
      </c>
      <c r="G44" s="45"/>
      <c r="H44" s="45">
        <v>1</v>
      </c>
      <c r="I44" s="45"/>
      <c r="J44" s="45" t="s">
        <v>255</v>
      </c>
      <c r="K44" s="9">
        <f t="shared" si="0"/>
        <v>2</v>
      </c>
      <c r="L44" s="6" t="str">
        <f t="shared" si="3"/>
        <v>Нелегальные объекты захоронения ТКО не выявлены</v>
      </c>
      <c r="M44" s="6" t="str">
        <f t="shared" si="4"/>
        <v>Для ряда территорий осутствует схема потоков ТКО</v>
      </c>
      <c r="N44" s="6" t="str">
        <f t="shared" si="5"/>
        <v>Объектов по 765 приказу нет</v>
      </c>
      <c r="O44" s="6" t="str">
        <f t="shared" si="6"/>
        <v>Захоронение осуществляется с превышением мощностей</v>
      </c>
      <c r="P44" s="6" t="str">
        <f t="shared" si="7"/>
        <v>Действующих мощностей хватит более, чем на 3 года</v>
      </c>
      <c r="Q44" s="9" t="str">
        <f t="shared" si="8"/>
        <v>белые пятна</v>
      </c>
      <c r="R44" s="34" t="str">
        <f t="shared" si="9"/>
        <v>Дорожная карта в разработке</v>
      </c>
    </row>
    <row r="45" spans="2:18">
      <c r="B45" s="25" t="s">
        <v>132</v>
      </c>
      <c r="C45" s="22">
        <f t="shared" si="1"/>
        <v>0</v>
      </c>
      <c r="D45" s="22">
        <f t="shared" si="2"/>
        <v>0</v>
      </c>
      <c r="E45" s="45"/>
      <c r="F45" s="45"/>
      <c r="G45" s="45"/>
      <c r="H45" s="45"/>
      <c r="I45" s="45"/>
      <c r="J45" s="45" t="s">
        <v>258</v>
      </c>
      <c r="K45" s="9">
        <f t="shared" si="0"/>
        <v>0</v>
      </c>
      <c r="L45" s="6" t="str">
        <f t="shared" si="3"/>
        <v>Нелегальные объекты захоронения ТКО не выявлены</v>
      </c>
      <c r="M45" s="6" t="str">
        <f t="shared" si="4"/>
        <v>Все потоки ТКО указаны в территориальной схеме</v>
      </c>
      <c r="N45" s="6" t="str">
        <f t="shared" si="5"/>
        <v>Объектов по 765 приказу нет</v>
      </c>
      <c r="O45" s="6" t="str">
        <f t="shared" si="6"/>
        <v>Захоронение осуществляется без превышения мощностей</v>
      </c>
      <c r="P45" s="6" t="str">
        <f t="shared" si="7"/>
        <v>Действующих мощностей хватит более, чем на 3 года</v>
      </c>
      <c r="Q45" s="9" t="str">
        <f t="shared" si="8"/>
        <v/>
      </c>
      <c r="R45" s="34" t="str">
        <f t="shared" si="9"/>
        <v>Дорожная карта не требуется</v>
      </c>
    </row>
    <row r="46" spans="2:18">
      <c r="B46" s="25" t="s">
        <v>77</v>
      </c>
      <c r="C46" s="22">
        <f t="shared" si="1"/>
        <v>0</v>
      </c>
      <c r="D46" s="22">
        <f t="shared" si="2"/>
        <v>0</v>
      </c>
      <c r="E46" s="45"/>
      <c r="F46" s="45"/>
      <c r="G46" s="45"/>
      <c r="H46" s="45"/>
      <c r="I46" s="45"/>
      <c r="J46" s="45" t="s">
        <v>258</v>
      </c>
      <c r="K46" s="9">
        <f t="shared" si="0"/>
        <v>0</v>
      </c>
      <c r="L46" s="6" t="str">
        <f t="shared" si="3"/>
        <v>Нелегальные объекты захоронения ТКО не выявлены</v>
      </c>
      <c r="M46" s="6" t="str">
        <f t="shared" si="4"/>
        <v>Все потоки ТКО указаны в территориальной схеме</v>
      </c>
      <c r="N46" s="6" t="str">
        <f t="shared" si="5"/>
        <v>Объектов по 765 приказу нет</v>
      </c>
      <c r="O46" s="6" t="str">
        <f t="shared" si="6"/>
        <v>Захоронение осуществляется без превышения мощностей</v>
      </c>
      <c r="P46" s="6" t="str">
        <f t="shared" si="7"/>
        <v>Действующих мощностей хватит более, чем на 3 года</v>
      </c>
      <c r="Q46" s="9" t="str">
        <f t="shared" si="8"/>
        <v/>
      </c>
      <c r="R46" s="34" t="str">
        <f t="shared" si="9"/>
        <v>Дорожная карта не требуется</v>
      </c>
    </row>
    <row r="47" spans="2:18">
      <c r="B47" s="25" t="s">
        <v>92</v>
      </c>
      <c r="C47" s="22">
        <f t="shared" si="1"/>
        <v>1</v>
      </c>
      <c r="D47" s="22">
        <f t="shared" si="2"/>
        <v>1</v>
      </c>
      <c r="E47" s="45"/>
      <c r="F47" s="45"/>
      <c r="G47" s="45">
        <v>1</v>
      </c>
      <c r="H47" s="45"/>
      <c r="I47" s="45">
        <v>1</v>
      </c>
      <c r="J47" s="45" t="s">
        <v>257</v>
      </c>
      <c r="K47" s="9">
        <f t="shared" si="0"/>
        <v>0</v>
      </c>
      <c r="L47" s="6" t="str">
        <f t="shared" si="3"/>
        <v>Нелегальные объекты захоронения ТКО не выявлены</v>
      </c>
      <c r="M47" s="6" t="str">
        <f t="shared" si="4"/>
        <v>Все потоки ТКО указаны в территориальной схеме</v>
      </c>
      <c r="N47" s="6" t="str">
        <f t="shared" si="5"/>
        <v>Риски замещения объектов по 765 приказу средние</v>
      </c>
      <c r="O47" s="6" t="str">
        <f t="shared" si="6"/>
        <v>Захоронение осуществляется без превышения мощностей</v>
      </c>
      <c r="P47" s="6" t="str">
        <f t="shared" si="7"/>
        <v>Действующие мощности будут исчерпаны за 3 года</v>
      </c>
      <c r="Q47" s="9" t="str">
        <f t="shared" si="8"/>
        <v>765 приказ</v>
      </c>
      <c r="R47" s="34" t="str">
        <f t="shared" si="9"/>
        <v>Дорожная карта подписана</v>
      </c>
    </row>
    <row r="48" spans="2:18">
      <c r="B48" s="25" t="s">
        <v>101</v>
      </c>
      <c r="C48" s="22">
        <f t="shared" si="1"/>
        <v>1</v>
      </c>
      <c r="D48" s="22">
        <f t="shared" si="2"/>
        <v>1</v>
      </c>
      <c r="E48" s="45"/>
      <c r="F48" s="45"/>
      <c r="G48" s="45"/>
      <c r="H48" s="45">
        <v>1</v>
      </c>
      <c r="I48" s="45"/>
      <c r="J48" s="45" t="s">
        <v>258</v>
      </c>
      <c r="K48" s="9">
        <f t="shared" si="0"/>
        <v>0</v>
      </c>
      <c r="L48" s="6" t="str">
        <f t="shared" si="3"/>
        <v>Нелегальные объекты захоронения ТКО не выявлены</v>
      </c>
      <c r="M48" s="6" t="str">
        <f t="shared" si="4"/>
        <v>Все потоки ТКО указаны в территориальной схеме</v>
      </c>
      <c r="N48" s="6" t="str">
        <f t="shared" si="5"/>
        <v>Объектов по 765 приказу нет</v>
      </c>
      <c r="O48" s="6" t="str">
        <f t="shared" si="6"/>
        <v>Захоронение осуществляется с превышением мощностей</v>
      </c>
      <c r="P48" s="6" t="str">
        <f t="shared" si="7"/>
        <v>Действующих мощностей хватит более, чем на 3 года</v>
      </c>
      <c r="Q48" s="9" t="str">
        <f t="shared" si="8"/>
        <v>перегруз</v>
      </c>
      <c r="R48" s="34" t="str">
        <f t="shared" si="9"/>
        <v>Дорожная карта не требуется</v>
      </c>
    </row>
    <row r="49" spans="2:18">
      <c r="B49" s="25" t="s">
        <v>162</v>
      </c>
      <c r="C49" s="22">
        <f t="shared" si="1"/>
        <v>0</v>
      </c>
      <c r="D49" s="22">
        <f t="shared" si="2"/>
        <v>0</v>
      </c>
      <c r="E49" s="45"/>
      <c r="F49" s="45"/>
      <c r="G49" s="45"/>
      <c r="H49" s="45"/>
      <c r="I49" s="45"/>
      <c r="J49" s="45" t="s">
        <v>258</v>
      </c>
      <c r="K49" s="9">
        <f t="shared" si="0"/>
        <v>0</v>
      </c>
      <c r="L49" s="6" t="str">
        <f t="shared" si="3"/>
        <v>Нелегальные объекты захоронения ТКО не выявлены</v>
      </c>
      <c r="M49" s="6" t="str">
        <f t="shared" si="4"/>
        <v>Все потоки ТКО указаны в территориальной схеме</v>
      </c>
      <c r="N49" s="6" t="str">
        <f t="shared" si="5"/>
        <v>Объектов по 765 приказу нет</v>
      </c>
      <c r="O49" s="6" t="str">
        <f t="shared" si="6"/>
        <v>Захоронение осуществляется без превышения мощностей</v>
      </c>
      <c r="P49" s="6" t="str">
        <f t="shared" si="7"/>
        <v>Действующих мощностей хватит более, чем на 3 года</v>
      </c>
      <c r="Q49" s="9" t="str">
        <f t="shared" si="8"/>
        <v/>
      </c>
      <c r="R49" s="34" t="str">
        <f t="shared" si="9"/>
        <v>Дорожная карта не требуется</v>
      </c>
    </row>
    <row r="50" spans="2:18">
      <c r="B50" s="25" t="s">
        <v>153</v>
      </c>
      <c r="C50" s="22">
        <f t="shared" si="1"/>
        <v>2</v>
      </c>
      <c r="D50" s="22">
        <f t="shared" si="2"/>
        <v>2</v>
      </c>
      <c r="E50" s="45"/>
      <c r="F50" s="45">
        <v>2</v>
      </c>
      <c r="G50" s="45"/>
      <c r="H50" s="45"/>
      <c r="I50" s="45"/>
      <c r="J50" s="45" t="s">
        <v>255</v>
      </c>
      <c r="K50" s="9">
        <f t="shared" si="0"/>
        <v>2</v>
      </c>
      <c r="L50" s="6" t="str">
        <f t="shared" si="3"/>
        <v>Нелегальные объекты захоронения ТКО не выявлены</v>
      </c>
      <c r="M50" s="6" t="str">
        <f t="shared" si="4"/>
        <v>Для ряда территорий осутствует схема потоков ТКО</v>
      </c>
      <c r="N50" s="6" t="str">
        <f t="shared" si="5"/>
        <v>Объектов по 765 приказу нет</v>
      </c>
      <c r="O50" s="6" t="str">
        <f t="shared" si="6"/>
        <v>Захоронение осуществляется без превышения мощностей</v>
      </c>
      <c r="P50" s="6" t="str">
        <f t="shared" si="7"/>
        <v>Действующих мощностей хватит более, чем на 3 года</v>
      </c>
      <c r="Q50" s="9" t="str">
        <f t="shared" si="8"/>
        <v>белые пятна</v>
      </c>
      <c r="R50" s="34" t="str">
        <f t="shared" si="9"/>
        <v>Дорожная карта в разработке</v>
      </c>
    </row>
    <row r="51" spans="2:18">
      <c r="B51" s="25" t="s">
        <v>69</v>
      </c>
      <c r="C51" s="22">
        <f t="shared" si="1"/>
        <v>0</v>
      </c>
      <c r="D51" s="22">
        <f t="shared" si="2"/>
        <v>0</v>
      </c>
      <c r="E51" s="45"/>
      <c r="F51" s="45"/>
      <c r="G51" s="45"/>
      <c r="H51" s="45"/>
      <c r="I51" s="45"/>
      <c r="J51" s="45" t="s">
        <v>258</v>
      </c>
      <c r="K51" s="9">
        <f t="shared" si="0"/>
        <v>0</v>
      </c>
      <c r="L51" s="6" t="str">
        <f t="shared" si="3"/>
        <v>Нелегальные объекты захоронения ТКО не выявлены</v>
      </c>
      <c r="M51" s="6" t="str">
        <f t="shared" si="4"/>
        <v>Все потоки ТКО указаны в территориальной схеме</v>
      </c>
      <c r="N51" s="6" t="str">
        <f t="shared" si="5"/>
        <v>Объектов по 765 приказу нет</v>
      </c>
      <c r="O51" s="6" t="str">
        <f t="shared" si="6"/>
        <v>Захоронение осуществляется без превышения мощностей</v>
      </c>
      <c r="P51" s="6" t="str">
        <f t="shared" si="7"/>
        <v>Действующих мощностей хватит более, чем на 3 года</v>
      </c>
      <c r="Q51" s="9" t="str">
        <f t="shared" si="8"/>
        <v/>
      </c>
      <c r="R51" s="34" t="str">
        <f t="shared" si="9"/>
        <v>Дорожная карта не требуется</v>
      </c>
    </row>
    <row r="52" spans="2:18">
      <c r="B52" s="25" t="s">
        <v>72</v>
      </c>
      <c r="C52" s="22">
        <f t="shared" si="1"/>
        <v>0</v>
      </c>
      <c r="D52" s="22">
        <f t="shared" si="2"/>
        <v>0</v>
      </c>
      <c r="E52" s="45"/>
      <c r="F52" s="45"/>
      <c r="G52" s="45"/>
      <c r="H52" s="45"/>
      <c r="I52" s="45"/>
      <c r="J52" s="45" t="s">
        <v>258</v>
      </c>
      <c r="K52" s="9">
        <f t="shared" si="0"/>
        <v>0</v>
      </c>
      <c r="L52" s="6" t="str">
        <f t="shared" si="3"/>
        <v>Нелегальные объекты захоронения ТКО не выявлены</v>
      </c>
      <c r="M52" s="6" t="str">
        <f t="shared" si="4"/>
        <v>Все потоки ТКО указаны в территориальной схеме</v>
      </c>
      <c r="N52" s="6" t="str">
        <f t="shared" si="5"/>
        <v>Объектов по 765 приказу нет</v>
      </c>
      <c r="O52" s="6" t="str">
        <f t="shared" si="6"/>
        <v>Захоронение осуществляется без превышения мощностей</v>
      </c>
      <c r="P52" s="6" t="str">
        <f t="shared" si="7"/>
        <v>Действующих мощностей хватит более, чем на 3 года</v>
      </c>
      <c r="Q52" s="9" t="str">
        <f t="shared" si="8"/>
        <v/>
      </c>
      <c r="R52" s="34" t="str">
        <f t="shared" si="9"/>
        <v>Дорожная карта не требуется</v>
      </c>
    </row>
    <row r="53" spans="2:18">
      <c r="B53" s="25" t="s">
        <v>127</v>
      </c>
      <c r="C53" s="22">
        <f t="shared" si="1"/>
        <v>2</v>
      </c>
      <c r="D53" s="22">
        <f t="shared" si="2"/>
        <v>2</v>
      </c>
      <c r="E53" s="45"/>
      <c r="F53" s="45">
        <v>2</v>
      </c>
      <c r="G53" s="45"/>
      <c r="H53" s="45"/>
      <c r="I53" s="45"/>
      <c r="J53" s="45" t="s">
        <v>255</v>
      </c>
      <c r="K53" s="9">
        <f t="shared" si="0"/>
        <v>2</v>
      </c>
      <c r="L53" s="6" t="str">
        <f t="shared" si="3"/>
        <v>Нелегальные объекты захоронения ТКО не выявлены</v>
      </c>
      <c r="M53" s="6" t="str">
        <f t="shared" si="4"/>
        <v>Для ряда территорий осутствует схема потоков ТКО</v>
      </c>
      <c r="N53" s="6" t="str">
        <f t="shared" si="5"/>
        <v>Объектов по 765 приказу нет</v>
      </c>
      <c r="O53" s="6" t="str">
        <f t="shared" si="6"/>
        <v>Захоронение осуществляется без превышения мощностей</v>
      </c>
      <c r="P53" s="6" t="str">
        <f t="shared" si="7"/>
        <v>Действующих мощностей хватит более, чем на 3 года</v>
      </c>
      <c r="Q53" s="9" t="str">
        <f t="shared" si="8"/>
        <v>белые пятна</v>
      </c>
      <c r="R53" s="34" t="str">
        <f t="shared" si="9"/>
        <v>Дорожная карта в разработке</v>
      </c>
    </row>
    <row r="54" spans="2:18">
      <c r="B54" s="25" t="s">
        <v>93</v>
      </c>
      <c r="C54" s="22">
        <f t="shared" si="1"/>
        <v>0</v>
      </c>
      <c r="D54" s="22">
        <f t="shared" si="2"/>
        <v>0</v>
      </c>
      <c r="E54" s="45"/>
      <c r="F54" s="45"/>
      <c r="G54" s="45"/>
      <c r="H54" s="45"/>
      <c r="I54" s="45"/>
      <c r="J54" s="45" t="s">
        <v>258</v>
      </c>
      <c r="K54" s="9">
        <f t="shared" si="0"/>
        <v>0</v>
      </c>
      <c r="L54" s="6" t="str">
        <f t="shared" si="3"/>
        <v>Нелегальные объекты захоронения ТКО не выявлены</v>
      </c>
      <c r="M54" s="6" t="str">
        <f t="shared" si="4"/>
        <v>Все потоки ТКО указаны в территориальной схеме</v>
      </c>
      <c r="N54" s="6" t="str">
        <f t="shared" si="5"/>
        <v>Объектов по 765 приказу нет</v>
      </c>
      <c r="O54" s="6" t="str">
        <f t="shared" si="6"/>
        <v>Захоронение осуществляется без превышения мощностей</v>
      </c>
      <c r="P54" s="6" t="str">
        <f t="shared" si="7"/>
        <v>Действующих мощностей хватит более, чем на 3 года</v>
      </c>
      <c r="Q54" s="9" t="str">
        <f t="shared" si="8"/>
        <v/>
      </c>
      <c r="R54" s="34" t="str">
        <f t="shared" si="9"/>
        <v>Дорожная карта не требуется</v>
      </c>
    </row>
    <row r="55" spans="2:18">
      <c r="B55" s="25" t="s">
        <v>90</v>
      </c>
      <c r="C55" s="22">
        <f t="shared" si="1"/>
        <v>0</v>
      </c>
      <c r="D55" s="22">
        <f t="shared" si="2"/>
        <v>0</v>
      </c>
      <c r="E55" s="45"/>
      <c r="F55" s="45"/>
      <c r="G55" s="45"/>
      <c r="H55" s="45"/>
      <c r="I55" s="45"/>
      <c r="J55" s="45" t="s">
        <v>258</v>
      </c>
      <c r="K55" s="9">
        <f t="shared" si="0"/>
        <v>0</v>
      </c>
      <c r="L55" s="6" t="str">
        <f t="shared" si="3"/>
        <v>Нелегальные объекты захоронения ТКО не выявлены</v>
      </c>
      <c r="M55" s="6" t="str">
        <f t="shared" si="4"/>
        <v>Все потоки ТКО указаны в территориальной схеме</v>
      </c>
      <c r="N55" s="6" t="str">
        <f t="shared" si="5"/>
        <v>Объектов по 765 приказу нет</v>
      </c>
      <c r="O55" s="6" t="str">
        <f t="shared" si="6"/>
        <v>Захоронение осуществляется без превышения мощностей</v>
      </c>
      <c r="P55" s="6" t="str">
        <f t="shared" si="7"/>
        <v>Действующих мощностей хватит более, чем на 3 года</v>
      </c>
      <c r="Q55" s="9" t="str">
        <f t="shared" si="8"/>
        <v/>
      </c>
      <c r="R55" s="34" t="str">
        <f t="shared" si="9"/>
        <v>Дорожная карта не требуется</v>
      </c>
    </row>
    <row r="56" spans="2:18">
      <c r="B56" s="25" t="s">
        <v>123</v>
      </c>
      <c r="C56" s="22">
        <f t="shared" si="1"/>
        <v>2</v>
      </c>
      <c r="D56" s="22">
        <f t="shared" si="2"/>
        <v>2</v>
      </c>
      <c r="E56" s="45"/>
      <c r="F56" s="45"/>
      <c r="G56" s="45">
        <v>2</v>
      </c>
      <c r="H56" s="45"/>
      <c r="I56" s="45"/>
      <c r="J56" s="45" t="s">
        <v>257</v>
      </c>
      <c r="K56" s="9">
        <f t="shared" si="0"/>
        <v>0</v>
      </c>
      <c r="L56" s="6" t="str">
        <f t="shared" si="3"/>
        <v>Нелегальные объекты захоронения ТКО не выявлены</v>
      </c>
      <c r="M56" s="6" t="str">
        <f t="shared" si="4"/>
        <v>Все потоки ТКО указаны в территориальной схеме</v>
      </c>
      <c r="N56" s="6" t="str">
        <f t="shared" si="5"/>
        <v>Риски замещения объектов по 765 приказу высокие</v>
      </c>
      <c r="O56" s="6" t="str">
        <f t="shared" si="6"/>
        <v>Захоронение осуществляется без превышения мощностей</v>
      </c>
      <c r="P56" s="6" t="str">
        <f t="shared" si="7"/>
        <v>Действующих мощностей хватит более, чем на 3 года</v>
      </c>
      <c r="Q56" s="9" t="str">
        <f t="shared" si="8"/>
        <v>765 приказ</v>
      </c>
      <c r="R56" s="34" t="str">
        <f t="shared" si="9"/>
        <v>Дорожная карта подписана</v>
      </c>
    </row>
    <row r="57" spans="2:18">
      <c r="B57" s="25" t="s">
        <v>139</v>
      </c>
      <c r="C57" s="22">
        <f t="shared" si="1"/>
        <v>2</v>
      </c>
      <c r="D57" s="22">
        <f t="shared" si="2"/>
        <v>2</v>
      </c>
      <c r="E57" s="45"/>
      <c r="F57" s="45"/>
      <c r="G57" s="45">
        <v>2</v>
      </c>
      <c r="H57" s="45"/>
      <c r="I57" s="45"/>
      <c r="J57" s="45" t="s">
        <v>256</v>
      </c>
      <c r="K57" s="9">
        <f t="shared" si="0"/>
        <v>1</v>
      </c>
      <c r="L57" s="6" t="str">
        <f t="shared" si="3"/>
        <v>Нелегальные объекты захоронения ТКО не выявлены</v>
      </c>
      <c r="M57" s="6" t="str">
        <f t="shared" si="4"/>
        <v>Все потоки ТКО указаны в территориальной схеме</v>
      </c>
      <c r="N57" s="6" t="str">
        <f t="shared" si="5"/>
        <v>Риски замещения объектов по 765 приказу высокие</v>
      </c>
      <c r="O57" s="6" t="str">
        <f t="shared" si="6"/>
        <v>Захоронение осуществляется без превышения мощностей</v>
      </c>
      <c r="P57" s="6" t="str">
        <f t="shared" si="7"/>
        <v>Действующих мощностей хватит более, чем на 3 года</v>
      </c>
      <c r="Q57" s="9" t="str">
        <f t="shared" si="8"/>
        <v>765 приказ</v>
      </c>
      <c r="R57" s="34" t="str">
        <f t="shared" si="9"/>
        <v>Дорожная карта на обсуждении</v>
      </c>
    </row>
    <row r="58" spans="2:18">
      <c r="B58" s="25" t="s">
        <v>94</v>
      </c>
      <c r="C58" s="22">
        <f t="shared" si="1"/>
        <v>0</v>
      </c>
      <c r="D58" s="22">
        <f t="shared" si="2"/>
        <v>0</v>
      </c>
      <c r="E58" s="45"/>
      <c r="F58" s="45"/>
      <c r="G58" s="45"/>
      <c r="H58" s="45"/>
      <c r="I58" s="45"/>
      <c r="J58" s="45" t="s">
        <v>258</v>
      </c>
      <c r="K58" s="9">
        <f t="shared" si="0"/>
        <v>0</v>
      </c>
      <c r="L58" s="6" t="str">
        <f t="shared" si="3"/>
        <v>Нелегальные объекты захоронения ТКО не выявлены</v>
      </c>
      <c r="M58" s="6" t="str">
        <f t="shared" si="4"/>
        <v>Все потоки ТКО указаны в территориальной схеме</v>
      </c>
      <c r="N58" s="6" t="str">
        <f t="shared" si="5"/>
        <v>Объектов по 765 приказу нет</v>
      </c>
      <c r="O58" s="6" t="str">
        <f t="shared" si="6"/>
        <v>Захоронение осуществляется без превышения мощностей</v>
      </c>
      <c r="P58" s="6" t="str">
        <f t="shared" si="7"/>
        <v>Действующих мощностей хватит более, чем на 3 года</v>
      </c>
      <c r="Q58" s="9" t="str">
        <f t="shared" si="8"/>
        <v/>
      </c>
      <c r="R58" s="34" t="str">
        <f t="shared" si="9"/>
        <v>Дорожная карта не требуется</v>
      </c>
    </row>
    <row r="59" spans="2:18">
      <c r="B59" s="25" t="s">
        <v>111</v>
      </c>
      <c r="C59" s="22">
        <f t="shared" si="1"/>
        <v>1</v>
      </c>
      <c r="D59" s="22">
        <f t="shared" si="2"/>
        <v>1</v>
      </c>
      <c r="E59" s="45"/>
      <c r="F59" s="45"/>
      <c r="G59" s="45"/>
      <c r="H59" s="45">
        <v>1</v>
      </c>
      <c r="I59" s="45"/>
      <c r="J59" s="45" t="s">
        <v>258</v>
      </c>
      <c r="K59" s="9">
        <f t="shared" si="0"/>
        <v>0</v>
      </c>
      <c r="L59" s="6" t="str">
        <f t="shared" si="3"/>
        <v>Нелегальные объекты захоронения ТКО не выявлены</v>
      </c>
      <c r="M59" s="6" t="str">
        <f t="shared" si="4"/>
        <v>Все потоки ТКО указаны в территориальной схеме</v>
      </c>
      <c r="N59" s="6" t="str">
        <f t="shared" si="5"/>
        <v>Объектов по 765 приказу нет</v>
      </c>
      <c r="O59" s="6" t="str">
        <f t="shared" si="6"/>
        <v>Захоронение осуществляется с превышением мощностей</v>
      </c>
      <c r="P59" s="6" t="str">
        <f t="shared" si="7"/>
        <v>Действующих мощностей хватит более, чем на 3 года</v>
      </c>
      <c r="Q59" s="9" t="str">
        <f t="shared" si="8"/>
        <v>перегруз</v>
      </c>
      <c r="R59" s="34" t="str">
        <f t="shared" si="9"/>
        <v>Дорожная карта не требуется</v>
      </c>
    </row>
    <row r="60" spans="2:18">
      <c r="B60" s="25" t="s">
        <v>124</v>
      </c>
      <c r="C60" s="22">
        <f t="shared" si="1"/>
        <v>1</v>
      </c>
      <c r="D60" s="22">
        <f t="shared" si="2"/>
        <v>1</v>
      </c>
      <c r="E60" s="45"/>
      <c r="F60" s="45"/>
      <c r="G60" s="45"/>
      <c r="H60" s="45">
        <v>1</v>
      </c>
      <c r="I60" s="45"/>
      <c r="J60" s="45" t="s">
        <v>258</v>
      </c>
      <c r="K60" s="9">
        <f t="shared" si="0"/>
        <v>0</v>
      </c>
      <c r="L60" s="6" t="str">
        <f t="shared" si="3"/>
        <v>Нелегальные объекты захоронения ТКО не выявлены</v>
      </c>
      <c r="M60" s="6" t="str">
        <f t="shared" si="4"/>
        <v>Все потоки ТКО указаны в территориальной схеме</v>
      </c>
      <c r="N60" s="6" t="str">
        <f t="shared" si="5"/>
        <v>Объектов по 765 приказу нет</v>
      </c>
      <c r="O60" s="6" t="str">
        <f t="shared" si="6"/>
        <v>Захоронение осуществляется с превышением мощностей</v>
      </c>
      <c r="P60" s="6" t="str">
        <f t="shared" si="7"/>
        <v>Действующих мощностей хватит более, чем на 3 года</v>
      </c>
      <c r="Q60" s="9" t="str">
        <f t="shared" si="8"/>
        <v>перегруз</v>
      </c>
      <c r="R60" s="34" t="str">
        <f t="shared" si="9"/>
        <v>Дорожная карта не требуется</v>
      </c>
    </row>
    <row r="61" spans="2:18">
      <c r="B61" s="25" t="s">
        <v>143</v>
      </c>
      <c r="C61" s="22">
        <f t="shared" si="1"/>
        <v>2</v>
      </c>
      <c r="D61" s="22">
        <f t="shared" si="2"/>
        <v>2</v>
      </c>
      <c r="E61" s="45"/>
      <c r="F61" s="45"/>
      <c r="G61" s="45">
        <v>2</v>
      </c>
      <c r="H61" s="45"/>
      <c r="I61" s="45"/>
      <c r="J61" s="45" t="s">
        <v>257</v>
      </c>
      <c r="K61" s="9">
        <f t="shared" si="0"/>
        <v>0</v>
      </c>
      <c r="L61" s="6" t="str">
        <f t="shared" si="3"/>
        <v>Нелегальные объекты захоронения ТКО не выявлены</v>
      </c>
      <c r="M61" s="6" t="str">
        <f t="shared" si="4"/>
        <v>Все потоки ТКО указаны в территориальной схеме</v>
      </c>
      <c r="N61" s="6" t="str">
        <f t="shared" si="5"/>
        <v>Риски замещения объектов по 765 приказу высокие</v>
      </c>
      <c r="O61" s="6" t="str">
        <f t="shared" si="6"/>
        <v>Захоронение осуществляется без превышения мощностей</v>
      </c>
      <c r="P61" s="6" t="str">
        <f t="shared" si="7"/>
        <v>Действующих мощностей хватит более, чем на 3 года</v>
      </c>
      <c r="Q61" s="9" t="str">
        <f t="shared" si="8"/>
        <v>765 приказ</v>
      </c>
      <c r="R61" s="34" t="str">
        <f t="shared" si="9"/>
        <v>Дорожная карта подписана</v>
      </c>
    </row>
    <row r="62" spans="2:18">
      <c r="B62" s="25" t="s">
        <v>144</v>
      </c>
      <c r="C62" s="22">
        <f t="shared" si="1"/>
        <v>2</v>
      </c>
      <c r="D62" s="22">
        <f t="shared" si="2"/>
        <v>2</v>
      </c>
      <c r="E62" s="45"/>
      <c r="F62" s="45"/>
      <c r="G62" s="45">
        <v>2</v>
      </c>
      <c r="H62" s="45"/>
      <c r="I62" s="45"/>
      <c r="J62" s="45" t="s">
        <v>257</v>
      </c>
      <c r="K62" s="9">
        <f t="shared" si="0"/>
        <v>0</v>
      </c>
      <c r="L62" s="6" t="str">
        <f t="shared" si="3"/>
        <v>Нелегальные объекты захоронения ТКО не выявлены</v>
      </c>
      <c r="M62" s="6" t="str">
        <f t="shared" si="4"/>
        <v>Все потоки ТКО указаны в территориальной схеме</v>
      </c>
      <c r="N62" s="6" t="str">
        <f t="shared" si="5"/>
        <v>Риски замещения объектов по 765 приказу высокие</v>
      </c>
      <c r="O62" s="6" t="str">
        <f t="shared" si="6"/>
        <v>Захоронение осуществляется без превышения мощностей</v>
      </c>
      <c r="P62" s="6" t="str">
        <f t="shared" si="7"/>
        <v>Действующих мощностей хватит более, чем на 3 года</v>
      </c>
      <c r="Q62" s="9" t="str">
        <f t="shared" si="8"/>
        <v>765 приказ</v>
      </c>
      <c r="R62" s="34" t="str">
        <f t="shared" si="9"/>
        <v>Дорожная карта подписана</v>
      </c>
    </row>
    <row r="63" spans="2:18">
      <c r="B63" s="25" t="s">
        <v>95</v>
      </c>
      <c r="C63" s="22">
        <f t="shared" si="1"/>
        <v>0</v>
      </c>
      <c r="D63" s="22">
        <f t="shared" si="2"/>
        <v>0</v>
      </c>
      <c r="E63" s="45"/>
      <c r="F63" s="45"/>
      <c r="G63" s="45"/>
      <c r="H63" s="45"/>
      <c r="I63" s="45"/>
      <c r="J63" s="45" t="s">
        <v>258</v>
      </c>
      <c r="K63" s="9">
        <f t="shared" si="0"/>
        <v>0</v>
      </c>
      <c r="L63" s="6" t="str">
        <f t="shared" si="3"/>
        <v>Нелегальные объекты захоронения ТКО не выявлены</v>
      </c>
      <c r="M63" s="6" t="str">
        <f t="shared" si="4"/>
        <v>Все потоки ТКО указаны в территориальной схеме</v>
      </c>
      <c r="N63" s="6" t="str">
        <f t="shared" si="5"/>
        <v>Объектов по 765 приказу нет</v>
      </c>
      <c r="O63" s="6" t="str">
        <f t="shared" si="6"/>
        <v>Захоронение осуществляется без превышения мощностей</v>
      </c>
      <c r="P63" s="6" t="str">
        <f t="shared" si="7"/>
        <v>Действующих мощностей хватит более, чем на 3 года</v>
      </c>
      <c r="Q63" s="9" t="str">
        <f t="shared" si="8"/>
        <v/>
      </c>
      <c r="R63" s="34" t="str">
        <f t="shared" si="9"/>
        <v>Дорожная карта не требуется</v>
      </c>
    </row>
    <row r="64" spans="2:18">
      <c r="B64" s="25" t="s">
        <v>96</v>
      </c>
      <c r="C64" s="22">
        <f t="shared" si="1"/>
        <v>0</v>
      </c>
      <c r="D64" s="22">
        <f t="shared" si="2"/>
        <v>0</v>
      </c>
      <c r="E64" s="45"/>
      <c r="F64" s="45"/>
      <c r="G64" s="45"/>
      <c r="H64" s="45"/>
      <c r="I64" s="45"/>
      <c r="J64" s="45" t="s">
        <v>258</v>
      </c>
      <c r="K64" s="9">
        <f t="shared" si="0"/>
        <v>0</v>
      </c>
      <c r="L64" s="6" t="str">
        <f t="shared" si="3"/>
        <v>Нелегальные объекты захоронения ТКО не выявлены</v>
      </c>
      <c r="M64" s="6" t="str">
        <f t="shared" si="4"/>
        <v>Все потоки ТКО указаны в территориальной схеме</v>
      </c>
      <c r="N64" s="6" t="str">
        <f t="shared" si="5"/>
        <v>Объектов по 765 приказу нет</v>
      </c>
      <c r="O64" s="6" t="str">
        <f t="shared" si="6"/>
        <v>Захоронение осуществляется без превышения мощностей</v>
      </c>
      <c r="P64" s="6" t="str">
        <f t="shared" si="7"/>
        <v>Действующих мощностей хватит более, чем на 3 года</v>
      </c>
      <c r="Q64" s="9" t="str">
        <f t="shared" si="8"/>
        <v/>
      </c>
      <c r="R64" s="34" t="str">
        <f t="shared" si="9"/>
        <v>Дорожная карта не требуется</v>
      </c>
    </row>
    <row r="65" spans="2:18">
      <c r="B65" s="25" t="s">
        <v>147</v>
      </c>
      <c r="C65" s="22">
        <f t="shared" si="1"/>
        <v>2</v>
      </c>
      <c r="D65" s="22">
        <f t="shared" si="2"/>
        <v>2</v>
      </c>
      <c r="E65" s="45"/>
      <c r="F65" s="45"/>
      <c r="G65" s="45">
        <v>2</v>
      </c>
      <c r="H65" s="45"/>
      <c r="I65" s="45"/>
      <c r="J65" s="45" t="s">
        <v>257</v>
      </c>
      <c r="K65" s="9">
        <f t="shared" si="0"/>
        <v>0</v>
      </c>
      <c r="L65" s="6" t="str">
        <f t="shared" si="3"/>
        <v>Нелегальные объекты захоронения ТКО не выявлены</v>
      </c>
      <c r="M65" s="6" t="str">
        <f t="shared" si="4"/>
        <v>Все потоки ТКО указаны в территориальной схеме</v>
      </c>
      <c r="N65" s="6" t="str">
        <f t="shared" si="5"/>
        <v>Риски замещения объектов по 765 приказу высокие</v>
      </c>
      <c r="O65" s="6" t="str">
        <f t="shared" si="6"/>
        <v>Захоронение осуществляется без превышения мощностей</v>
      </c>
      <c r="P65" s="6" t="str">
        <f t="shared" si="7"/>
        <v>Действующих мощностей хватит более, чем на 3 года</v>
      </c>
      <c r="Q65" s="9" t="str">
        <f t="shared" si="8"/>
        <v>765 приказ</v>
      </c>
      <c r="R65" s="34" t="str">
        <f t="shared" si="9"/>
        <v>Дорожная карта подписана</v>
      </c>
    </row>
    <row r="66" spans="2:18">
      <c r="B66" s="25" t="s">
        <v>88</v>
      </c>
      <c r="C66" s="22">
        <f t="shared" si="1"/>
        <v>0</v>
      </c>
      <c r="D66" s="22">
        <f t="shared" si="2"/>
        <v>0</v>
      </c>
      <c r="E66" s="45"/>
      <c r="F66" s="45"/>
      <c r="G66" s="45"/>
      <c r="H66" s="45"/>
      <c r="I66" s="45"/>
      <c r="J66" s="45" t="s">
        <v>258</v>
      </c>
      <c r="K66" s="9">
        <f t="shared" si="0"/>
        <v>0</v>
      </c>
      <c r="L66" s="6" t="str">
        <f t="shared" si="3"/>
        <v>Нелегальные объекты захоронения ТКО не выявлены</v>
      </c>
      <c r="M66" s="6" t="str">
        <f t="shared" si="4"/>
        <v>Все потоки ТКО указаны в территориальной схеме</v>
      </c>
      <c r="N66" s="6" t="str">
        <f t="shared" si="5"/>
        <v>Объектов по 765 приказу нет</v>
      </c>
      <c r="O66" s="6" t="str">
        <f t="shared" si="6"/>
        <v>Захоронение осуществляется без превышения мощностей</v>
      </c>
      <c r="P66" s="6" t="str">
        <f t="shared" si="7"/>
        <v>Действующих мощностей хватит более, чем на 3 года</v>
      </c>
      <c r="Q66" s="9" t="str">
        <f t="shared" si="8"/>
        <v/>
      </c>
      <c r="R66" s="34" t="str">
        <f t="shared" si="9"/>
        <v>Дорожная карта не требуется</v>
      </c>
    </row>
    <row r="67" spans="2:18">
      <c r="B67" s="25" t="s">
        <v>157</v>
      </c>
      <c r="C67" s="22">
        <f t="shared" si="1"/>
        <v>2</v>
      </c>
      <c r="D67" s="22">
        <f t="shared" si="2"/>
        <v>2</v>
      </c>
      <c r="E67" s="45">
        <v>2</v>
      </c>
      <c r="F67" s="45"/>
      <c r="G67" s="45"/>
      <c r="H67" s="45">
        <v>1</v>
      </c>
      <c r="I67" s="45"/>
      <c r="J67" s="45" t="s">
        <v>255</v>
      </c>
      <c r="K67" s="9">
        <f t="shared" si="0"/>
        <v>2</v>
      </c>
      <c r="L67" s="6" t="str">
        <f t="shared" si="3"/>
        <v>Имеются нелегальные объекты захоронения ТКО</v>
      </c>
      <c r="M67" s="6" t="str">
        <f t="shared" si="4"/>
        <v>Все потоки ТКО указаны в территориальной схеме</v>
      </c>
      <c r="N67" s="6" t="str">
        <f t="shared" si="5"/>
        <v>Объектов по 765 приказу нет</v>
      </c>
      <c r="O67" s="6" t="str">
        <f t="shared" si="6"/>
        <v>Захоронение осуществляется с превышением мощностей</v>
      </c>
      <c r="P67" s="6" t="str">
        <f t="shared" si="7"/>
        <v>Действующих мощностей хватит более, чем на 3 года</v>
      </c>
      <c r="Q67" s="9" t="str">
        <f t="shared" si="8"/>
        <v>свалки</v>
      </c>
      <c r="R67" s="34" t="str">
        <f t="shared" si="9"/>
        <v>Дорожная карта в разработке</v>
      </c>
    </row>
    <row r="68" spans="2:18">
      <c r="B68" s="25" t="s">
        <v>136</v>
      </c>
      <c r="C68" s="22">
        <f t="shared" si="1"/>
        <v>1</v>
      </c>
      <c r="D68" s="22">
        <f t="shared" si="2"/>
        <v>1</v>
      </c>
      <c r="E68" s="45"/>
      <c r="F68" s="45"/>
      <c r="G68" s="45"/>
      <c r="H68" s="45">
        <v>1</v>
      </c>
      <c r="I68" s="45">
        <v>1</v>
      </c>
      <c r="J68" s="45" t="s">
        <v>258</v>
      </c>
      <c r="K68" s="9">
        <f t="shared" si="0"/>
        <v>0</v>
      </c>
      <c r="L68" s="6" t="str">
        <f t="shared" si="3"/>
        <v>Нелегальные объекты захоронения ТКО не выявлены</v>
      </c>
      <c r="M68" s="6" t="str">
        <f t="shared" si="4"/>
        <v>Все потоки ТКО указаны в территориальной схеме</v>
      </c>
      <c r="N68" s="6" t="str">
        <f t="shared" si="5"/>
        <v>Объектов по 765 приказу нет</v>
      </c>
      <c r="O68" s="6" t="str">
        <f t="shared" si="6"/>
        <v>Захоронение осуществляется с превышением мощностей</v>
      </c>
      <c r="P68" s="6" t="str">
        <f t="shared" si="7"/>
        <v>Действующие мощности будут исчерпаны за 3 года</v>
      </c>
      <c r="Q68" s="9" t="str">
        <f t="shared" si="8"/>
        <v>перегруз</v>
      </c>
      <c r="R68" s="34" t="str">
        <f t="shared" si="9"/>
        <v>Дорожная карта не требуется</v>
      </c>
    </row>
    <row r="69" spans="2:18">
      <c r="B69" s="25" t="s">
        <v>158</v>
      </c>
      <c r="C69" s="22">
        <f t="shared" si="1"/>
        <v>2</v>
      </c>
      <c r="D69" s="22">
        <f t="shared" si="2"/>
        <v>2</v>
      </c>
      <c r="E69" s="45">
        <v>2</v>
      </c>
      <c r="F69" s="45"/>
      <c r="G69" s="45"/>
      <c r="H69" s="45">
        <v>1</v>
      </c>
      <c r="I69" s="45"/>
      <c r="J69" s="45" t="s">
        <v>255</v>
      </c>
      <c r="K69" s="9">
        <f t="shared" si="0"/>
        <v>2</v>
      </c>
      <c r="L69" s="6" t="str">
        <f t="shared" si="3"/>
        <v>Имеются нелегальные объекты захоронения ТКО</v>
      </c>
      <c r="M69" s="6" t="str">
        <f t="shared" si="4"/>
        <v>Все потоки ТКО указаны в территориальной схеме</v>
      </c>
      <c r="N69" s="6" t="str">
        <f t="shared" si="5"/>
        <v>Объектов по 765 приказу нет</v>
      </c>
      <c r="O69" s="6" t="str">
        <f t="shared" si="6"/>
        <v>Захоронение осуществляется с превышением мощностей</v>
      </c>
      <c r="P69" s="6" t="str">
        <f t="shared" si="7"/>
        <v>Действующих мощностей хватит более, чем на 3 года</v>
      </c>
      <c r="Q69" s="9" t="str">
        <f t="shared" si="8"/>
        <v>свалки</v>
      </c>
      <c r="R69" s="34" t="str">
        <f t="shared" si="9"/>
        <v>Дорожная карта в разработке</v>
      </c>
    </row>
    <row r="70" spans="2:18">
      <c r="B70" s="25" t="s">
        <v>120</v>
      </c>
      <c r="C70" s="22">
        <f t="shared" si="1"/>
        <v>0</v>
      </c>
      <c r="D70" s="22">
        <f t="shared" si="2"/>
        <v>0</v>
      </c>
      <c r="E70" s="45"/>
      <c r="F70" s="45"/>
      <c r="G70" s="45"/>
      <c r="H70" s="45"/>
      <c r="I70" s="45"/>
      <c r="J70" s="45" t="s">
        <v>258</v>
      </c>
      <c r="K70" s="9">
        <f t="shared" si="0"/>
        <v>0</v>
      </c>
      <c r="L70" s="6" t="str">
        <f t="shared" si="3"/>
        <v>Нелегальные объекты захоронения ТКО не выявлены</v>
      </c>
      <c r="M70" s="6" t="str">
        <f t="shared" si="4"/>
        <v>Все потоки ТКО указаны в территориальной схеме</v>
      </c>
      <c r="N70" s="6" t="str">
        <f t="shared" si="5"/>
        <v>Объектов по 765 приказу нет</v>
      </c>
      <c r="O70" s="6" t="str">
        <f t="shared" si="6"/>
        <v>Захоронение осуществляется без превышения мощностей</v>
      </c>
      <c r="P70" s="6" t="str">
        <f t="shared" si="7"/>
        <v>Действующих мощностей хватит более, чем на 3 года</v>
      </c>
      <c r="Q70" s="9" t="str">
        <f t="shared" si="8"/>
        <v/>
      </c>
      <c r="R70" s="34" t="str">
        <f t="shared" si="9"/>
        <v>Дорожная карта не требуется</v>
      </c>
    </row>
    <row r="71" spans="2:18">
      <c r="B71" s="25" t="s">
        <v>112</v>
      </c>
      <c r="C71" s="22">
        <f t="shared" si="1"/>
        <v>0</v>
      </c>
      <c r="D71" s="22">
        <f t="shared" si="2"/>
        <v>0</v>
      </c>
      <c r="E71" s="45"/>
      <c r="F71" s="45"/>
      <c r="G71" s="45"/>
      <c r="H71" s="45"/>
      <c r="I71" s="45"/>
      <c r="J71" s="45" t="s">
        <v>258</v>
      </c>
      <c r="K71" s="9">
        <f t="shared" si="0"/>
        <v>0</v>
      </c>
      <c r="L71" s="6" t="str">
        <f t="shared" si="3"/>
        <v>Нелегальные объекты захоронения ТКО не выявлены</v>
      </c>
      <c r="M71" s="6" t="str">
        <f t="shared" si="4"/>
        <v>Все потоки ТКО указаны в территориальной схеме</v>
      </c>
      <c r="N71" s="6" t="str">
        <f t="shared" si="5"/>
        <v>Объектов по 765 приказу нет</v>
      </c>
      <c r="O71" s="6" t="str">
        <f t="shared" si="6"/>
        <v>Захоронение осуществляется без превышения мощностей</v>
      </c>
      <c r="P71" s="6" t="str">
        <f t="shared" si="7"/>
        <v>Действующих мощностей хватит более, чем на 3 года</v>
      </c>
      <c r="Q71" s="9" t="str">
        <f t="shared" si="8"/>
        <v/>
      </c>
      <c r="R71" s="34" t="str">
        <f t="shared" si="9"/>
        <v>Дорожная карта не требуется</v>
      </c>
    </row>
    <row r="72" spans="2:18">
      <c r="B72" s="25" t="s">
        <v>97</v>
      </c>
      <c r="C72" s="22">
        <f t="shared" si="1"/>
        <v>0</v>
      </c>
      <c r="D72" s="22">
        <f t="shared" si="2"/>
        <v>0</v>
      </c>
      <c r="E72" s="45"/>
      <c r="F72" s="45"/>
      <c r="G72" s="45"/>
      <c r="H72" s="45"/>
      <c r="I72" s="45"/>
      <c r="J72" s="45" t="s">
        <v>258</v>
      </c>
      <c r="K72" s="9">
        <f t="shared" si="0"/>
        <v>0</v>
      </c>
      <c r="L72" s="6" t="str">
        <f t="shared" si="3"/>
        <v>Нелегальные объекты захоронения ТКО не выявлены</v>
      </c>
      <c r="M72" s="6" t="str">
        <f t="shared" si="4"/>
        <v>Все потоки ТКО указаны в территориальной схеме</v>
      </c>
      <c r="N72" s="6" t="str">
        <f t="shared" si="5"/>
        <v>Объектов по 765 приказу нет</v>
      </c>
      <c r="O72" s="6" t="str">
        <f t="shared" si="6"/>
        <v>Захоронение осуществляется без превышения мощностей</v>
      </c>
      <c r="P72" s="6" t="str">
        <f t="shared" si="7"/>
        <v>Действующих мощностей хватит более, чем на 3 года</v>
      </c>
      <c r="Q72" s="9" t="str">
        <f t="shared" si="8"/>
        <v/>
      </c>
      <c r="R72" s="34" t="str">
        <f t="shared" si="9"/>
        <v>Дорожная карта не требуется</v>
      </c>
    </row>
    <row r="73" spans="2:18">
      <c r="B73" s="25" t="s">
        <v>98</v>
      </c>
      <c r="C73" s="22">
        <f t="shared" si="1"/>
        <v>1</v>
      </c>
      <c r="D73" s="22">
        <f t="shared" si="2"/>
        <v>1</v>
      </c>
      <c r="E73" s="45"/>
      <c r="F73" s="45"/>
      <c r="G73" s="45"/>
      <c r="H73" s="45">
        <v>1</v>
      </c>
      <c r="I73" s="45"/>
      <c r="J73" s="45" t="s">
        <v>258</v>
      </c>
      <c r="K73" s="9">
        <f t="shared" si="0"/>
        <v>0</v>
      </c>
      <c r="L73" s="6" t="str">
        <f t="shared" si="3"/>
        <v>Нелегальные объекты захоронения ТКО не выявлены</v>
      </c>
      <c r="M73" s="6" t="str">
        <f t="shared" si="4"/>
        <v>Все потоки ТКО указаны в территориальной схеме</v>
      </c>
      <c r="N73" s="6" t="str">
        <f t="shared" si="5"/>
        <v>Объектов по 765 приказу нет</v>
      </c>
      <c r="O73" s="6" t="str">
        <f t="shared" si="6"/>
        <v>Захоронение осуществляется с превышением мощностей</v>
      </c>
      <c r="P73" s="6" t="str">
        <f t="shared" si="7"/>
        <v>Действующих мощностей хватит более, чем на 3 года</v>
      </c>
      <c r="Q73" s="9" t="str">
        <f t="shared" si="8"/>
        <v>перегруз</v>
      </c>
      <c r="R73" s="34" t="str">
        <f t="shared" si="9"/>
        <v>Дорожная карта не требуется</v>
      </c>
    </row>
    <row r="74" spans="2:18">
      <c r="B74" s="25" t="s">
        <v>110</v>
      </c>
      <c r="C74" s="22">
        <f t="shared" si="1"/>
        <v>0</v>
      </c>
      <c r="D74" s="22">
        <f t="shared" si="2"/>
        <v>0</v>
      </c>
      <c r="E74" s="45"/>
      <c r="F74" s="45"/>
      <c r="G74" s="45"/>
      <c r="H74" s="45"/>
      <c r="I74" s="45"/>
      <c r="J74" s="45" t="s">
        <v>258</v>
      </c>
      <c r="K74" s="9">
        <f t="shared" si="0"/>
        <v>0</v>
      </c>
      <c r="L74" s="6" t="str">
        <f t="shared" si="3"/>
        <v>Нелегальные объекты захоронения ТКО не выявлены</v>
      </c>
      <c r="M74" s="6" t="str">
        <f t="shared" si="4"/>
        <v>Все потоки ТКО указаны в территориальной схеме</v>
      </c>
      <c r="N74" s="6" t="str">
        <f t="shared" si="5"/>
        <v>Объектов по 765 приказу нет</v>
      </c>
      <c r="O74" s="6" t="str">
        <f t="shared" si="6"/>
        <v>Захоронение осуществляется без превышения мощностей</v>
      </c>
      <c r="P74" s="6" t="str">
        <f t="shared" si="7"/>
        <v>Действующих мощностей хватит более, чем на 3 года</v>
      </c>
      <c r="Q74" s="9" t="str">
        <f t="shared" si="8"/>
        <v/>
      </c>
      <c r="R74" s="34" t="str">
        <f t="shared" si="9"/>
        <v>Дорожная карта не требуется</v>
      </c>
    </row>
    <row r="75" spans="2:18">
      <c r="B75" s="25" t="s">
        <v>115</v>
      </c>
      <c r="C75" s="22">
        <f t="shared" si="1"/>
        <v>1</v>
      </c>
      <c r="D75" s="22">
        <f t="shared" si="2"/>
        <v>1</v>
      </c>
      <c r="E75" s="45"/>
      <c r="F75" s="45"/>
      <c r="G75" s="45"/>
      <c r="H75" s="45">
        <v>1</v>
      </c>
      <c r="I75" s="45">
        <v>1</v>
      </c>
      <c r="J75" s="45" t="s">
        <v>258</v>
      </c>
      <c r="K75" s="9">
        <f t="shared" si="0"/>
        <v>0</v>
      </c>
      <c r="L75" s="6" t="str">
        <f t="shared" si="3"/>
        <v>Нелегальные объекты захоронения ТКО не выявлены</v>
      </c>
      <c r="M75" s="6" t="str">
        <f t="shared" si="4"/>
        <v>Все потоки ТКО указаны в территориальной схеме</v>
      </c>
      <c r="N75" s="6" t="str">
        <f t="shared" si="5"/>
        <v>Объектов по 765 приказу нет</v>
      </c>
      <c r="O75" s="6" t="str">
        <f t="shared" si="6"/>
        <v>Захоронение осуществляется с превышением мощностей</v>
      </c>
      <c r="P75" s="6" t="str">
        <f t="shared" si="7"/>
        <v>Действующие мощности будут исчерпаны за 3 года</v>
      </c>
      <c r="Q75" s="9" t="str">
        <f t="shared" si="8"/>
        <v>перегруз</v>
      </c>
      <c r="R75" s="34" t="str">
        <f t="shared" si="9"/>
        <v>Дорожная карта не требуется</v>
      </c>
    </row>
    <row r="76" spans="2:18">
      <c r="B76" s="25" t="s">
        <v>159</v>
      </c>
      <c r="C76" s="22">
        <f t="shared" si="1"/>
        <v>2</v>
      </c>
      <c r="D76" s="22">
        <f t="shared" si="2"/>
        <v>2</v>
      </c>
      <c r="E76" s="45"/>
      <c r="F76" s="45">
        <v>2</v>
      </c>
      <c r="G76" s="45"/>
      <c r="H76" s="45"/>
      <c r="I76" s="45"/>
      <c r="J76" s="45" t="s">
        <v>255</v>
      </c>
      <c r="K76" s="9">
        <f t="shared" si="0"/>
        <v>2</v>
      </c>
      <c r="L76" s="6" t="str">
        <f t="shared" si="3"/>
        <v>Нелегальные объекты захоронения ТКО не выявлены</v>
      </c>
      <c r="M76" s="6" t="str">
        <f t="shared" si="4"/>
        <v>Для ряда территорий осутствует схема потоков ТКО</v>
      </c>
      <c r="N76" s="6" t="str">
        <f t="shared" si="5"/>
        <v>Объектов по 765 приказу нет</v>
      </c>
      <c r="O76" s="6" t="str">
        <f t="shared" si="6"/>
        <v>Захоронение осуществляется без превышения мощностей</v>
      </c>
      <c r="P76" s="6" t="str">
        <f t="shared" si="7"/>
        <v>Действующих мощностей хватит более, чем на 3 года</v>
      </c>
      <c r="Q76" s="9" t="str">
        <f t="shared" si="8"/>
        <v>белые пятна</v>
      </c>
      <c r="R76" s="34" t="str">
        <f t="shared" si="9"/>
        <v>Дорожная карта в разработке</v>
      </c>
    </row>
    <row r="77" spans="2:18">
      <c r="B77" s="25" t="s">
        <v>151</v>
      </c>
      <c r="C77" s="22">
        <f t="shared" si="1"/>
        <v>2</v>
      </c>
      <c r="D77" s="22">
        <f t="shared" si="2"/>
        <v>2</v>
      </c>
      <c r="E77" s="45"/>
      <c r="F77" s="45">
        <v>2</v>
      </c>
      <c r="G77" s="45"/>
      <c r="H77" s="45"/>
      <c r="I77" s="45">
        <v>1</v>
      </c>
      <c r="J77" s="45" t="s">
        <v>255</v>
      </c>
      <c r="K77" s="9">
        <f t="shared" si="0"/>
        <v>2</v>
      </c>
      <c r="L77" s="6" t="str">
        <f t="shared" si="3"/>
        <v>Нелегальные объекты захоронения ТКО не выявлены</v>
      </c>
      <c r="M77" s="6" t="str">
        <f t="shared" si="4"/>
        <v>Для ряда территорий осутствует схема потоков ТКО</v>
      </c>
      <c r="N77" s="6" t="str">
        <f t="shared" si="5"/>
        <v>Объектов по 765 приказу нет</v>
      </c>
      <c r="O77" s="6" t="str">
        <f t="shared" si="6"/>
        <v>Захоронение осуществляется без превышения мощностей</v>
      </c>
      <c r="P77" s="6" t="str">
        <f t="shared" si="7"/>
        <v>Действующие мощности будут исчерпаны за 3 года</v>
      </c>
      <c r="Q77" s="9" t="str">
        <f t="shared" si="8"/>
        <v>белые пятна</v>
      </c>
      <c r="R77" s="34" t="str">
        <f t="shared" si="9"/>
        <v>Дорожная карта в разработке</v>
      </c>
    </row>
    <row r="78" spans="2:18">
      <c r="B78" s="25" t="s">
        <v>75</v>
      </c>
      <c r="C78" s="22">
        <f t="shared" si="1"/>
        <v>0</v>
      </c>
      <c r="D78" s="22">
        <f t="shared" si="2"/>
        <v>0</v>
      </c>
      <c r="E78" s="45"/>
      <c r="F78" s="45"/>
      <c r="G78" s="45"/>
      <c r="H78" s="45"/>
      <c r="I78" s="45"/>
      <c r="J78" s="45" t="s">
        <v>258</v>
      </c>
      <c r="K78" s="9">
        <f t="shared" si="0"/>
        <v>0</v>
      </c>
      <c r="L78" s="6" t="str">
        <f t="shared" si="3"/>
        <v>Нелегальные объекты захоронения ТКО не выявлены</v>
      </c>
      <c r="M78" s="6" t="str">
        <f t="shared" si="4"/>
        <v>Все потоки ТКО указаны в территориальной схеме</v>
      </c>
      <c r="N78" s="6" t="str">
        <f t="shared" si="5"/>
        <v>Объектов по 765 приказу нет</v>
      </c>
      <c r="O78" s="6" t="str">
        <f t="shared" si="6"/>
        <v>Захоронение осуществляется без превышения мощностей</v>
      </c>
      <c r="P78" s="6" t="str">
        <f t="shared" si="7"/>
        <v>Действующих мощностей хватит более, чем на 3 года</v>
      </c>
      <c r="Q78" s="9" t="str">
        <f t="shared" si="8"/>
        <v/>
      </c>
      <c r="R78" s="34" t="str">
        <f t="shared" si="9"/>
        <v>Дорожная карта не требуется</v>
      </c>
    </row>
    <row r="79" spans="2:18">
      <c r="B79" s="25" t="s">
        <v>154</v>
      </c>
      <c r="C79" s="22">
        <f t="shared" si="1"/>
        <v>2</v>
      </c>
      <c r="D79" s="22">
        <f t="shared" si="2"/>
        <v>2</v>
      </c>
      <c r="E79" s="45"/>
      <c r="F79" s="45">
        <v>2</v>
      </c>
      <c r="G79" s="45"/>
      <c r="H79" s="45"/>
      <c r="I79" s="45">
        <v>1</v>
      </c>
      <c r="J79" s="45" t="s">
        <v>255</v>
      </c>
      <c r="K79" s="9">
        <f t="shared" si="0"/>
        <v>2</v>
      </c>
      <c r="L79" s="6" t="str">
        <f t="shared" si="3"/>
        <v>Нелегальные объекты захоронения ТКО не выявлены</v>
      </c>
      <c r="M79" s="6" t="str">
        <f t="shared" si="4"/>
        <v>Для ряда территорий осутствует схема потоков ТКО</v>
      </c>
      <c r="N79" s="6" t="str">
        <f t="shared" si="5"/>
        <v>Объектов по 765 приказу нет</v>
      </c>
      <c r="O79" s="6" t="str">
        <f t="shared" si="6"/>
        <v>Захоронение осуществляется без превышения мощностей</v>
      </c>
      <c r="P79" s="6" t="str">
        <f t="shared" si="7"/>
        <v>Действующие мощности будут исчерпаны за 3 года</v>
      </c>
      <c r="Q79" s="9" t="str">
        <f t="shared" si="8"/>
        <v>белые пятна</v>
      </c>
      <c r="R79" s="34" t="str">
        <f t="shared" si="9"/>
        <v>Дорожная карта в разработке</v>
      </c>
    </row>
    <row r="80" spans="2:18">
      <c r="B80" s="25" t="s">
        <v>152</v>
      </c>
      <c r="C80" s="22">
        <f t="shared" si="1"/>
        <v>2</v>
      </c>
      <c r="D80" s="22">
        <f t="shared" si="2"/>
        <v>2</v>
      </c>
      <c r="E80" s="45"/>
      <c r="F80" s="45"/>
      <c r="G80" s="45">
        <v>2</v>
      </c>
      <c r="H80" s="45"/>
      <c r="I80" s="45"/>
      <c r="J80" s="45" t="s">
        <v>257</v>
      </c>
      <c r="K80" s="9">
        <f t="shared" ref="K80:K104" si="10">IF(J80=$J$107,2,IF(J80=$J$108,1,0))</f>
        <v>0</v>
      </c>
      <c r="L80" s="6" t="str">
        <f t="shared" si="3"/>
        <v>Нелегальные объекты захоронения ТКО не выявлены</v>
      </c>
      <c r="M80" s="6" t="str">
        <f t="shared" si="4"/>
        <v>Все потоки ТКО указаны в территориальной схеме</v>
      </c>
      <c r="N80" s="6" t="str">
        <f t="shared" si="5"/>
        <v>Риски замещения объектов по 765 приказу высокие</v>
      </c>
      <c r="O80" s="6" t="str">
        <f t="shared" si="6"/>
        <v>Захоронение осуществляется без превышения мощностей</v>
      </c>
      <c r="P80" s="6" t="str">
        <f t="shared" si="7"/>
        <v>Действующих мощностей хватит более, чем на 3 года</v>
      </c>
      <c r="Q80" s="9" t="str">
        <f t="shared" si="8"/>
        <v>765 приказ</v>
      </c>
      <c r="R80" s="34" t="str">
        <f t="shared" si="9"/>
        <v>Дорожная карта подписана</v>
      </c>
    </row>
    <row r="81" spans="2:18">
      <c r="B81" s="25" t="s">
        <v>140</v>
      </c>
      <c r="C81" s="22">
        <f t="shared" ref="C81:C104" si="11">IF(D81&gt;$D$8,2,IF(D81&gt;$D$9,1,0))</f>
        <v>2</v>
      </c>
      <c r="D81" s="22">
        <f t="shared" ref="D81:D104" si="12">MAX(E81,F81,G81,H81)</f>
        <v>2</v>
      </c>
      <c r="E81" s="45"/>
      <c r="F81" s="45"/>
      <c r="G81" s="45">
        <v>2</v>
      </c>
      <c r="H81" s="45"/>
      <c r="I81" s="45"/>
      <c r="J81" s="45" t="s">
        <v>257</v>
      </c>
      <c r="K81" s="9">
        <f t="shared" si="10"/>
        <v>0</v>
      </c>
      <c r="L81" s="6" t="str">
        <f t="shared" ref="L81:L104" si="13">IF(E81&gt;0,"Имеются нелегальные объекты захоронения ТКО","Нелегальные объекты захоронения ТКО не выявлены")</f>
        <v>Нелегальные объекты захоронения ТКО не выявлены</v>
      </c>
      <c r="M81" s="6" t="str">
        <f t="shared" ref="M81:M104" si="14">IF(F81&gt;0,"Для ряда территорий осутствует схема потоков ТКО","Все потоки ТКО указаны в территориальной схеме")</f>
        <v>Все потоки ТКО указаны в территориальной схеме</v>
      </c>
      <c r="N81" s="6" t="str">
        <f t="shared" ref="N81:N104" si="15">IF(G81=2,"Риски замещения объектов по 765 приказу высокие",IF(G81=1,"Риски замещения объектов по 765 приказу средние","Объектов по 765 приказу нет"))</f>
        <v>Риски замещения объектов по 765 приказу высокие</v>
      </c>
      <c r="O81" s="6" t="str">
        <f t="shared" ref="O81:O104" si="16">IF(H81&gt;0,"Захоронение осуществляется с превышением мощностей","Захоронение осуществляется без превышения мощностей")</f>
        <v>Захоронение осуществляется без превышения мощностей</v>
      </c>
      <c r="P81" s="6" t="str">
        <f t="shared" ref="P81:P104" si="17">IF(I81&gt;0,"Действующие мощности будут исчерпаны за 3 года","Действующих мощностей хватит более, чем на 3 года")</f>
        <v>Действующих мощностей хватит более, чем на 3 года</v>
      </c>
      <c r="Q81" s="9" t="str">
        <f t="shared" ref="Q81:Q104" si="18">IF(E81&gt;0,"свалки",IF(F81&gt;0,"белые пятна",IF(G81&gt;0,"765 приказ",IF(H81&gt;0,"перегруз",""))))</f>
        <v>765 приказ</v>
      </c>
      <c r="R81" s="34" t="str">
        <f t="shared" ref="R81:R104" si="19">_xlfn.TEXTJOIN(,0,"Дорожная карта ",J81)</f>
        <v>Дорожная карта подписана</v>
      </c>
    </row>
    <row r="82" spans="2:18">
      <c r="B82" s="25" t="s">
        <v>135</v>
      </c>
      <c r="C82" s="22">
        <f t="shared" si="11"/>
        <v>2</v>
      </c>
      <c r="D82" s="22">
        <f t="shared" si="12"/>
        <v>2</v>
      </c>
      <c r="E82" s="45">
        <v>2</v>
      </c>
      <c r="F82" s="45"/>
      <c r="G82" s="45"/>
      <c r="H82" s="45"/>
      <c r="I82" s="45"/>
      <c r="J82" s="45" t="s">
        <v>255</v>
      </c>
      <c r="K82" s="9">
        <f t="shared" si="10"/>
        <v>2</v>
      </c>
      <c r="L82" s="6" t="str">
        <f t="shared" si="13"/>
        <v>Имеются нелегальные объекты захоронения ТКО</v>
      </c>
      <c r="M82" s="6" t="str">
        <f t="shared" si="14"/>
        <v>Все потоки ТКО указаны в территориальной схеме</v>
      </c>
      <c r="N82" s="6" t="str">
        <f t="shared" si="15"/>
        <v>Объектов по 765 приказу нет</v>
      </c>
      <c r="O82" s="6" t="str">
        <f t="shared" si="16"/>
        <v>Захоронение осуществляется без превышения мощностей</v>
      </c>
      <c r="P82" s="6" t="str">
        <f t="shared" si="17"/>
        <v>Действующих мощностей хватит более, чем на 3 года</v>
      </c>
      <c r="Q82" s="9" t="str">
        <f t="shared" si="18"/>
        <v>свалки</v>
      </c>
      <c r="R82" s="34" t="str">
        <f t="shared" si="19"/>
        <v>Дорожная карта в разработке</v>
      </c>
    </row>
    <row r="83" spans="2:18">
      <c r="B83" s="25" t="s">
        <v>100</v>
      </c>
      <c r="C83" s="22">
        <f t="shared" si="11"/>
        <v>0</v>
      </c>
      <c r="D83" s="22">
        <f t="shared" si="12"/>
        <v>0</v>
      </c>
      <c r="E83" s="45"/>
      <c r="F83" s="45"/>
      <c r="G83" s="45"/>
      <c r="H83" s="45"/>
      <c r="I83" s="45"/>
      <c r="J83" s="45" t="s">
        <v>258</v>
      </c>
      <c r="K83" s="9">
        <f t="shared" si="10"/>
        <v>0</v>
      </c>
      <c r="L83" s="6" t="str">
        <f t="shared" si="13"/>
        <v>Нелегальные объекты захоронения ТКО не выявлены</v>
      </c>
      <c r="M83" s="6" t="str">
        <f t="shared" si="14"/>
        <v>Все потоки ТКО указаны в территориальной схеме</v>
      </c>
      <c r="N83" s="6" t="str">
        <f t="shared" si="15"/>
        <v>Объектов по 765 приказу нет</v>
      </c>
      <c r="O83" s="6" t="str">
        <f t="shared" si="16"/>
        <v>Захоронение осуществляется без превышения мощностей</v>
      </c>
      <c r="P83" s="6" t="str">
        <f t="shared" si="17"/>
        <v>Действующих мощностей хватит более, чем на 3 года</v>
      </c>
      <c r="Q83" s="9" t="str">
        <f t="shared" si="18"/>
        <v/>
      </c>
      <c r="R83" s="34" t="str">
        <f t="shared" si="19"/>
        <v>Дорожная карта не требуется</v>
      </c>
    </row>
    <row r="84" spans="2:18">
      <c r="B84" s="25" t="s">
        <v>102</v>
      </c>
      <c r="C84" s="22">
        <f t="shared" si="11"/>
        <v>0</v>
      </c>
      <c r="D84" s="22">
        <f t="shared" si="12"/>
        <v>0</v>
      </c>
      <c r="E84" s="45"/>
      <c r="F84" s="45"/>
      <c r="G84" s="45"/>
      <c r="H84" s="45"/>
      <c r="I84" s="45"/>
      <c r="J84" s="45" t="s">
        <v>258</v>
      </c>
      <c r="K84" s="9">
        <f t="shared" si="10"/>
        <v>0</v>
      </c>
      <c r="L84" s="6" t="str">
        <f t="shared" si="13"/>
        <v>Нелегальные объекты захоронения ТКО не выявлены</v>
      </c>
      <c r="M84" s="6" t="str">
        <f t="shared" si="14"/>
        <v>Все потоки ТКО указаны в территориальной схеме</v>
      </c>
      <c r="N84" s="6" t="str">
        <f t="shared" si="15"/>
        <v>Объектов по 765 приказу нет</v>
      </c>
      <c r="O84" s="6" t="str">
        <f t="shared" si="16"/>
        <v>Захоронение осуществляется без превышения мощностей</v>
      </c>
      <c r="P84" s="6" t="str">
        <f t="shared" si="17"/>
        <v>Действующих мощностей хватит более, чем на 3 года</v>
      </c>
      <c r="Q84" s="9" t="str">
        <f t="shared" si="18"/>
        <v/>
      </c>
      <c r="R84" s="34" t="str">
        <f t="shared" si="19"/>
        <v>Дорожная карта не требуется</v>
      </c>
    </row>
    <row r="85" ht="26.6" customHeight="1" spans="2:18">
      <c r="B85" s="25" t="s">
        <v>130</v>
      </c>
      <c r="C85" s="22">
        <f t="shared" si="11"/>
        <v>2</v>
      </c>
      <c r="D85" s="22">
        <f t="shared" si="12"/>
        <v>2</v>
      </c>
      <c r="E85" s="45"/>
      <c r="F85" s="45">
        <v>2</v>
      </c>
      <c r="G85" s="45">
        <v>1</v>
      </c>
      <c r="H85" s="45"/>
      <c r="I85" s="45"/>
      <c r="J85" s="45" t="s">
        <v>257</v>
      </c>
      <c r="K85" s="9">
        <f t="shared" si="10"/>
        <v>0</v>
      </c>
      <c r="L85" s="6" t="str">
        <f t="shared" si="13"/>
        <v>Нелегальные объекты захоронения ТКО не выявлены</v>
      </c>
      <c r="M85" s="6" t="str">
        <f t="shared" si="14"/>
        <v>Для ряда территорий осутствует схема потоков ТКО</v>
      </c>
      <c r="N85" s="6" t="str">
        <f t="shared" si="15"/>
        <v>Риски замещения объектов по 765 приказу средние</v>
      </c>
      <c r="O85" s="6" t="str">
        <f t="shared" si="16"/>
        <v>Захоронение осуществляется без превышения мощностей</v>
      </c>
      <c r="P85" s="6" t="str">
        <f t="shared" si="17"/>
        <v>Действующих мощностей хватит более, чем на 3 года</v>
      </c>
      <c r="Q85" s="9" t="str">
        <f t="shared" si="18"/>
        <v>белые пятна</v>
      </c>
      <c r="R85" s="34" t="str">
        <f t="shared" si="19"/>
        <v>Дорожная карта подписана</v>
      </c>
    </row>
    <row r="86" spans="2:18">
      <c r="B86" s="25" t="s">
        <v>122</v>
      </c>
      <c r="C86" s="22">
        <f t="shared" si="11"/>
        <v>1</v>
      </c>
      <c r="D86" s="22">
        <f t="shared" si="12"/>
        <v>1</v>
      </c>
      <c r="E86" s="45"/>
      <c r="F86" s="45"/>
      <c r="G86" s="45">
        <v>1</v>
      </c>
      <c r="H86" s="45">
        <v>1</v>
      </c>
      <c r="I86" s="45"/>
      <c r="J86" s="45" t="s">
        <v>257</v>
      </c>
      <c r="K86" s="9">
        <f t="shared" si="10"/>
        <v>0</v>
      </c>
      <c r="L86" s="6" t="str">
        <f t="shared" si="13"/>
        <v>Нелегальные объекты захоронения ТКО не выявлены</v>
      </c>
      <c r="M86" s="6" t="str">
        <f t="shared" si="14"/>
        <v>Все потоки ТКО указаны в территориальной схеме</v>
      </c>
      <c r="N86" s="6" t="str">
        <f t="shared" si="15"/>
        <v>Риски замещения объектов по 765 приказу средние</v>
      </c>
      <c r="O86" s="6" t="str">
        <f t="shared" si="16"/>
        <v>Захоронение осуществляется с превышением мощностей</v>
      </c>
      <c r="P86" s="6" t="str">
        <f t="shared" si="17"/>
        <v>Действующих мощностей хватит более, чем на 3 года</v>
      </c>
      <c r="Q86" s="9" t="str">
        <f t="shared" si="18"/>
        <v>765 приказ</v>
      </c>
      <c r="R86" s="34" t="str">
        <f t="shared" si="19"/>
        <v>Дорожная карта подписана</v>
      </c>
    </row>
    <row r="87" spans="2:18">
      <c r="B87" s="25" t="s">
        <v>103</v>
      </c>
      <c r="C87" s="22">
        <f t="shared" si="11"/>
        <v>0</v>
      </c>
      <c r="D87" s="22">
        <f t="shared" si="12"/>
        <v>0</v>
      </c>
      <c r="E87" s="45"/>
      <c r="F87" s="45"/>
      <c r="G87" s="45"/>
      <c r="H87" s="45"/>
      <c r="I87" s="45"/>
      <c r="J87" s="45" t="s">
        <v>258</v>
      </c>
      <c r="K87" s="9">
        <f t="shared" si="10"/>
        <v>0</v>
      </c>
      <c r="L87" s="6" t="str">
        <f t="shared" si="13"/>
        <v>Нелегальные объекты захоронения ТКО не выявлены</v>
      </c>
      <c r="M87" s="6" t="str">
        <f t="shared" si="14"/>
        <v>Все потоки ТКО указаны в территориальной схеме</v>
      </c>
      <c r="N87" s="6" t="str">
        <f t="shared" si="15"/>
        <v>Объектов по 765 приказу нет</v>
      </c>
      <c r="O87" s="6" t="str">
        <f t="shared" si="16"/>
        <v>Захоронение осуществляется без превышения мощностей</v>
      </c>
      <c r="P87" s="6" t="str">
        <f t="shared" si="17"/>
        <v>Действующих мощностей хватит более, чем на 3 года</v>
      </c>
      <c r="Q87" s="9" t="str">
        <f t="shared" si="18"/>
        <v/>
      </c>
      <c r="R87" s="34" t="str">
        <f t="shared" si="19"/>
        <v>Дорожная карта не требуется</v>
      </c>
    </row>
    <row r="88" spans="2:18">
      <c r="B88" s="25" t="s">
        <v>105</v>
      </c>
      <c r="C88" s="22">
        <f t="shared" si="11"/>
        <v>0</v>
      </c>
      <c r="D88" s="22">
        <f t="shared" si="12"/>
        <v>0</v>
      </c>
      <c r="E88" s="45"/>
      <c r="F88" s="45"/>
      <c r="G88" s="45"/>
      <c r="H88" s="45"/>
      <c r="I88" s="45"/>
      <c r="J88" s="45" t="s">
        <v>258</v>
      </c>
      <c r="K88" s="9">
        <f t="shared" si="10"/>
        <v>0</v>
      </c>
      <c r="L88" s="6" t="str">
        <f t="shared" si="13"/>
        <v>Нелегальные объекты захоронения ТКО не выявлены</v>
      </c>
      <c r="M88" s="6" t="str">
        <f t="shared" si="14"/>
        <v>Все потоки ТКО указаны в территориальной схеме</v>
      </c>
      <c r="N88" s="6" t="str">
        <f t="shared" si="15"/>
        <v>Объектов по 765 приказу нет</v>
      </c>
      <c r="O88" s="6" t="str">
        <f t="shared" si="16"/>
        <v>Захоронение осуществляется без превышения мощностей</v>
      </c>
      <c r="P88" s="6" t="str">
        <f t="shared" si="17"/>
        <v>Действующих мощностей хватит более, чем на 3 года</v>
      </c>
      <c r="Q88" s="9" t="str">
        <f t="shared" si="18"/>
        <v/>
      </c>
      <c r="R88" s="34" t="str">
        <f t="shared" si="19"/>
        <v>Дорожная карта не требуется</v>
      </c>
    </row>
    <row r="89" spans="2:18">
      <c r="B89" s="25" t="s">
        <v>125</v>
      </c>
      <c r="C89" s="22">
        <f t="shared" si="11"/>
        <v>2</v>
      </c>
      <c r="D89" s="22">
        <f t="shared" si="12"/>
        <v>2</v>
      </c>
      <c r="E89" s="45"/>
      <c r="F89" s="45"/>
      <c r="G89" s="45"/>
      <c r="H89" s="45">
        <v>2</v>
      </c>
      <c r="I89" s="45">
        <v>1</v>
      </c>
      <c r="J89" s="45" t="s">
        <v>255</v>
      </c>
      <c r="K89" s="9">
        <f t="shared" si="10"/>
        <v>2</v>
      </c>
      <c r="L89" s="6" t="str">
        <f t="shared" si="13"/>
        <v>Нелегальные объекты захоронения ТКО не выявлены</v>
      </c>
      <c r="M89" s="6" t="str">
        <f t="shared" si="14"/>
        <v>Все потоки ТКО указаны в территориальной схеме</v>
      </c>
      <c r="N89" s="6" t="str">
        <f t="shared" si="15"/>
        <v>Объектов по 765 приказу нет</v>
      </c>
      <c r="O89" s="6" t="str">
        <f t="shared" si="16"/>
        <v>Захоронение осуществляется с превышением мощностей</v>
      </c>
      <c r="P89" s="6" t="str">
        <f t="shared" si="17"/>
        <v>Действующие мощности будут исчерпаны за 3 года</v>
      </c>
      <c r="R89" s="34" t="str">
        <f t="shared" si="19"/>
        <v>Дорожная карта в разработке</v>
      </c>
    </row>
    <row r="90" spans="2:18">
      <c r="B90" s="25" t="s">
        <v>156</v>
      </c>
      <c r="C90" s="22">
        <f t="shared" si="11"/>
        <v>2</v>
      </c>
      <c r="D90" s="22">
        <f t="shared" si="12"/>
        <v>2</v>
      </c>
      <c r="E90" s="45"/>
      <c r="F90" s="45"/>
      <c r="G90" s="45">
        <v>2</v>
      </c>
      <c r="H90" s="45"/>
      <c r="I90" s="45"/>
      <c r="J90" s="45" t="s">
        <v>255</v>
      </c>
      <c r="K90" s="9">
        <f t="shared" si="10"/>
        <v>2</v>
      </c>
      <c r="L90" s="6" t="str">
        <f t="shared" si="13"/>
        <v>Нелегальные объекты захоронения ТКО не выявлены</v>
      </c>
      <c r="M90" s="6" t="str">
        <f t="shared" si="14"/>
        <v>Все потоки ТКО указаны в территориальной схеме</v>
      </c>
      <c r="N90" s="6" t="str">
        <f t="shared" si="15"/>
        <v>Риски замещения объектов по 765 приказу высокие</v>
      </c>
      <c r="O90" s="6" t="str">
        <f t="shared" si="16"/>
        <v>Захоронение осуществляется без превышения мощностей</v>
      </c>
      <c r="P90" s="6" t="str">
        <f t="shared" si="17"/>
        <v>Действующих мощностей хватит более, чем на 3 года</v>
      </c>
      <c r="Q90" s="9" t="str">
        <f t="shared" si="18"/>
        <v>765 приказ</v>
      </c>
      <c r="R90" s="34" t="str">
        <f t="shared" si="19"/>
        <v>Дорожная карта в разработке</v>
      </c>
    </row>
    <row r="91" spans="2:18">
      <c r="B91" s="25" t="s">
        <v>116</v>
      </c>
      <c r="C91" s="22">
        <f t="shared" si="11"/>
        <v>0</v>
      </c>
      <c r="D91" s="22">
        <f t="shared" si="12"/>
        <v>0</v>
      </c>
      <c r="E91" s="45"/>
      <c r="F91" s="45"/>
      <c r="G91" s="45"/>
      <c r="H91" s="45"/>
      <c r="I91" s="45"/>
      <c r="J91" s="45" t="s">
        <v>258</v>
      </c>
      <c r="K91" s="9">
        <f t="shared" si="10"/>
        <v>0</v>
      </c>
      <c r="L91" s="6" t="str">
        <f t="shared" si="13"/>
        <v>Нелегальные объекты захоронения ТКО не выявлены</v>
      </c>
      <c r="M91" s="6" t="str">
        <f t="shared" si="14"/>
        <v>Все потоки ТКО указаны в территориальной схеме</v>
      </c>
      <c r="N91" s="6" t="str">
        <f t="shared" si="15"/>
        <v>Объектов по 765 приказу нет</v>
      </c>
      <c r="O91" s="6" t="str">
        <f t="shared" si="16"/>
        <v>Захоронение осуществляется без превышения мощностей</v>
      </c>
      <c r="P91" s="6" t="str">
        <f t="shared" si="17"/>
        <v>Действующих мощностей хватит более, чем на 3 года</v>
      </c>
      <c r="Q91" s="9" t="str">
        <f t="shared" si="18"/>
        <v/>
      </c>
      <c r="R91" s="34" t="str">
        <f t="shared" si="19"/>
        <v>Дорожная карта не требуется</v>
      </c>
    </row>
    <row r="92" spans="2:18">
      <c r="B92" s="25" t="s">
        <v>73</v>
      </c>
      <c r="C92" s="22">
        <f t="shared" si="11"/>
        <v>0</v>
      </c>
      <c r="D92" s="22">
        <f t="shared" si="12"/>
        <v>0</v>
      </c>
      <c r="E92" s="45"/>
      <c r="F92" s="45"/>
      <c r="G92" s="45"/>
      <c r="H92" s="45"/>
      <c r="I92" s="45"/>
      <c r="J92" s="45" t="s">
        <v>258</v>
      </c>
      <c r="K92" s="9">
        <f t="shared" si="10"/>
        <v>0</v>
      </c>
      <c r="L92" s="6" t="str">
        <f t="shared" si="13"/>
        <v>Нелегальные объекты захоронения ТКО не выявлены</v>
      </c>
      <c r="M92" s="6" t="str">
        <f t="shared" si="14"/>
        <v>Все потоки ТКО указаны в территориальной схеме</v>
      </c>
      <c r="N92" s="6" t="str">
        <f t="shared" si="15"/>
        <v>Объектов по 765 приказу нет</v>
      </c>
      <c r="O92" s="6" t="str">
        <f t="shared" si="16"/>
        <v>Захоронение осуществляется без превышения мощностей</v>
      </c>
      <c r="P92" s="6" t="str">
        <f t="shared" si="17"/>
        <v>Действующих мощностей хватит более, чем на 3 года</v>
      </c>
      <c r="Q92" s="9" t="str">
        <f t="shared" si="18"/>
        <v/>
      </c>
      <c r="R92" s="34" t="str">
        <f t="shared" si="19"/>
        <v>Дорожная карта не требуется</v>
      </c>
    </row>
    <row r="93" spans="2:18">
      <c r="B93" s="25" t="s">
        <v>83</v>
      </c>
      <c r="C93" s="22">
        <f t="shared" si="11"/>
        <v>0</v>
      </c>
      <c r="D93" s="22">
        <f t="shared" si="12"/>
        <v>0</v>
      </c>
      <c r="E93" s="45"/>
      <c r="F93" s="45"/>
      <c r="G93" s="45"/>
      <c r="H93" s="45"/>
      <c r="I93" s="45"/>
      <c r="J93" s="45" t="s">
        <v>258</v>
      </c>
      <c r="K93" s="9">
        <f t="shared" si="10"/>
        <v>0</v>
      </c>
      <c r="L93" s="6" t="str">
        <f t="shared" si="13"/>
        <v>Нелегальные объекты захоронения ТКО не выявлены</v>
      </c>
      <c r="M93" s="6" t="str">
        <f t="shared" si="14"/>
        <v>Все потоки ТКО указаны в территориальной схеме</v>
      </c>
      <c r="N93" s="6" t="str">
        <f t="shared" si="15"/>
        <v>Объектов по 765 приказу нет</v>
      </c>
      <c r="O93" s="6" t="str">
        <f t="shared" si="16"/>
        <v>Захоронение осуществляется без превышения мощностей</v>
      </c>
      <c r="P93" s="6" t="str">
        <f t="shared" si="17"/>
        <v>Действующих мощностей хватит более, чем на 3 года</v>
      </c>
      <c r="Q93" s="9" t="str">
        <f t="shared" si="18"/>
        <v/>
      </c>
      <c r="R93" s="34" t="str">
        <f t="shared" si="19"/>
        <v>Дорожная карта не требуется</v>
      </c>
    </row>
    <row r="94" spans="2:18">
      <c r="B94" s="25" t="s">
        <v>99</v>
      </c>
      <c r="C94" s="22">
        <f t="shared" si="11"/>
        <v>0</v>
      </c>
      <c r="D94" s="22">
        <f t="shared" si="12"/>
        <v>0</v>
      </c>
      <c r="E94" s="45"/>
      <c r="F94" s="45"/>
      <c r="G94" s="45"/>
      <c r="H94" s="45"/>
      <c r="I94" s="45"/>
      <c r="J94" s="45" t="s">
        <v>258</v>
      </c>
      <c r="K94" s="9">
        <f t="shared" si="10"/>
        <v>0</v>
      </c>
      <c r="L94" s="6" t="str">
        <f t="shared" si="13"/>
        <v>Нелегальные объекты захоронения ТКО не выявлены</v>
      </c>
      <c r="M94" s="6" t="str">
        <f t="shared" si="14"/>
        <v>Все потоки ТКО указаны в территориальной схеме</v>
      </c>
      <c r="N94" s="6" t="str">
        <f t="shared" si="15"/>
        <v>Объектов по 765 приказу нет</v>
      </c>
      <c r="O94" s="6" t="str">
        <f t="shared" si="16"/>
        <v>Захоронение осуществляется без превышения мощностей</v>
      </c>
      <c r="P94" s="6" t="str">
        <f t="shared" si="17"/>
        <v>Действующих мощностей хватит более, чем на 3 года</v>
      </c>
      <c r="Q94" s="9" t="str">
        <f t="shared" si="18"/>
        <v/>
      </c>
      <c r="R94" s="34" t="str">
        <f t="shared" si="19"/>
        <v>Дорожная карта не требуется</v>
      </c>
    </row>
    <row r="95" spans="2:18">
      <c r="B95" s="25" t="s">
        <v>128</v>
      </c>
      <c r="C95" s="22">
        <f t="shared" si="11"/>
        <v>1</v>
      </c>
      <c r="D95" s="22">
        <f t="shared" si="12"/>
        <v>1</v>
      </c>
      <c r="E95" s="45"/>
      <c r="F95" s="45"/>
      <c r="G95" s="45"/>
      <c r="H95" s="45">
        <v>1</v>
      </c>
      <c r="I95" s="45"/>
      <c r="J95" s="45" t="s">
        <v>258</v>
      </c>
      <c r="K95" s="9">
        <f t="shared" si="10"/>
        <v>0</v>
      </c>
      <c r="L95" s="6" t="str">
        <f t="shared" si="13"/>
        <v>Нелегальные объекты захоронения ТКО не выявлены</v>
      </c>
      <c r="M95" s="6" t="str">
        <f t="shared" si="14"/>
        <v>Все потоки ТКО указаны в территориальной схеме</v>
      </c>
      <c r="N95" s="6" t="str">
        <f t="shared" si="15"/>
        <v>Объектов по 765 приказу нет</v>
      </c>
      <c r="O95" s="6" t="str">
        <f t="shared" si="16"/>
        <v>Захоронение осуществляется с превышением мощностей</v>
      </c>
      <c r="P95" s="6" t="str">
        <f t="shared" si="17"/>
        <v>Действующих мощностей хватит более, чем на 3 года</v>
      </c>
      <c r="Q95" s="9" t="str">
        <f t="shared" si="18"/>
        <v>перегруз</v>
      </c>
      <c r="R95" s="34" t="str">
        <f t="shared" si="19"/>
        <v>Дорожная карта не требуется</v>
      </c>
    </row>
    <row r="96" spans="2:18">
      <c r="B96" s="25" t="s">
        <v>145</v>
      </c>
      <c r="C96" s="22">
        <f t="shared" si="11"/>
        <v>2</v>
      </c>
      <c r="D96" s="22">
        <f t="shared" si="12"/>
        <v>2</v>
      </c>
      <c r="E96" s="45"/>
      <c r="F96" s="45">
        <v>2</v>
      </c>
      <c r="G96" s="45">
        <v>2</v>
      </c>
      <c r="H96" s="45"/>
      <c r="I96" s="45"/>
      <c r="J96" s="45" t="s">
        <v>257</v>
      </c>
      <c r="K96" s="9">
        <f t="shared" si="10"/>
        <v>0</v>
      </c>
      <c r="L96" s="6" t="str">
        <f t="shared" si="13"/>
        <v>Нелегальные объекты захоронения ТКО не выявлены</v>
      </c>
      <c r="M96" s="6" t="str">
        <f t="shared" si="14"/>
        <v>Для ряда территорий осутствует схема потоков ТКО</v>
      </c>
      <c r="N96" s="6" t="str">
        <f t="shared" si="15"/>
        <v>Риски замещения объектов по 765 приказу высокие</v>
      </c>
      <c r="O96" s="6" t="str">
        <f t="shared" si="16"/>
        <v>Захоронение осуществляется без превышения мощностей</v>
      </c>
      <c r="P96" s="6" t="str">
        <f t="shared" si="17"/>
        <v>Действующих мощностей хватит более, чем на 3 года</v>
      </c>
      <c r="Q96" s="9" t="str">
        <f t="shared" si="18"/>
        <v>белые пятна</v>
      </c>
      <c r="R96" s="34" t="str">
        <f t="shared" si="19"/>
        <v>Дорожная карта подписана</v>
      </c>
    </row>
    <row r="97" spans="2:18">
      <c r="B97" s="25" t="s">
        <v>84</v>
      </c>
      <c r="C97" s="22">
        <f t="shared" si="11"/>
        <v>0</v>
      </c>
      <c r="D97" s="22">
        <f t="shared" si="12"/>
        <v>0</v>
      </c>
      <c r="E97" s="45"/>
      <c r="F97" s="45"/>
      <c r="G97" s="45"/>
      <c r="H97" s="45"/>
      <c r="I97" s="45"/>
      <c r="J97" s="45" t="s">
        <v>258</v>
      </c>
      <c r="K97" s="9">
        <f t="shared" si="10"/>
        <v>0</v>
      </c>
      <c r="L97" s="6" t="str">
        <f t="shared" si="13"/>
        <v>Нелегальные объекты захоронения ТКО не выявлены</v>
      </c>
      <c r="M97" s="6" t="str">
        <f t="shared" si="14"/>
        <v>Все потоки ТКО указаны в территориальной схеме</v>
      </c>
      <c r="N97" s="6" t="str">
        <f t="shared" si="15"/>
        <v>Объектов по 765 приказу нет</v>
      </c>
      <c r="O97" s="6" t="str">
        <f t="shared" si="16"/>
        <v>Захоронение осуществляется без превышения мощностей</v>
      </c>
      <c r="P97" s="6" t="str">
        <f t="shared" si="17"/>
        <v>Действующих мощностей хватит более, чем на 3 года</v>
      </c>
      <c r="Q97" s="9" t="str">
        <f t="shared" si="18"/>
        <v/>
      </c>
      <c r="R97" s="34" t="str">
        <f t="shared" si="19"/>
        <v>Дорожная карта не требуется</v>
      </c>
    </row>
    <row r="98" spans="2:18">
      <c r="B98" s="25" t="s">
        <v>163</v>
      </c>
      <c r="C98" s="22">
        <f t="shared" si="11"/>
        <v>0</v>
      </c>
      <c r="D98" s="22">
        <f t="shared" si="12"/>
        <v>0</v>
      </c>
      <c r="E98" s="45"/>
      <c r="F98" s="45"/>
      <c r="G98" s="45"/>
      <c r="H98" s="45"/>
      <c r="I98" s="45"/>
      <c r="J98" s="45" t="s">
        <v>258</v>
      </c>
      <c r="K98" s="9">
        <f t="shared" si="10"/>
        <v>0</v>
      </c>
      <c r="L98" s="6" t="str">
        <f t="shared" si="13"/>
        <v>Нелегальные объекты захоронения ТКО не выявлены</v>
      </c>
      <c r="M98" s="6" t="str">
        <f t="shared" si="14"/>
        <v>Все потоки ТКО указаны в территориальной схеме</v>
      </c>
      <c r="N98" s="6" t="str">
        <f t="shared" si="15"/>
        <v>Объектов по 765 приказу нет</v>
      </c>
      <c r="O98" s="6" t="str">
        <f t="shared" si="16"/>
        <v>Захоронение осуществляется без превышения мощностей</v>
      </c>
      <c r="P98" s="6" t="str">
        <f t="shared" si="17"/>
        <v>Действующих мощностей хватит более, чем на 3 года</v>
      </c>
      <c r="Q98" s="9" t="str">
        <f t="shared" si="18"/>
        <v/>
      </c>
      <c r="R98" s="34" t="str">
        <f t="shared" si="19"/>
        <v>Дорожная карта не требуется</v>
      </c>
    </row>
    <row r="99" spans="2:18">
      <c r="B99" s="25" t="s">
        <v>79</v>
      </c>
      <c r="C99" s="22">
        <f t="shared" si="11"/>
        <v>0</v>
      </c>
      <c r="D99" s="22">
        <f t="shared" si="12"/>
        <v>0</v>
      </c>
      <c r="E99" s="45"/>
      <c r="F99" s="45"/>
      <c r="G99" s="45"/>
      <c r="H99" s="45"/>
      <c r="I99" s="45"/>
      <c r="J99" s="45" t="s">
        <v>258</v>
      </c>
      <c r="K99" s="9">
        <f t="shared" si="10"/>
        <v>0</v>
      </c>
      <c r="L99" s="6" t="str">
        <f t="shared" si="13"/>
        <v>Нелегальные объекты захоронения ТКО не выявлены</v>
      </c>
      <c r="M99" s="6" t="str">
        <f t="shared" si="14"/>
        <v>Все потоки ТКО указаны в территориальной схеме</v>
      </c>
      <c r="N99" s="6" t="str">
        <f t="shared" si="15"/>
        <v>Объектов по 765 приказу нет</v>
      </c>
      <c r="O99" s="6" t="str">
        <f t="shared" si="16"/>
        <v>Захоронение осуществляется без превышения мощностей</v>
      </c>
      <c r="P99" s="6" t="str">
        <f t="shared" si="17"/>
        <v>Действующих мощностей хватит более, чем на 3 года</v>
      </c>
      <c r="Q99" s="9" t="str">
        <f t="shared" si="18"/>
        <v/>
      </c>
      <c r="R99" s="34" t="str">
        <f t="shared" si="19"/>
        <v>Дорожная карта не требуется</v>
      </c>
    </row>
    <row r="100" spans="2:18">
      <c r="B100" s="25" t="s">
        <v>117</v>
      </c>
      <c r="C100" s="22">
        <f t="shared" si="11"/>
        <v>0</v>
      </c>
      <c r="D100" s="22">
        <f t="shared" si="12"/>
        <v>0</v>
      </c>
      <c r="E100" s="45"/>
      <c r="F100" s="45"/>
      <c r="G100" s="45"/>
      <c r="H100" s="45"/>
      <c r="I100" s="45"/>
      <c r="J100" s="45" t="s">
        <v>258</v>
      </c>
      <c r="K100" s="9">
        <f t="shared" si="10"/>
        <v>0</v>
      </c>
      <c r="L100" s="6" t="str">
        <f t="shared" si="13"/>
        <v>Нелегальные объекты захоронения ТКО не выявлены</v>
      </c>
      <c r="M100" s="6" t="str">
        <f t="shared" si="14"/>
        <v>Все потоки ТКО указаны в территориальной схеме</v>
      </c>
      <c r="N100" s="6" t="str">
        <f t="shared" si="15"/>
        <v>Объектов по 765 приказу нет</v>
      </c>
      <c r="O100" s="6" t="str">
        <f t="shared" si="16"/>
        <v>Захоронение осуществляется без превышения мощностей</v>
      </c>
      <c r="P100" s="6" t="str">
        <f t="shared" si="17"/>
        <v>Действующих мощностей хватит более, чем на 3 года</v>
      </c>
      <c r="Q100" s="9" t="str">
        <f t="shared" si="18"/>
        <v/>
      </c>
      <c r="R100" s="34" t="str">
        <f t="shared" si="19"/>
        <v>Дорожная карта не требуется</v>
      </c>
    </row>
    <row r="101" spans="2:18">
      <c r="B101" s="25" t="s">
        <v>82</v>
      </c>
      <c r="C101" s="22">
        <f t="shared" si="11"/>
        <v>0</v>
      </c>
      <c r="D101" s="22">
        <f t="shared" si="12"/>
        <v>0</v>
      </c>
      <c r="E101" s="45"/>
      <c r="F101" s="45"/>
      <c r="G101" s="45"/>
      <c r="H101" s="45"/>
      <c r="I101" s="45"/>
      <c r="J101" s="45" t="s">
        <v>258</v>
      </c>
      <c r="K101" s="9">
        <f t="shared" si="10"/>
        <v>0</v>
      </c>
      <c r="L101" s="6" t="str">
        <f t="shared" si="13"/>
        <v>Нелегальные объекты захоронения ТКО не выявлены</v>
      </c>
      <c r="M101" s="6" t="str">
        <f t="shared" si="14"/>
        <v>Все потоки ТКО указаны в территориальной схеме</v>
      </c>
      <c r="N101" s="6" t="str">
        <f t="shared" si="15"/>
        <v>Объектов по 765 приказу нет</v>
      </c>
      <c r="O101" s="6" t="str">
        <f t="shared" si="16"/>
        <v>Захоронение осуществляется без превышения мощностей</v>
      </c>
      <c r="P101" s="6" t="str">
        <f t="shared" si="17"/>
        <v>Действующих мощностей хватит более, чем на 3 года</v>
      </c>
      <c r="Q101" s="9" t="str">
        <f t="shared" si="18"/>
        <v/>
      </c>
      <c r="R101" s="34" t="str">
        <f t="shared" si="19"/>
        <v>Дорожная карта не требуется</v>
      </c>
    </row>
    <row r="102" spans="2:18">
      <c r="B102" s="25" t="s">
        <v>149</v>
      </c>
      <c r="C102" s="22">
        <f t="shared" si="11"/>
        <v>2</v>
      </c>
      <c r="D102" s="22">
        <f t="shared" si="12"/>
        <v>2</v>
      </c>
      <c r="E102" s="45">
        <v>2</v>
      </c>
      <c r="F102" s="45"/>
      <c r="G102" s="45"/>
      <c r="H102" s="45">
        <v>1</v>
      </c>
      <c r="I102" s="45">
        <v>1</v>
      </c>
      <c r="J102" s="45" t="s">
        <v>255</v>
      </c>
      <c r="K102" s="9">
        <f t="shared" si="10"/>
        <v>2</v>
      </c>
      <c r="L102" s="6" t="str">
        <f t="shared" si="13"/>
        <v>Имеются нелегальные объекты захоронения ТКО</v>
      </c>
      <c r="M102" s="6" t="str">
        <f t="shared" si="14"/>
        <v>Все потоки ТКО указаны в территориальной схеме</v>
      </c>
      <c r="N102" s="6" t="str">
        <f t="shared" si="15"/>
        <v>Объектов по 765 приказу нет</v>
      </c>
      <c r="O102" s="6" t="str">
        <f t="shared" si="16"/>
        <v>Захоронение осуществляется с превышением мощностей</v>
      </c>
      <c r="P102" s="6" t="str">
        <f t="shared" si="17"/>
        <v>Действующие мощности будут исчерпаны за 3 года</v>
      </c>
      <c r="Q102" s="9" t="str">
        <f t="shared" si="18"/>
        <v>свалки</v>
      </c>
      <c r="R102" s="34" t="str">
        <f t="shared" si="19"/>
        <v>Дорожная карта в разработке</v>
      </c>
    </row>
    <row r="103" spans="2:18">
      <c r="B103" s="25" t="s">
        <v>114</v>
      </c>
      <c r="C103" s="22">
        <f t="shared" si="11"/>
        <v>2</v>
      </c>
      <c r="D103" s="22">
        <f t="shared" si="12"/>
        <v>2</v>
      </c>
      <c r="E103" s="45"/>
      <c r="F103" s="45">
        <v>2</v>
      </c>
      <c r="G103" s="45">
        <v>1</v>
      </c>
      <c r="H103" s="45"/>
      <c r="I103" s="45"/>
      <c r="J103" s="45" t="s">
        <v>257</v>
      </c>
      <c r="K103" s="9">
        <f t="shared" si="10"/>
        <v>0</v>
      </c>
      <c r="L103" s="6" t="str">
        <f t="shared" si="13"/>
        <v>Нелегальные объекты захоронения ТКО не выявлены</v>
      </c>
      <c r="M103" s="6" t="str">
        <f t="shared" si="14"/>
        <v>Для ряда территорий осутствует схема потоков ТКО</v>
      </c>
      <c r="N103" s="6" t="str">
        <f t="shared" si="15"/>
        <v>Риски замещения объектов по 765 приказу средние</v>
      </c>
      <c r="O103" s="6" t="str">
        <f t="shared" si="16"/>
        <v>Захоронение осуществляется без превышения мощностей</v>
      </c>
      <c r="P103" s="6" t="str">
        <f t="shared" si="17"/>
        <v>Действующих мощностей хватит более, чем на 3 года</v>
      </c>
      <c r="Q103" s="9" t="str">
        <f t="shared" si="18"/>
        <v>белые пятна</v>
      </c>
      <c r="R103" s="34" t="str">
        <f t="shared" si="19"/>
        <v>Дорожная карта подписана</v>
      </c>
    </row>
    <row r="104" spans="2:18">
      <c r="B104" s="25" t="s">
        <v>80</v>
      </c>
      <c r="C104" s="22">
        <f t="shared" si="11"/>
        <v>0</v>
      </c>
      <c r="D104" s="22">
        <f t="shared" si="12"/>
        <v>0</v>
      </c>
      <c r="E104" s="45"/>
      <c r="F104" s="45"/>
      <c r="G104" s="45"/>
      <c r="H104" s="45"/>
      <c r="I104" s="45"/>
      <c r="J104" s="45" t="s">
        <v>258</v>
      </c>
      <c r="K104" s="9">
        <f t="shared" si="10"/>
        <v>0</v>
      </c>
      <c r="L104" s="6" t="str">
        <f t="shared" si="13"/>
        <v>Нелегальные объекты захоронения ТКО не выявлены</v>
      </c>
      <c r="M104" s="6" t="str">
        <f t="shared" si="14"/>
        <v>Все потоки ТКО указаны в территориальной схеме</v>
      </c>
      <c r="N104" s="6" t="str">
        <f t="shared" si="15"/>
        <v>Объектов по 765 приказу нет</v>
      </c>
      <c r="O104" s="6" t="str">
        <f t="shared" si="16"/>
        <v>Захоронение осуществляется без превышения мощностей</v>
      </c>
      <c r="P104" s="6" t="str">
        <f t="shared" si="17"/>
        <v>Действующих мощностей хватит более, чем на 3 года</v>
      </c>
      <c r="Q104" s="9" t="str">
        <f t="shared" si="18"/>
        <v/>
      </c>
      <c r="R104" s="34" t="str">
        <f t="shared" si="19"/>
        <v>Дорожная карта не требуется</v>
      </c>
    </row>
    <row r="106" spans="10:10">
      <c r="J106" s="9" t="s">
        <v>257</v>
      </c>
    </row>
    <row r="107" spans="2:10">
      <c r="B107" s="25"/>
      <c r="J107" s="9" t="s">
        <v>255</v>
      </c>
    </row>
    <row r="108" spans="10:10">
      <c r="J108" s="9" t="s">
        <v>256</v>
      </c>
    </row>
    <row r="109" spans="10:10">
      <c r="J109" s="9" t="s">
        <v>258</v>
      </c>
    </row>
  </sheetData>
  <dataValidations count="1">
    <dataValidation type="list" allowBlank="1" showInputMessage="1" showErrorMessage="1" sqref="J16:J104">
      <formula1>$J$106:$J$109</formula1>
    </dataValidation>
  </dataValidation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1"/>
  <dimension ref="B2:U107"/>
  <sheetViews>
    <sheetView workbookViewId="0">
      <pane xSplit="2" ySplit="15" topLeftCell="C16" activePane="bottomRight" state="frozen"/>
      <selection/>
      <selection pane="topRight"/>
      <selection pane="bottomLeft"/>
      <selection pane="bottomRight" activeCell="E16" sqref="E16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6" width="13.5" style="7" customWidth="1"/>
    <col min="7" max="7" width="13.5" style="17" customWidth="1"/>
    <col min="8" max="8" width="13.5" style="9" customWidth="1"/>
    <col min="9" max="9" width="35" style="6" customWidth="1"/>
    <col min="10" max="10" width="34.8583333333333" style="6" customWidth="1"/>
    <col min="11" max="11" width="24.6416666666667" style="6" customWidth="1"/>
    <col min="12" max="12" width="17" style="9" customWidth="1"/>
    <col min="13" max="15" width="14" style="6" customWidth="1"/>
    <col min="16" max="16384" width="10.8583333333333" style="6"/>
  </cols>
  <sheetData>
    <row r="2" ht="15.6" spans="2:2">
      <c r="B2" s="4" t="s">
        <v>646</v>
      </c>
    </row>
    <row r="4" s="4" customFormat="1" ht="15.6" spans="2:21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pans="2:21">
      <c r="B5" s="6" t="s">
        <v>647</v>
      </c>
      <c r="C5" s="15">
        <v>45564</v>
      </c>
      <c r="E5" s="8"/>
      <c r="F5" s="8"/>
      <c r="G5" s="7"/>
      <c r="H5" s="7"/>
      <c r="I5" s="9"/>
      <c r="J5" s="9"/>
      <c r="K5" s="9"/>
      <c r="M5" s="9"/>
      <c r="N5" s="9"/>
      <c r="O5" s="11"/>
      <c r="P5" s="11"/>
      <c r="Q5" s="11"/>
      <c r="R5" s="11"/>
      <c r="S5" s="11"/>
      <c r="T5" s="11"/>
      <c r="U5" s="11"/>
    </row>
    <row r="7" spans="2:8">
      <c r="B7" s="6" t="s">
        <v>173</v>
      </c>
      <c r="G7" s="17">
        <f>G9/2</f>
        <v>0.2715</v>
      </c>
      <c r="H7" s="39">
        <f>H9/2</f>
        <v>0.4035</v>
      </c>
    </row>
    <row r="8" spans="2:8">
      <c r="B8" s="6" t="s">
        <v>174</v>
      </c>
      <c r="D8" s="11">
        <v>1</v>
      </c>
      <c r="H8" s="6"/>
    </row>
    <row r="9" spans="2:8">
      <c r="B9" s="6" t="s">
        <v>175</v>
      </c>
      <c r="D9" s="11">
        <v>0.5</v>
      </c>
      <c r="G9" s="17">
        <f>G15</f>
        <v>0.543</v>
      </c>
      <c r="H9" s="39">
        <f>H15</f>
        <v>0.807</v>
      </c>
    </row>
    <row r="10" spans="2:8">
      <c r="B10" s="6" t="s">
        <v>176</v>
      </c>
      <c r="H10" s="16"/>
    </row>
    <row r="11" spans="2:6">
      <c r="B11" s="6" t="s">
        <v>177</v>
      </c>
      <c r="C11" s="17"/>
      <c r="E11" s="17">
        <v>0.5</v>
      </c>
      <c r="F11" s="17">
        <v>0.5</v>
      </c>
    </row>
    <row r="12" spans="3:8">
      <c r="C12" s="17"/>
      <c r="E12" s="17"/>
      <c r="F12" s="17"/>
      <c r="H12" s="6"/>
    </row>
    <row r="14" s="5" customFormat="1" ht="45" spans="2:15">
      <c r="B14" s="5" t="s">
        <v>2</v>
      </c>
      <c r="C14" s="19" t="s">
        <v>178</v>
      </c>
      <c r="D14" s="19" t="s">
        <v>179</v>
      </c>
      <c r="E14" s="19" t="s">
        <v>648</v>
      </c>
      <c r="F14" s="19" t="s">
        <v>649</v>
      </c>
      <c r="G14" s="40" t="s">
        <v>650</v>
      </c>
      <c r="H14" s="21" t="s">
        <v>651</v>
      </c>
      <c r="I14" s="30" t="s">
        <v>652</v>
      </c>
      <c r="J14" s="30" t="s">
        <v>653</v>
      </c>
      <c r="K14" s="30" t="s">
        <v>233</v>
      </c>
      <c r="L14" s="30" t="s">
        <v>214</v>
      </c>
      <c r="M14" s="30"/>
      <c r="N14" s="30"/>
      <c r="O14" s="30"/>
    </row>
    <row r="15" s="5" customFormat="1" spans="2:12">
      <c r="B15" s="5" t="s">
        <v>182</v>
      </c>
      <c r="C15" s="22"/>
      <c r="D15" s="22"/>
      <c r="E15" s="22"/>
      <c r="F15" s="22"/>
      <c r="G15" s="41">
        <v>0.543</v>
      </c>
      <c r="H15" s="41">
        <v>0.807</v>
      </c>
      <c r="I15" s="6" t="str">
        <f>_xlfn.TEXTJOIN(,0,"Доля обработки ТКО в 1пг 2024 г. ",TEXT(G15,"0%"))</f>
        <v>Доля обработки ТКО в 1пг 2024 г. 54%</v>
      </c>
      <c r="J15" s="6" t="str">
        <f t="shared" ref="J15:J16" si="0">_xlfn.TEXTJOIN(,0,"План по обработке ТКО в 2028 г. ",TEXT(H15,"0%"))</f>
        <v>План по обработке ТКО в 2028 г. 81%</v>
      </c>
      <c r="K15" s="6"/>
      <c r="L15" s="9" t="str">
        <f>_xlfn.TEXTJOIN(,0,TEXT(H15*100,"0"),"/",TEXT(G15*100,"0")," (",TEXT((H15-G15)*100,"0"),")")</f>
        <v>81/54 (26)</v>
      </c>
    </row>
    <row r="16" spans="2:12">
      <c r="B16" s="25" t="s">
        <v>146</v>
      </c>
      <c r="C16" s="22">
        <f>IF(D16&gt;$D$8,2,IF(D16&gt;$D$9,1,0))</f>
        <v>1</v>
      </c>
      <c r="D16" s="22">
        <f>E16*$E$11+F16*$F$11</f>
        <v>1</v>
      </c>
      <c r="E16" s="22">
        <f t="shared" ref="E16" si="1">IF(OR(G16&lt;$G$7,K16&lt;&gt;""),2,IF(G16&lt;$G$9,1,0))</f>
        <v>2</v>
      </c>
      <c r="F16" s="22">
        <f>IF(H16&lt;$H$7,2,IF(H16&lt;$H$9,1,0))</f>
        <v>0</v>
      </c>
      <c r="G16" s="41">
        <v>0</v>
      </c>
      <c r="H16" s="41">
        <v>1</v>
      </c>
      <c r="I16" s="6" t="str">
        <f>_xlfn.TEXTJOIN(,0,"Доля обработки ТКО в 1пг 2024 г. ",TEXT(G16,"0%"))</f>
        <v>Доля обработки ТКО в 1пг 2024 г. 0%</v>
      </c>
      <c r="J16" s="6" t="str">
        <f t="shared" si="0"/>
        <v>План по обработке ТКО в 2028 г. 100%</v>
      </c>
      <c r="K16" s="44"/>
      <c r="L16" s="9" t="str">
        <f t="shared" ref="L16:L79" si="2">_xlfn.TEXTJOIN(,0,TEXT(H16*100,"0"),"/",TEXT(G16*100,"0")," (",TEXT((H16-G16)*100,"0"),")")</f>
        <v>100/0 (100)</v>
      </c>
    </row>
    <row r="17" spans="2:12">
      <c r="B17" s="25" t="s">
        <v>150</v>
      </c>
      <c r="C17" s="22">
        <f t="shared" ref="C17:C80" si="3">IF(D17&gt;$D$8,2,IF(D17&gt;$D$9,1,0))</f>
        <v>2</v>
      </c>
      <c r="D17" s="22">
        <f t="shared" ref="D17:D80" si="4">E17*$E$11+F17*$F$11</f>
        <v>2</v>
      </c>
      <c r="E17" s="22">
        <f t="shared" ref="E17:E80" si="5">IF(OR(G17&lt;$G$7,K17&lt;&gt;""),2,IF(G17&lt;$G$9,1,0))</f>
        <v>2</v>
      </c>
      <c r="F17" s="22">
        <f t="shared" ref="F17:F80" si="6">IF(H17&lt;$H$7,2,IF(H17&lt;$H$9,1,0))</f>
        <v>2</v>
      </c>
      <c r="G17" s="41">
        <v>0.001</v>
      </c>
      <c r="H17" s="41">
        <v>0.237</v>
      </c>
      <c r="I17" s="6" t="str">
        <f t="shared" ref="I17:I80" si="7">_xlfn.TEXTJOIN(,0,"Доля обработки ТКО в 1пг 2024 г. ",TEXT(G17,"0%"))</f>
        <v>Доля обработки ТКО в 1пг 2024 г. 0%</v>
      </c>
      <c r="J17" s="6" t="str">
        <f t="shared" ref="J17:J80" si="8">_xlfn.TEXTJOIN(,0,"План по обработке ТКО в 2028 г. ",TEXT(H17,"0%"))</f>
        <v>План по обработке ТКО в 2028 г. 24%</v>
      </c>
      <c r="K17" s="44"/>
      <c r="L17" s="9" t="str">
        <f t="shared" si="2"/>
        <v>24/0 (24)</v>
      </c>
    </row>
    <row r="18" spans="2:12">
      <c r="B18" s="25" t="s">
        <v>133</v>
      </c>
      <c r="C18" s="22">
        <f t="shared" si="3"/>
        <v>1</v>
      </c>
      <c r="D18" s="22">
        <f t="shared" si="4"/>
        <v>1</v>
      </c>
      <c r="E18" s="22">
        <f t="shared" si="5"/>
        <v>2</v>
      </c>
      <c r="F18" s="22">
        <f t="shared" si="6"/>
        <v>0</v>
      </c>
      <c r="G18" s="41">
        <v>0.099</v>
      </c>
      <c r="H18" s="41">
        <v>1</v>
      </c>
      <c r="I18" s="6" t="str">
        <f t="shared" si="7"/>
        <v>Доля обработки ТКО в 1пг 2024 г. 10%</v>
      </c>
      <c r="J18" s="6" t="str">
        <f t="shared" si="8"/>
        <v>План по обработке ТКО в 2028 г. 100%</v>
      </c>
      <c r="K18" s="44"/>
      <c r="L18" s="9" t="str">
        <f t="shared" si="2"/>
        <v>100/10 (90)</v>
      </c>
    </row>
    <row r="19" spans="2:12">
      <c r="B19" s="25" t="s">
        <v>121</v>
      </c>
      <c r="C19" s="22">
        <f t="shared" si="3"/>
        <v>0</v>
      </c>
      <c r="D19" s="22">
        <f t="shared" si="4"/>
        <v>0</v>
      </c>
      <c r="E19" s="22">
        <f t="shared" si="5"/>
        <v>0</v>
      </c>
      <c r="F19" s="22">
        <f t="shared" si="6"/>
        <v>0</v>
      </c>
      <c r="G19" s="41">
        <v>0.721</v>
      </c>
      <c r="H19" s="41">
        <v>0.9</v>
      </c>
      <c r="I19" s="6" t="str">
        <f t="shared" si="7"/>
        <v>Доля обработки ТКО в 1пг 2024 г. 72%</v>
      </c>
      <c r="J19" s="6" t="str">
        <f t="shared" si="8"/>
        <v>План по обработке ТКО в 2028 г. 90%</v>
      </c>
      <c r="K19" s="44"/>
      <c r="L19" s="9" t="str">
        <f t="shared" si="2"/>
        <v>90/72 (18)</v>
      </c>
    </row>
    <row r="20" spans="2:12">
      <c r="B20" s="25" t="s">
        <v>106</v>
      </c>
      <c r="C20" s="22">
        <f t="shared" si="3"/>
        <v>1</v>
      </c>
      <c r="D20" s="22">
        <f t="shared" si="4"/>
        <v>1</v>
      </c>
      <c r="E20" s="22">
        <f t="shared" si="5"/>
        <v>0</v>
      </c>
      <c r="F20" s="22">
        <f t="shared" si="6"/>
        <v>2</v>
      </c>
      <c r="G20" s="41">
        <v>0.673</v>
      </c>
      <c r="H20" s="41">
        <v>0.32</v>
      </c>
      <c r="I20" s="6" t="str">
        <f t="shared" si="7"/>
        <v>Доля обработки ТКО в 1пг 2024 г. 67%</v>
      </c>
      <c r="J20" s="6" t="str">
        <f t="shared" si="8"/>
        <v>План по обработке ТКО в 2028 г. 32%</v>
      </c>
      <c r="K20" s="44"/>
      <c r="L20" s="9" t="str">
        <f t="shared" si="2"/>
        <v>32/67 (-35)</v>
      </c>
    </row>
    <row r="21" spans="2:12">
      <c r="B21" s="25" t="s">
        <v>91</v>
      </c>
      <c r="C21" s="22">
        <f t="shared" si="3"/>
        <v>0</v>
      </c>
      <c r="D21" s="22">
        <f t="shared" si="4"/>
        <v>0</v>
      </c>
      <c r="E21" s="22">
        <f t="shared" si="5"/>
        <v>0</v>
      </c>
      <c r="F21" s="22">
        <f t="shared" si="6"/>
        <v>0</v>
      </c>
      <c r="G21" s="41">
        <v>0.613</v>
      </c>
      <c r="H21" s="41">
        <v>0.85</v>
      </c>
      <c r="I21" s="6" t="str">
        <f t="shared" si="7"/>
        <v>Доля обработки ТКО в 1пг 2024 г. 61%</v>
      </c>
      <c r="J21" s="6" t="str">
        <f t="shared" si="8"/>
        <v>План по обработке ТКО в 2028 г. 85%</v>
      </c>
      <c r="K21" s="44"/>
      <c r="L21" s="9" t="str">
        <f t="shared" si="2"/>
        <v>85/61 (24)</v>
      </c>
    </row>
    <row r="22" spans="2:12">
      <c r="B22" s="25" t="s">
        <v>113</v>
      </c>
      <c r="C22" s="22">
        <f t="shared" si="3"/>
        <v>2</v>
      </c>
      <c r="D22" s="22">
        <f t="shared" si="4"/>
        <v>1.5</v>
      </c>
      <c r="E22" s="22">
        <f t="shared" si="5"/>
        <v>1</v>
      </c>
      <c r="F22" s="22">
        <f t="shared" si="6"/>
        <v>2</v>
      </c>
      <c r="G22" s="41">
        <v>0.365</v>
      </c>
      <c r="H22" s="41">
        <v>0.277</v>
      </c>
      <c r="I22" s="6" t="str">
        <f t="shared" si="7"/>
        <v>Доля обработки ТКО в 1пг 2024 г. 37%</v>
      </c>
      <c r="J22" s="6" t="str">
        <f t="shared" si="8"/>
        <v>План по обработке ТКО в 2028 г. 28%</v>
      </c>
      <c r="K22" s="44"/>
      <c r="L22" s="9" t="str">
        <f t="shared" si="2"/>
        <v>28/37 (-9)</v>
      </c>
    </row>
    <row r="23" spans="2:12">
      <c r="B23" s="25" t="s">
        <v>86</v>
      </c>
      <c r="C23" s="22">
        <f t="shared" si="3"/>
        <v>0</v>
      </c>
      <c r="D23" s="22">
        <f t="shared" si="4"/>
        <v>0.5</v>
      </c>
      <c r="E23" s="22">
        <f t="shared" si="5"/>
        <v>0</v>
      </c>
      <c r="F23" s="22">
        <f t="shared" si="6"/>
        <v>1</v>
      </c>
      <c r="G23" s="41">
        <v>0.802</v>
      </c>
      <c r="H23" s="41">
        <v>0.8</v>
      </c>
      <c r="I23" s="6" t="str">
        <f t="shared" si="7"/>
        <v>Доля обработки ТКО в 1пг 2024 г. 80%</v>
      </c>
      <c r="J23" s="6" t="str">
        <f t="shared" si="8"/>
        <v>План по обработке ТКО в 2028 г. 80%</v>
      </c>
      <c r="K23" s="44"/>
      <c r="L23" s="9" t="str">
        <f t="shared" si="2"/>
        <v>80/80 (0)</v>
      </c>
    </row>
    <row r="24" spans="2:12">
      <c r="B24" s="25" t="s">
        <v>107</v>
      </c>
      <c r="C24" s="22">
        <f t="shared" si="3"/>
        <v>0</v>
      </c>
      <c r="D24" s="22">
        <f t="shared" si="4"/>
        <v>0.5</v>
      </c>
      <c r="E24" s="22">
        <f t="shared" si="5"/>
        <v>0</v>
      </c>
      <c r="F24" s="22">
        <f t="shared" si="6"/>
        <v>1</v>
      </c>
      <c r="G24" s="41">
        <v>0.56</v>
      </c>
      <c r="H24" s="41">
        <v>0.7</v>
      </c>
      <c r="I24" s="6" t="str">
        <f t="shared" si="7"/>
        <v>Доля обработки ТКО в 1пг 2024 г. 56%</v>
      </c>
      <c r="J24" s="6" t="str">
        <f t="shared" si="8"/>
        <v>План по обработке ТКО в 2028 г. 70%</v>
      </c>
      <c r="K24" s="44"/>
      <c r="L24" s="9" t="str">
        <f t="shared" si="2"/>
        <v>70/56 (14)</v>
      </c>
    </row>
    <row r="25" spans="2:12">
      <c r="B25" s="25" t="s">
        <v>137</v>
      </c>
      <c r="C25" s="22">
        <f t="shared" si="3"/>
        <v>0</v>
      </c>
      <c r="D25" s="22">
        <f t="shared" si="4"/>
        <v>0.5</v>
      </c>
      <c r="E25" s="22">
        <f t="shared" si="5"/>
        <v>0</v>
      </c>
      <c r="F25" s="22">
        <f t="shared" si="6"/>
        <v>1</v>
      </c>
      <c r="G25" s="41">
        <v>0.565</v>
      </c>
      <c r="H25" s="41">
        <v>0.53</v>
      </c>
      <c r="I25" s="6" t="str">
        <f t="shared" si="7"/>
        <v>Доля обработки ТКО в 1пг 2024 г. 57%</v>
      </c>
      <c r="J25" s="6" t="str">
        <f t="shared" si="8"/>
        <v>План по обработке ТКО в 2028 г. 53%</v>
      </c>
      <c r="K25" s="44"/>
      <c r="L25" s="9" t="str">
        <f t="shared" si="2"/>
        <v>53/57 (-3)</v>
      </c>
    </row>
    <row r="26" spans="2:12">
      <c r="B26" s="25" t="s">
        <v>68</v>
      </c>
      <c r="C26" s="22">
        <f t="shared" si="3"/>
        <v>0</v>
      </c>
      <c r="D26" s="22">
        <f t="shared" si="4"/>
        <v>0</v>
      </c>
      <c r="E26" s="22">
        <f t="shared" si="5"/>
        <v>0</v>
      </c>
      <c r="F26" s="22">
        <f t="shared" si="6"/>
        <v>0</v>
      </c>
      <c r="G26" s="41">
        <v>0.987</v>
      </c>
      <c r="H26" s="41">
        <v>0.9</v>
      </c>
      <c r="I26" s="6" t="str">
        <f t="shared" si="7"/>
        <v>Доля обработки ТКО в 1пг 2024 г. 99%</v>
      </c>
      <c r="J26" s="6" t="str">
        <f t="shared" si="8"/>
        <v>План по обработке ТКО в 2028 г. 90%</v>
      </c>
      <c r="K26" s="44"/>
      <c r="L26" s="9" t="str">
        <f t="shared" si="2"/>
        <v>90/99 (-9)</v>
      </c>
    </row>
    <row r="27" spans="2:12">
      <c r="B27" s="25" t="s">
        <v>71</v>
      </c>
      <c r="C27" s="22">
        <f t="shared" si="3"/>
        <v>0</v>
      </c>
      <c r="D27" s="22">
        <f t="shared" si="4"/>
        <v>0</v>
      </c>
      <c r="E27" s="22">
        <f t="shared" si="5"/>
        <v>0</v>
      </c>
      <c r="F27" s="22">
        <f t="shared" si="6"/>
        <v>0</v>
      </c>
      <c r="G27" s="41">
        <v>0.751</v>
      </c>
      <c r="H27" s="41">
        <v>1</v>
      </c>
      <c r="I27" s="6" t="str">
        <f t="shared" si="7"/>
        <v>Доля обработки ТКО в 1пг 2024 г. 75%</v>
      </c>
      <c r="J27" s="6" t="str">
        <f t="shared" si="8"/>
        <v>План по обработке ТКО в 2028 г. 100%</v>
      </c>
      <c r="K27" s="44"/>
      <c r="L27" s="9" t="str">
        <f t="shared" si="2"/>
        <v>100/75 (25)</v>
      </c>
    </row>
    <row r="28" spans="2:12">
      <c r="B28" s="25" t="s">
        <v>118</v>
      </c>
      <c r="C28" s="22">
        <f t="shared" si="3"/>
        <v>1</v>
      </c>
      <c r="D28" s="22">
        <f t="shared" si="4"/>
        <v>1</v>
      </c>
      <c r="E28" s="22">
        <f t="shared" si="5"/>
        <v>1</v>
      </c>
      <c r="F28" s="22">
        <f t="shared" si="6"/>
        <v>1</v>
      </c>
      <c r="G28" s="41">
        <v>0.497</v>
      </c>
      <c r="H28" s="41">
        <v>0.45</v>
      </c>
      <c r="I28" s="6" t="str">
        <f t="shared" si="7"/>
        <v>Доля обработки ТКО в 1пг 2024 г. 50%</v>
      </c>
      <c r="J28" s="6" t="str">
        <f t="shared" si="8"/>
        <v>План по обработке ТКО в 2028 г. 45%</v>
      </c>
      <c r="K28" s="44"/>
      <c r="L28" s="9" t="str">
        <f t="shared" si="2"/>
        <v>45/50 (-5)</v>
      </c>
    </row>
    <row r="29" spans="2:12">
      <c r="B29" s="25" t="s">
        <v>160</v>
      </c>
      <c r="C29" s="22">
        <f t="shared" si="3"/>
        <v>0</v>
      </c>
      <c r="D29" s="22">
        <f t="shared" si="4"/>
        <v>0</v>
      </c>
      <c r="E29" s="43">
        <v>0</v>
      </c>
      <c r="F29" s="43">
        <v>0</v>
      </c>
      <c r="G29" s="41"/>
      <c r="H29" s="41"/>
      <c r="I29" s="6" t="str">
        <f t="shared" si="7"/>
        <v>Доля обработки ТКО в 1пг 2024 г. 0%</v>
      </c>
      <c r="J29" s="6" t="str">
        <f t="shared" si="8"/>
        <v>План по обработке ТКО в 2028 г. 0%</v>
      </c>
      <c r="K29" s="44"/>
      <c r="L29" s="9" t="str">
        <f t="shared" si="2"/>
        <v>0/0 (0)</v>
      </c>
    </row>
    <row r="30" spans="2:12">
      <c r="B30" s="25" t="s">
        <v>131</v>
      </c>
      <c r="C30" s="22">
        <f t="shared" si="3"/>
        <v>1</v>
      </c>
      <c r="D30" s="22">
        <f t="shared" si="4"/>
        <v>1</v>
      </c>
      <c r="E30" s="22">
        <f t="shared" si="5"/>
        <v>2</v>
      </c>
      <c r="F30" s="22">
        <f t="shared" si="6"/>
        <v>0</v>
      </c>
      <c r="G30" s="41">
        <v>0.038</v>
      </c>
      <c r="H30" s="41">
        <v>0.837</v>
      </c>
      <c r="I30" s="6" t="str">
        <f t="shared" si="7"/>
        <v>Доля обработки ТКО в 1пг 2024 г. 4%</v>
      </c>
      <c r="J30" s="6" t="str">
        <f t="shared" si="8"/>
        <v>План по обработке ТКО в 2028 г. 84%</v>
      </c>
      <c r="K30" s="44"/>
      <c r="L30" s="9" t="str">
        <f t="shared" si="2"/>
        <v>84/4 (80)</v>
      </c>
    </row>
    <row r="31" spans="2:12">
      <c r="B31" s="25" t="s">
        <v>155</v>
      </c>
      <c r="C31" s="22">
        <f t="shared" si="3"/>
        <v>2</v>
      </c>
      <c r="D31" s="22">
        <f t="shared" si="4"/>
        <v>1.5</v>
      </c>
      <c r="E31" s="22">
        <f t="shared" si="5"/>
        <v>2</v>
      </c>
      <c r="F31" s="22">
        <f t="shared" si="6"/>
        <v>1</v>
      </c>
      <c r="G31" s="41">
        <v>0.04</v>
      </c>
      <c r="H31" s="41">
        <v>0.59</v>
      </c>
      <c r="I31" s="6" t="str">
        <f t="shared" si="7"/>
        <v>Доля обработки ТКО в 1пг 2024 г. 4%</v>
      </c>
      <c r="J31" s="6" t="str">
        <f t="shared" si="8"/>
        <v>План по обработке ТКО в 2028 г. 59%</v>
      </c>
      <c r="K31" s="44"/>
      <c r="L31" s="9" t="str">
        <f t="shared" si="2"/>
        <v>59/4 (55)</v>
      </c>
    </row>
    <row r="32" spans="2:12">
      <c r="B32" s="25" t="s">
        <v>161</v>
      </c>
      <c r="C32" s="22">
        <f t="shared" si="3"/>
        <v>0</v>
      </c>
      <c r="D32" s="22">
        <f t="shared" si="4"/>
        <v>0</v>
      </c>
      <c r="E32" s="43">
        <v>0</v>
      </c>
      <c r="F32" s="43">
        <v>0</v>
      </c>
      <c r="G32" s="41"/>
      <c r="H32" s="41"/>
      <c r="I32" s="6" t="str">
        <f t="shared" si="7"/>
        <v>Доля обработки ТКО в 1пг 2024 г. 0%</v>
      </c>
      <c r="J32" s="6" t="str">
        <f t="shared" si="8"/>
        <v>План по обработке ТКО в 2028 г. 0%</v>
      </c>
      <c r="K32" s="44"/>
      <c r="L32" s="9" t="str">
        <f t="shared" si="2"/>
        <v>0/0 (0)</v>
      </c>
    </row>
    <row r="33" spans="2:12">
      <c r="B33" s="25" t="s">
        <v>81</v>
      </c>
      <c r="C33" s="22">
        <f t="shared" si="3"/>
        <v>0</v>
      </c>
      <c r="D33" s="22">
        <f t="shared" si="4"/>
        <v>0.5</v>
      </c>
      <c r="E33" s="22">
        <f t="shared" si="5"/>
        <v>0</v>
      </c>
      <c r="F33" s="22">
        <f t="shared" si="6"/>
        <v>1</v>
      </c>
      <c r="G33" s="41">
        <v>0.798</v>
      </c>
      <c r="H33" s="41">
        <v>0.75</v>
      </c>
      <c r="I33" s="6" t="str">
        <f t="shared" si="7"/>
        <v>Доля обработки ТКО в 1пг 2024 г. 80%</v>
      </c>
      <c r="J33" s="6" t="str">
        <f t="shared" si="8"/>
        <v>План по обработке ТКО в 2028 г. 75%</v>
      </c>
      <c r="K33" s="44"/>
      <c r="L33" s="9" t="str">
        <f t="shared" si="2"/>
        <v>75/80 (-5)</v>
      </c>
    </row>
    <row r="34" spans="2:12">
      <c r="B34" s="25" t="s">
        <v>148</v>
      </c>
      <c r="C34" s="22">
        <f t="shared" si="3"/>
        <v>2</v>
      </c>
      <c r="D34" s="22">
        <f t="shared" si="4"/>
        <v>1.5</v>
      </c>
      <c r="E34" s="22">
        <f t="shared" si="5"/>
        <v>2</v>
      </c>
      <c r="F34" s="22">
        <f t="shared" si="6"/>
        <v>1</v>
      </c>
      <c r="G34" s="41">
        <v>0.029</v>
      </c>
      <c r="H34" s="41">
        <v>0.557</v>
      </c>
      <c r="I34" s="6" t="str">
        <f t="shared" si="7"/>
        <v>Доля обработки ТКО в 1пг 2024 г. 3%</v>
      </c>
      <c r="J34" s="6" t="str">
        <f t="shared" si="8"/>
        <v>План по обработке ТКО в 2028 г. 56%</v>
      </c>
      <c r="K34" s="44"/>
      <c r="L34" s="9" t="str">
        <f t="shared" si="2"/>
        <v>56/3 (53)</v>
      </c>
    </row>
    <row r="35" spans="2:12">
      <c r="B35" s="25" t="s">
        <v>126</v>
      </c>
      <c r="C35" s="22">
        <f t="shared" si="3"/>
        <v>2</v>
      </c>
      <c r="D35" s="22">
        <f t="shared" si="4"/>
        <v>1.5</v>
      </c>
      <c r="E35" s="22">
        <f t="shared" si="5"/>
        <v>1</v>
      </c>
      <c r="F35" s="22">
        <f t="shared" si="6"/>
        <v>2</v>
      </c>
      <c r="G35" s="41">
        <v>0.408</v>
      </c>
      <c r="H35" s="41">
        <v>0.39</v>
      </c>
      <c r="I35" s="6" t="str">
        <f t="shared" si="7"/>
        <v>Доля обработки ТКО в 1пг 2024 г. 41%</v>
      </c>
      <c r="J35" s="6" t="str">
        <f t="shared" si="8"/>
        <v>План по обработке ТКО в 2028 г. 39%</v>
      </c>
      <c r="K35" s="44"/>
      <c r="L35" s="9" t="str">
        <f t="shared" si="2"/>
        <v>39/41 (-2)</v>
      </c>
    </row>
    <row r="36" spans="2:12">
      <c r="B36" s="25" t="s">
        <v>119</v>
      </c>
      <c r="C36" s="22">
        <f t="shared" si="3"/>
        <v>1</v>
      </c>
      <c r="D36" s="22">
        <f t="shared" si="4"/>
        <v>1</v>
      </c>
      <c r="E36" s="22">
        <f t="shared" si="5"/>
        <v>2</v>
      </c>
      <c r="F36" s="22">
        <f t="shared" si="6"/>
        <v>0</v>
      </c>
      <c r="G36" s="41">
        <v>0.133</v>
      </c>
      <c r="H36" s="41">
        <v>1</v>
      </c>
      <c r="I36" s="6" t="str">
        <f t="shared" si="7"/>
        <v>Доля обработки ТКО в 1пг 2024 г. 13%</v>
      </c>
      <c r="J36" s="6" t="str">
        <f t="shared" si="8"/>
        <v>План по обработке ТКО в 2028 г. 100%</v>
      </c>
      <c r="K36" s="44"/>
      <c r="L36" s="9" t="str">
        <f t="shared" si="2"/>
        <v>100/13 (87)</v>
      </c>
    </row>
    <row r="37" spans="2:12">
      <c r="B37" s="25" t="s">
        <v>87</v>
      </c>
      <c r="C37" s="22">
        <f t="shared" si="3"/>
        <v>0</v>
      </c>
      <c r="D37" s="22">
        <f t="shared" si="4"/>
        <v>0</v>
      </c>
      <c r="E37" s="22">
        <f t="shared" si="5"/>
        <v>0</v>
      </c>
      <c r="F37" s="22">
        <f t="shared" si="6"/>
        <v>0</v>
      </c>
      <c r="G37" s="41">
        <v>0.996</v>
      </c>
      <c r="H37" s="41">
        <v>1</v>
      </c>
      <c r="I37" s="6" t="str">
        <f t="shared" si="7"/>
        <v>Доля обработки ТКО в 1пг 2024 г. 100%</v>
      </c>
      <c r="J37" s="6" t="str">
        <f t="shared" si="8"/>
        <v>План по обработке ТКО в 2028 г. 100%</v>
      </c>
      <c r="K37" s="44"/>
      <c r="L37" s="9" t="str">
        <f t="shared" si="2"/>
        <v>100/100 (0)</v>
      </c>
    </row>
    <row r="38" spans="2:12">
      <c r="B38" s="25" t="s">
        <v>134</v>
      </c>
      <c r="C38" s="22">
        <f t="shared" si="3"/>
        <v>1</v>
      </c>
      <c r="D38" s="22">
        <f t="shared" si="4"/>
        <v>1</v>
      </c>
      <c r="E38" s="22">
        <f t="shared" si="5"/>
        <v>2</v>
      </c>
      <c r="F38" s="22">
        <f t="shared" si="6"/>
        <v>0</v>
      </c>
      <c r="G38" s="41">
        <v>0.918</v>
      </c>
      <c r="H38" s="41">
        <v>1</v>
      </c>
      <c r="I38" s="6" t="str">
        <f t="shared" si="7"/>
        <v>Доля обработки ТКО в 1пг 2024 г. 92%</v>
      </c>
      <c r="J38" s="6" t="str">
        <f t="shared" si="8"/>
        <v>План по обработке ТКО в 2028 г. 100%</v>
      </c>
      <c r="K38" s="44" t="s">
        <v>654</v>
      </c>
      <c r="L38" s="9" t="str">
        <f t="shared" si="2"/>
        <v>100/92 (8)</v>
      </c>
    </row>
    <row r="39" spans="2:12">
      <c r="B39" s="25" t="s">
        <v>138</v>
      </c>
      <c r="C39" s="22">
        <f t="shared" si="3"/>
        <v>1</v>
      </c>
      <c r="D39" s="22">
        <f t="shared" si="4"/>
        <v>1</v>
      </c>
      <c r="E39" s="22">
        <f t="shared" si="5"/>
        <v>1</v>
      </c>
      <c r="F39" s="22">
        <f t="shared" si="6"/>
        <v>1</v>
      </c>
      <c r="G39" s="41">
        <v>0.477</v>
      </c>
      <c r="H39" s="41">
        <v>0.46</v>
      </c>
      <c r="I39" s="6" t="str">
        <f t="shared" si="7"/>
        <v>Доля обработки ТКО в 1пг 2024 г. 48%</v>
      </c>
      <c r="J39" s="6" t="str">
        <f t="shared" si="8"/>
        <v>План по обработке ТКО в 2028 г. 46%</v>
      </c>
      <c r="K39" s="44"/>
      <c r="L39" s="9" t="str">
        <f t="shared" si="2"/>
        <v>46/48 (-2)</v>
      </c>
    </row>
    <row r="40" spans="2:12">
      <c r="B40" s="25" t="s">
        <v>109</v>
      </c>
      <c r="C40" s="22">
        <f t="shared" si="3"/>
        <v>0</v>
      </c>
      <c r="D40" s="22">
        <f t="shared" si="4"/>
        <v>0.5</v>
      </c>
      <c r="E40" s="22">
        <f t="shared" si="5"/>
        <v>1</v>
      </c>
      <c r="F40" s="22">
        <f t="shared" si="6"/>
        <v>0</v>
      </c>
      <c r="G40" s="41">
        <v>0.363</v>
      </c>
      <c r="H40" s="41">
        <v>0.829</v>
      </c>
      <c r="I40" s="6" t="str">
        <f t="shared" si="7"/>
        <v>Доля обработки ТКО в 1пг 2024 г. 36%</v>
      </c>
      <c r="J40" s="6" t="str">
        <f t="shared" si="8"/>
        <v>План по обработке ТКО в 2028 г. 83%</v>
      </c>
      <c r="K40" s="44"/>
      <c r="L40" s="9" t="str">
        <f t="shared" si="2"/>
        <v>83/36 (47)</v>
      </c>
    </row>
    <row r="41" spans="2:12">
      <c r="B41" s="25" t="s">
        <v>76</v>
      </c>
      <c r="C41" s="22">
        <f t="shared" si="3"/>
        <v>2</v>
      </c>
      <c r="D41" s="22">
        <f t="shared" si="4"/>
        <v>1.5</v>
      </c>
      <c r="E41" s="22">
        <f t="shared" si="5"/>
        <v>2</v>
      </c>
      <c r="F41" s="22">
        <f t="shared" si="6"/>
        <v>1</v>
      </c>
      <c r="G41" s="41">
        <v>0</v>
      </c>
      <c r="H41" s="41">
        <v>0.788</v>
      </c>
      <c r="I41" s="6" t="str">
        <f t="shared" si="7"/>
        <v>Доля обработки ТКО в 1пг 2024 г. 0%</v>
      </c>
      <c r="J41" s="6" t="str">
        <f t="shared" si="8"/>
        <v>План по обработке ТКО в 2028 г. 79%</v>
      </c>
      <c r="K41" s="44"/>
      <c r="L41" s="9" t="str">
        <f t="shared" si="2"/>
        <v>79/0 (79)</v>
      </c>
    </row>
    <row r="42" spans="2:12">
      <c r="B42" s="25" t="s">
        <v>89</v>
      </c>
      <c r="C42" s="22">
        <f t="shared" si="3"/>
        <v>0</v>
      </c>
      <c r="D42" s="22">
        <f t="shared" si="4"/>
        <v>0</v>
      </c>
      <c r="E42" s="22">
        <f t="shared" si="5"/>
        <v>0</v>
      </c>
      <c r="F42" s="22">
        <f t="shared" si="6"/>
        <v>0</v>
      </c>
      <c r="G42" s="41">
        <v>0.942</v>
      </c>
      <c r="H42" s="41">
        <v>0.85</v>
      </c>
      <c r="I42" s="6" t="str">
        <f t="shared" si="7"/>
        <v>Доля обработки ТКО в 1пг 2024 г. 94%</v>
      </c>
      <c r="J42" s="6" t="str">
        <f t="shared" si="8"/>
        <v>План по обработке ТКО в 2028 г. 85%</v>
      </c>
      <c r="K42" s="44"/>
      <c r="L42" s="9" t="str">
        <f t="shared" si="2"/>
        <v>85/94 (-9)</v>
      </c>
    </row>
    <row r="43" spans="2:12">
      <c r="B43" s="25" t="s">
        <v>141</v>
      </c>
      <c r="C43" s="22">
        <f t="shared" si="3"/>
        <v>1</v>
      </c>
      <c r="D43" s="22">
        <f t="shared" si="4"/>
        <v>1</v>
      </c>
      <c r="E43" s="22">
        <f t="shared" si="5"/>
        <v>1</v>
      </c>
      <c r="F43" s="22">
        <f t="shared" si="6"/>
        <v>1</v>
      </c>
      <c r="G43" s="41">
        <v>0.458</v>
      </c>
      <c r="H43" s="41">
        <v>0.719</v>
      </c>
      <c r="I43" s="6" t="str">
        <f t="shared" si="7"/>
        <v>Доля обработки ТКО в 1пг 2024 г. 46%</v>
      </c>
      <c r="J43" s="6" t="str">
        <f t="shared" si="8"/>
        <v>План по обработке ТКО в 2028 г. 72%</v>
      </c>
      <c r="K43" s="44"/>
      <c r="L43" s="9" t="str">
        <f t="shared" si="2"/>
        <v>72/46 (26)</v>
      </c>
    </row>
    <row r="44" spans="2:12">
      <c r="B44" s="25" t="s">
        <v>142</v>
      </c>
      <c r="C44" s="22">
        <f t="shared" si="3"/>
        <v>0</v>
      </c>
      <c r="D44" s="22">
        <f t="shared" si="4"/>
        <v>0.5</v>
      </c>
      <c r="E44" s="22">
        <f t="shared" si="5"/>
        <v>1</v>
      </c>
      <c r="F44" s="22">
        <f t="shared" si="6"/>
        <v>0</v>
      </c>
      <c r="G44" s="41">
        <v>0.398</v>
      </c>
      <c r="H44" s="41">
        <v>1</v>
      </c>
      <c r="I44" s="6" t="str">
        <f t="shared" si="7"/>
        <v>Доля обработки ТКО в 1пг 2024 г. 40%</v>
      </c>
      <c r="J44" s="6" t="str">
        <f t="shared" si="8"/>
        <v>План по обработке ТКО в 2028 г. 100%</v>
      </c>
      <c r="K44" s="44"/>
      <c r="L44" s="9" t="str">
        <f t="shared" si="2"/>
        <v>100/40 (60)</v>
      </c>
    </row>
    <row r="45" spans="2:12">
      <c r="B45" s="25" t="s">
        <v>132</v>
      </c>
      <c r="C45" s="22">
        <f t="shared" si="3"/>
        <v>1</v>
      </c>
      <c r="D45" s="22">
        <f t="shared" si="4"/>
        <v>1</v>
      </c>
      <c r="E45" s="22">
        <f t="shared" si="5"/>
        <v>2</v>
      </c>
      <c r="F45" s="22">
        <f t="shared" si="6"/>
        <v>0</v>
      </c>
      <c r="G45" s="41">
        <v>0.188</v>
      </c>
      <c r="H45" s="41">
        <v>1</v>
      </c>
      <c r="I45" s="6" t="str">
        <f t="shared" si="7"/>
        <v>Доля обработки ТКО в 1пг 2024 г. 19%</v>
      </c>
      <c r="J45" s="6" t="str">
        <f t="shared" si="8"/>
        <v>План по обработке ТКО в 2028 г. 100%</v>
      </c>
      <c r="K45" s="44"/>
      <c r="L45" s="9" t="str">
        <f t="shared" si="2"/>
        <v>100/19 (81)</v>
      </c>
    </row>
    <row r="46" spans="2:12">
      <c r="B46" s="25" t="s">
        <v>77</v>
      </c>
      <c r="C46" s="22">
        <f t="shared" si="3"/>
        <v>0</v>
      </c>
      <c r="D46" s="22">
        <f t="shared" si="4"/>
        <v>0.5</v>
      </c>
      <c r="E46" s="22">
        <f t="shared" si="5"/>
        <v>1</v>
      </c>
      <c r="F46" s="22">
        <f t="shared" si="6"/>
        <v>0</v>
      </c>
      <c r="G46" s="41">
        <v>0.375</v>
      </c>
      <c r="H46" s="41">
        <v>1</v>
      </c>
      <c r="I46" s="6" t="str">
        <f t="shared" si="7"/>
        <v>Доля обработки ТКО в 1пг 2024 г. 38%</v>
      </c>
      <c r="J46" s="6" t="str">
        <f t="shared" si="8"/>
        <v>План по обработке ТКО в 2028 г. 100%</v>
      </c>
      <c r="K46" s="44"/>
      <c r="L46" s="9" t="str">
        <f t="shared" si="2"/>
        <v>100/38 (63)</v>
      </c>
    </row>
    <row r="47" spans="2:12">
      <c r="B47" s="25" t="s">
        <v>92</v>
      </c>
      <c r="C47" s="22">
        <f t="shared" si="3"/>
        <v>0</v>
      </c>
      <c r="D47" s="22">
        <f t="shared" si="4"/>
        <v>0</v>
      </c>
      <c r="E47" s="22">
        <f t="shared" si="5"/>
        <v>0</v>
      </c>
      <c r="F47" s="22">
        <f t="shared" si="6"/>
        <v>0</v>
      </c>
      <c r="G47" s="41">
        <v>0.615</v>
      </c>
      <c r="H47" s="41">
        <v>1</v>
      </c>
      <c r="I47" s="6" t="str">
        <f t="shared" si="7"/>
        <v>Доля обработки ТКО в 1пг 2024 г. 62%</v>
      </c>
      <c r="J47" s="6" t="str">
        <f t="shared" si="8"/>
        <v>План по обработке ТКО в 2028 г. 100%</v>
      </c>
      <c r="K47" s="44"/>
      <c r="L47" s="9" t="str">
        <f t="shared" si="2"/>
        <v>100/62 (39)</v>
      </c>
    </row>
    <row r="48" spans="2:12">
      <c r="B48" s="25" t="s">
        <v>101</v>
      </c>
      <c r="C48" s="22">
        <f t="shared" si="3"/>
        <v>1</v>
      </c>
      <c r="D48" s="22">
        <f t="shared" si="4"/>
        <v>1</v>
      </c>
      <c r="E48" s="22">
        <f t="shared" si="5"/>
        <v>1</v>
      </c>
      <c r="F48" s="22">
        <f t="shared" si="6"/>
        <v>1</v>
      </c>
      <c r="G48" s="41">
        <v>0.53</v>
      </c>
      <c r="H48" s="41">
        <v>0.629</v>
      </c>
      <c r="I48" s="6" t="str">
        <f t="shared" si="7"/>
        <v>Доля обработки ТКО в 1пг 2024 г. 53%</v>
      </c>
      <c r="J48" s="6" t="str">
        <f t="shared" si="8"/>
        <v>План по обработке ТКО в 2028 г. 63%</v>
      </c>
      <c r="K48" s="44"/>
      <c r="L48" s="9" t="str">
        <f t="shared" si="2"/>
        <v>63/53 (10)</v>
      </c>
    </row>
    <row r="49" spans="2:12">
      <c r="B49" s="25" t="s">
        <v>162</v>
      </c>
      <c r="C49" s="22">
        <f t="shared" si="3"/>
        <v>0</v>
      </c>
      <c r="D49" s="22">
        <f t="shared" si="4"/>
        <v>0</v>
      </c>
      <c r="E49" s="43">
        <v>0</v>
      </c>
      <c r="F49" s="43">
        <v>0</v>
      </c>
      <c r="G49" s="41"/>
      <c r="H49" s="41"/>
      <c r="I49" s="6" t="str">
        <f t="shared" si="7"/>
        <v>Доля обработки ТКО в 1пг 2024 г. 0%</v>
      </c>
      <c r="J49" s="6" t="str">
        <f t="shared" si="8"/>
        <v>План по обработке ТКО в 2028 г. 0%</v>
      </c>
      <c r="K49" s="44"/>
      <c r="L49" s="9" t="str">
        <f t="shared" si="2"/>
        <v>0/0 (0)</v>
      </c>
    </row>
    <row r="50" spans="2:12">
      <c r="B50" s="25" t="s">
        <v>153</v>
      </c>
      <c r="C50" s="22">
        <f t="shared" si="3"/>
        <v>1</v>
      </c>
      <c r="D50" s="22">
        <f t="shared" si="4"/>
        <v>1</v>
      </c>
      <c r="E50" s="22">
        <f t="shared" si="5"/>
        <v>2</v>
      </c>
      <c r="F50" s="22">
        <f t="shared" si="6"/>
        <v>0</v>
      </c>
      <c r="G50" s="41">
        <v>0</v>
      </c>
      <c r="H50" s="41">
        <v>1</v>
      </c>
      <c r="I50" s="6" t="str">
        <f t="shared" si="7"/>
        <v>Доля обработки ТКО в 1пг 2024 г. 0%</v>
      </c>
      <c r="J50" s="6" t="str">
        <f t="shared" si="8"/>
        <v>План по обработке ТКО в 2028 г. 100%</v>
      </c>
      <c r="K50" s="44"/>
      <c r="L50" s="9" t="str">
        <f t="shared" si="2"/>
        <v>100/0 (100)</v>
      </c>
    </row>
    <row r="51" spans="2:12">
      <c r="B51" s="25" t="s">
        <v>69</v>
      </c>
      <c r="C51" s="22">
        <f t="shared" si="3"/>
        <v>0</v>
      </c>
      <c r="D51" s="22">
        <f t="shared" si="4"/>
        <v>0</v>
      </c>
      <c r="E51" s="22">
        <f t="shared" si="5"/>
        <v>0</v>
      </c>
      <c r="F51" s="22">
        <f t="shared" si="6"/>
        <v>0</v>
      </c>
      <c r="G51" s="41">
        <v>1</v>
      </c>
      <c r="H51" s="41">
        <v>1</v>
      </c>
      <c r="I51" s="6" t="str">
        <f t="shared" si="7"/>
        <v>Доля обработки ТКО в 1пг 2024 г. 100%</v>
      </c>
      <c r="J51" s="6" t="str">
        <f t="shared" si="8"/>
        <v>План по обработке ТКО в 2028 г. 100%</v>
      </c>
      <c r="K51" s="44"/>
      <c r="L51" s="9" t="str">
        <f t="shared" si="2"/>
        <v>100/100 (0)</v>
      </c>
    </row>
    <row r="52" spans="2:12">
      <c r="B52" s="25" t="s">
        <v>72</v>
      </c>
      <c r="C52" s="22">
        <f t="shared" si="3"/>
        <v>0</v>
      </c>
      <c r="D52" s="22">
        <f t="shared" si="4"/>
        <v>0</v>
      </c>
      <c r="E52" s="22">
        <f t="shared" si="5"/>
        <v>0</v>
      </c>
      <c r="F52" s="22">
        <f t="shared" si="6"/>
        <v>0</v>
      </c>
      <c r="G52" s="41">
        <v>0.996</v>
      </c>
      <c r="H52" s="41">
        <v>0.85</v>
      </c>
      <c r="I52" s="6" t="str">
        <f t="shared" si="7"/>
        <v>Доля обработки ТКО в 1пг 2024 г. 100%</v>
      </c>
      <c r="J52" s="6" t="str">
        <f t="shared" si="8"/>
        <v>План по обработке ТКО в 2028 г. 85%</v>
      </c>
      <c r="K52" s="44"/>
      <c r="L52" s="9" t="str">
        <f t="shared" si="2"/>
        <v>85/100 (-15)</v>
      </c>
    </row>
    <row r="53" spans="2:12">
      <c r="B53" s="25" t="s">
        <v>127</v>
      </c>
      <c r="C53" s="22">
        <f t="shared" si="3"/>
        <v>2</v>
      </c>
      <c r="D53" s="22">
        <f t="shared" si="4"/>
        <v>2</v>
      </c>
      <c r="E53" s="22">
        <f t="shared" si="5"/>
        <v>2</v>
      </c>
      <c r="F53" s="22">
        <f t="shared" si="6"/>
        <v>2</v>
      </c>
      <c r="G53" s="41">
        <v>0.128</v>
      </c>
      <c r="H53" s="41">
        <v>0.1</v>
      </c>
      <c r="I53" s="6" t="str">
        <f t="shared" si="7"/>
        <v>Доля обработки ТКО в 1пг 2024 г. 13%</v>
      </c>
      <c r="J53" s="6" t="str">
        <f t="shared" si="8"/>
        <v>План по обработке ТКО в 2028 г. 10%</v>
      </c>
      <c r="K53" s="44"/>
      <c r="L53" s="9" t="str">
        <f t="shared" si="2"/>
        <v>10/13 (-3)</v>
      </c>
    </row>
    <row r="54" spans="2:12">
      <c r="B54" s="25" t="s">
        <v>93</v>
      </c>
      <c r="C54" s="22">
        <f t="shared" si="3"/>
        <v>0</v>
      </c>
      <c r="D54" s="22">
        <f t="shared" si="4"/>
        <v>0</v>
      </c>
      <c r="E54" s="22">
        <f t="shared" si="5"/>
        <v>0</v>
      </c>
      <c r="F54" s="22">
        <f t="shared" si="6"/>
        <v>0</v>
      </c>
      <c r="G54" s="41">
        <v>0.805</v>
      </c>
      <c r="H54" s="41">
        <v>0.96</v>
      </c>
      <c r="I54" s="6" t="str">
        <f t="shared" si="7"/>
        <v>Доля обработки ТКО в 1пг 2024 г. 81%</v>
      </c>
      <c r="J54" s="6" t="str">
        <f t="shared" si="8"/>
        <v>План по обработке ТКО в 2028 г. 96%</v>
      </c>
      <c r="K54" s="44"/>
      <c r="L54" s="9" t="str">
        <f t="shared" si="2"/>
        <v>96/81 (16)</v>
      </c>
    </row>
    <row r="55" spans="2:12">
      <c r="B55" s="25" t="s">
        <v>90</v>
      </c>
      <c r="C55" s="22">
        <f t="shared" si="3"/>
        <v>0</v>
      </c>
      <c r="D55" s="22">
        <f t="shared" si="4"/>
        <v>0.5</v>
      </c>
      <c r="E55" s="22">
        <f t="shared" si="5"/>
        <v>0</v>
      </c>
      <c r="F55" s="22">
        <f t="shared" si="6"/>
        <v>1</v>
      </c>
      <c r="G55" s="41">
        <v>0.814</v>
      </c>
      <c r="H55" s="41">
        <v>0.6</v>
      </c>
      <c r="I55" s="6" t="str">
        <f t="shared" si="7"/>
        <v>Доля обработки ТКО в 1пг 2024 г. 81%</v>
      </c>
      <c r="J55" s="6" t="str">
        <f t="shared" si="8"/>
        <v>План по обработке ТКО в 2028 г. 60%</v>
      </c>
      <c r="K55" s="44"/>
      <c r="L55" s="9" t="str">
        <f t="shared" si="2"/>
        <v>60/81 (-21)</v>
      </c>
    </row>
    <row r="56" spans="2:12">
      <c r="B56" s="25" t="s">
        <v>123</v>
      </c>
      <c r="C56" s="22">
        <f t="shared" si="3"/>
        <v>2</v>
      </c>
      <c r="D56" s="22">
        <f t="shared" si="4"/>
        <v>1.5</v>
      </c>
      <c r="E56" s="22">
        <f t="shared" si="5"/>
        <v>2</v>
      </c>
      <c r="F56" s="22">
        <f t="shared" si="6"/>
        <v>1</v>
      </c>
      <c r="G56" s="41">
        <v>0.096</v>
      </c>
      <c r="H56" s="41">
        <v>0.8</v>
      </c>
      <c r="I56" s="6" t="str">
        <f t="shared" si="7"/>
        <v>Доля обработки ТКО в 1пг 2024 г. 10%</v>
      </c>
      <c r="J56" s="6" t="str">
        <f t="shared" si="8"/>
        <v>План по обработке ТКО в 2028 г. 80%</v>
      </c>
      <c r="K56" s="44"/>
      <c r="L56" s="9" t="str">
        <f t="shared" si="2"/>
        <v>80/10 (70)</v>
      </c>
    </row>
    <row r="57" spans="2:12">
      <c r="B57" s="25" t="s">
        <v>139</v>
      </c>
      <c r="C57" s="22">
        <f t="shared" si="3"/>
        <v>0</v>
      </c>
      <c r="D57" s="22">
        <f t="shared" si="4"/>
        <v>0.5</v>
      </c>
      <c r="E57" s="22">
        <f t="shared" si="5"/>
        <v>1</v>
      </c>
      <c r="F57" s="22">
        <f t="shared" si="6"/>
        <v>0</v>
      </c>
      <c r="G57" s="41">
        <v>0.467</v>
      </c>
      <c r="H57" s="41">
        <v>1</v>
      </c>
      <c r="I57" s="6" t="str">
        <f t="shared" si="7"/>
        <v>Доля обработки ТКО в 1пг 2024 г. 47%</v>
      </c>
      <c r="J57" s="6" t="str">
        <f t="shared" si="8"/>
        <v>План по обработке ТКО в 2028 г. 100%</v>
      </c>
      <c r="K57" s="44"/>
      <c r="L57" s="9" t="str">
        <f t="shared" si="2"/>
        <v>100/47 (53)</v>
      </c>
    </row>
    <row r="58" spans="2:12">
      <c r="B58" s="25" t="s">
        <v>94</v>
      </c>
      <c r="C58" s="22">
        <f t="shared" si="3"/>
        <v>0</v>
      </c>
      <c r="D58" s="22">
        <f t="shared" si="4"/>
        <v>0.5</v>
      </c>
      <c r="E58" s="22">
        <f t="shared" si="5"/>
        <v>0</v>
      </c>
      <c r="F58" s="22">
        <f t="shared" si="6"/>
        <v>1</v>
      </c>
      <c r="G58" s="41">
        <v>0.685</v>
      </c>
      <c r="H58" s="41">
        <v>0.6</v>
      </c>
      <c r="I58" s="6" t="str">
        <f t="shared" si="7"/>
        <v>Доля обработки ТКО в 1пг 2024 г. 69%</v>
      </c>
      <c r="J58" s="6" t="str">
        <f t="shared" si="8"/>
        <v>План по обработке ТКО в 2028 г. 60%</v>
      </c>
      <c r="K58" s="44"/>
      <c r="L58" s="9" t="str">
        <f t="shared" si="2"/>
        <v>60/69 (-9)</v>
      </c>
    </row>
    <row r="59" spans="2:12">
      <c r="B59" s="25" t="s">
        <v>111</v>
      </c>
      <c r="C59" s="22">
        <f t="shared" si="3"/>
        <v>0</v>
      </c>
      <c r="D59" s="22">
        <f t="shared" si="4"/>
        <v>0</v>
      </c>
      <c r="E59" s="22">
        <f t="shared" si="5"/>
        <v>0</v>
      </c>
      <c r="F59" s="22">
        <f t="shared" si="6"/>
        <v>0</v>
      </c>
      <c r="G59" s="41">
        <v>0.626</v>
      </c>
      <c r="H59" s="41">
        <v>0.819</v>
      </c>
      <c r="I59" s="6" t="str">
        <f t="shared" si="7"/>
        <v>Доля обработки ТКО в 1пг 2024 г. 63%</v>
      </c>
      <c r="J59" s="6" t="str">
        <f t="shared" si="8"/>
        <v>План по обработке ТКО в 2028 г. 82%</v>
      </c>
      <c r="K59" s="44"/>
      <c r="L59" s="9" t="str">
        <f t="shared" si="2"/>
        <v>82/63 (19)</v>
      </c>
    </row>
    <row r="60" spans="2:12">
      <c r="B60" s="25" t="s">
        <v>124</v>
      </c>
      <c r="C60" s="22">
        <f t="shared" si="3"/>
        <v>2</v>
      </c>
      <c r="D60" s="22">
        <f t="shared" si="4"/>
        <v>2</v>
      </c>
      <c r="E60" s="22">
        <f t="shared" si="5"/>
        <v>2</v>
      </c>
      <c r="F60" s="22">
        <f t="shared" si="6"/>
        <v>2</v>
      </c>
      <c r="G60" s="41">
        <v>0.184</v>
      </c>
      <c r="H60" s="41">
        <v>0.182</v>
      </c>
      <c r="I60" s="6" t="str">
        <f t="shared" si="7"/>
        <v>Доля обработки ТКО в 1пг 2024 г. 18%</v>
      </c>
      <c r="J60" s="6" t="str">
        <f t="shared" si="8"/>
        <v>План по обработке ТКО в 2028 г. 18%</v>
      </c>
      <c r="K60" s="44"/>
      <c r="L60" s="9" t="str">
        <f t="shared" si="2"/>
        <v>18/18 (0)</v>
      </c>
    </row>
    <row r="61" spans="2:12">
      <c r="B61" s="25" t="s">
        <v>143</v>
      </c>
      <c r="C61" s="22">
        <f t="shared" si="3"/>
        <v>1</v>
      </c>
      <c r="D61" s="22">
        <f t="shared" si="4"/>
        <v>1</v>
      </c>
      <c r="E61" s="22">
        <f t="shared" si="5"/>
        <v>1</v>
      </c>
      <c r="F61" s="22">
        <f t="shared" si="6"/>
        <v>1</v>
      </c>
      <c r="G61" s="41">
        <v>0.311</v>
      </c>
      <c r="H61" s="41">
        <v>0.798</v>
      </c>
      <c r="I61" s="6" t="str">
        <f t="shared" si="7"/>
        <v>Доля обработки ТКО в 1пг 2024 г. 31%</v>
      </c>
      <c r="J61" s="6" t="str">
        <f t="shared" si="8"/>
        <v>План по обработке ТКО в 2028 г. 80%</v>
      </c>
      <c r="K61" s="44"/>
      <c r="L61" s="9" t="str">
        <f t="shared" si="2"/>
        <v>80/31 (49)</v>
      </c>
    </row>
    <row r="62" spans="2:12">
      <c r="B62" s="25" t="s">
        <v>144</v>
      </c>
      <c r="C62" s="22">
        <f t="shared" si="3"/>
        <v>0</v>
      </c>
      <c r="D62" s="22">
        <f t="shared" si="4"/>
        <v>0.5</v>
      </c>
      <c r="E62" s="22">
        <f t="shared" si="5"/>
        <v>1</v>
      </c>
      <c r="F62" s="22">
        <f t="shared" si="6"/>
        <v>0</v>
      </c>
      <c r="G62" s="41">
        <v>0.412</v>
      </c>
      <c r="H62" s="41">
        <v>0.924986</v>
      </c>
      <c r="I62" s="6" t="str">
        <f t="shared" si="7"/>
        <v>Доля обработки ТКО в 1пг 2024 г. 41%</v>
      </c>
      <c r="J62" s="6" t="str">
        <f t="shared" si="8"/>
        <v>План по обработке ТКО в 2028 г. 92%</v>
      </c>
      <c r="K62" s="44"/>
      <c r="L62" s="9" t="str">
        <f t="shared" si="2"/>
        <v>92/41 (51)</v>
      </c>
    </row>
    <row r="63" spans="2:12">
      <c r="B63" s="25" t="s">
        <v>95</v>
      </c>
      <c r="C63" s="22">
        <f t="shared" si="3"/>
        <v>0</v>
      </c>
      <c r="D63" s="22">
        <f t="shared" si="4"/>
        <v>0</v>
      </c>
      <c r="E63" s="22">
        <f t="shared" si="5"/>
        <v>0</v>
      </c>
      <c r="F63" s="22">
        <f t="shared" si="6"/>
        <v>0</v>
      </c>
      <c r="G63" s="41">
        <v>0.592</v>
      </c>
      <c r="H63" s="41">
        <v>1</v>
      </c>
      <c r="I63" s="6" t="str">
        <f t="shared" si="7"/>
        <v>Доля обработки ТКО в 1пг 2024 г. 59%</v>
      </c>
      <c r="J63" s="6" t="str">
        <f t="shared" si="8"/>
        <v>План по обработке ТКО в 2028 г. 100%</v>
      </c>
      <c r="K63" s="44"/>
      <c r="L63" s="9" t="str">
        <f t="shared" si="2"/>
        <v>100/59 (41)</v>
      </c>
    </row>
    <row r="64" spans="2:12">
      <c r="B64" s="25" t="s">
        <v>96</v>
      </c>
      <c r="C64" s="22">
        <f t="shared" si="3"/>
        <v>0</v>
      </c>
      <c r="D64" s="22">
        <f t="shared" si="4"/>
        <v>0</v>
      </c>
      <c r="E64" s="22">
        <f t="shared" si="5"/>
        <v>0</v>
      </c>
      <c r="F64" s="22">
        <f t="shared" si="6"/>
        <v>0</v>
      </c>
      <c r="G64" s="41">
        <v>0.9</v>
      </c>
      <c r="H64" s="41">
        <v>1</v>
      </c>
      <c r="I64" s="6" t="str">
        <f t="shared" si="7"/>
        <v>Доля обработки ТКО в 1пг 2024 г. 90%</v>
      </c>
      <c r="J64" s="6" t="str">
        <f t="shared" si="8"/>
        <v>План по обработке ТКО в 2028 г. 100%</v>
      </c>
      <c r="K64" s="44"/>
      <c r="L64" s="9" t="str">
        <f t="shared" si="2"/>
        <v>100/90 (10)</v>
      </c>
    </row>
    <row r="65" spans="2:12">
      <c r="B65" s="25" t="s">
        <v>147</v>
      </c>
      <c r="C65" s="22">
        <f t="shared" si="3"/>
        <v>2</v>
      </c>
      <c r="D65" s="22">
        <f t="shared" si="4"/>
        <v>1.5</v>
      </c>
      <c r="E65" s="22">
        <f t="shared" si="5"/>
        <v>2</v>
      </c>
      <c r="F65" s="22">
        <f t="shared" si="6"/>
        <v>1</v>
      </c>
      <c r="G65" s="41">
        <v>0</v>
      </c>
      <c r="H65" s="41">
        <v>0.667</v>
      </c>
      <c r="I65" s="6" t="str">
        <f t="shared" si="7"/>
        <v>Доля обработки ТКО в 1пг 2024 г. 0%</v>
      </c>
      <c r="J65" s="6" t="str">
        <f t="shared" si="8"/>
        <v>План по обработке ТКО в 2028 г. 67%</v>
      </c>
      <c r="K65" s="44"/>
      <c r="L65" s="9" t="str">
        <f t="shared" si="2"/>
        <v>67/0 (67)</v>
      </c>
    </row>
    <row r="66" spans="2:12">
      <c r="B66" s="25" t="s">
        <v>88</v>
      </c>
      <c r="C66" s="22">
        <f t="shared" si="3"/>
        <v>1</v>
      </c>
      <c r="D66" s="22">
        <f t="shared" si="4"/>
        <v>1</v>
      </c>
      <c r="E66" s="22">
        <f t="shared" si="5"/>
        <v>1</v>
      </c>
      <c r="F66" s="22">
        <f t="shared" si="6"/>
        <v>1</v>
      </c>
      <c r="G66" s="41">
        <v>0.436</v>
      </c>
      <c r="H66" s="41">
        <v>0.8</v>
      </c>
      <c r="I66" s="6" t="str">
        <f t="shared" si="7"/>
        <v>Доля обработки ТКО в 1пг 2024 г. 44%</v>
      </c>
      <c r="J66" s="6" t="str">
        <f t="shared" si="8"/>
        <v>План по обработке ТКО в 2028 г. 80%</v>
      </c>
      <c r="K66" s="44"/>
      <c r="L66" s="9" t="str">
        <f t="shared" si="2"/>
        <v>80/44 (36)</v>
      </c>
    </row>
    <row r="67" spans="2:12">
      <c r="B67" s="25" t="s">
        <v>157</v>
      </c>
      <c r="C67" s="22">
        <f t="shared" si="3"/>
        <v>2</v>
      </c>
      <c r="D67" s="22">
        <f t="shared" si="4"/>
        <v>1.5</v>
      </c>
      <c r="E67" s="22">
        <f t="shared" si="5"/>
        <v>2</v>
      </c>
      <c r="F67" s="22">
        <f t="shared" si="6"/>
        <v>1</v>
      </c>
      <c r="G67" s="41">
        <v>0</v>
      </c>
      <c r="H67" s="41">
        <v>0.662069</v>
      </c>
      <c r="I67" s="6" t="str">
        <f t="shared" si="7"/>
        <v>Доля обработки ТКО в 1пг 2024 г. 0%</v>
      </c>
      <c r="J67" s="6" t="str">
        <f t="shared" si="8"/>
        <v>План по обработке ТКО в 2028 г. 66%</v>
      </c>
      <c r="K67" s="44"/>
      <c r="L67" s="9" t="str">
        <f t="shared" si="2"/>
        <v>66/0 (66)</v>
      </c>
    </row>
    <row r="68" spans="2:12">
      <c r="B68" s="25" t="s">
        <v>136</v>
      </c>
      <c r="C68" s="22">
        <f t="shared" si="3"/>
        <v>1</v>
      </c>
      <c r="D68" s="22">
        <f t="shared" si="4"/>
        <v>1</v>
      </c>
      <c r="E68" s="22">
        <f t="shared" si="5"/>
        <v>2</v>
      </c>
      <c r="F68" s="22">
        <f t="shared" si="6"/>
        <v>0</v>
      </c>
      <c r="G68" s="41">
        <v>0</v>
      </c>
      <c r="H68" s="41">
        <v>1</v>
      </c>
      <c r="I68" s="6" t="str">
        <f t="shared" si="7"/>
        <v>Доля обработки ТКО в 1пг 2024 г. 0%</v>
      </c>
      <c r="J68" s="6" t="str">
        <f t="shared" si="8"/>
        <v>План по обработке ТКО в 2028 г. 100%</v>
      </c>
      <c r="K68" s="44"/>
      <c r="L68" s="9" t="str">
        <f t="shared" si="2"/>
        <v>100/0 (100)</v>
      </c>
    </row>
    <row r="69" spans="2:12">
      <c r="B69" s="25" t="s">
        <v>158</v>
      </c>
      <c r="C69" s="22">
        <f t="shared" si="3"/>
        <v>1</v>
      </c>
      <c r="D69" s="22">
        <f t="shared" si="4"/>
        <v>1</v>
      </c>
      <c r="E69" s="22">
        <f t="shared" si="5"/>
        <v>2</v>
      </c>
      <c r="F69" s="22">
        <f t="shared" si="6"/>
        <v>0</v>
      </c>
      <c r="G69" s="41">
        <v>1</v>
      </c>
      <c r="H69" s="41">
        <v>1</v>
      </c>
      <c r="I69" s="6" t="str">
        <f t="shared" si="7"/>
        <v>Доля обработки ТКО в 1пг 2024 г. 100%</v>
      </c>
      <c r="J69" s="6" t="str">
        <f t="shared" si="8"/>
        <v>План по обработке ТКО в 2028 г. 100%</v>
      </c>
      <c r="K69" s="44" t="s">
        <v>654</v>
      </c>
      <c r="L69" s="9" t="str">
        <f t="shared" si="2"/>
        <v>100/100 (0)</v>
      </c>
    </row>
    <row r="70" spans="2:12">
      <c r="B70" s="25" t="s">
        <v>120</v>
      </c>
      <c r="C70" s="22">
        <f t="shared" si="3"/>
        <v>1</v>
      </c>
      <c r="D70" s="22">
        <f t="shared" si="4"/>
        <v>1</v>
      </c>
      <c r="E70" s="22">
        <f t="shared" si="5"/>
        <v>2</v>
      </c>
      <c r="F70" s="22">
        <f t="shared" si="6"/>
        <v>0</v>
      </c>
      <c r="G70" s="41">
        <v>0.928</v>
      </c>
      <c r="H70" s="41">
        <v>1</v>
      </c>
      <c r="I70" s="6" t="str">
        <f t="shared" si="7"/>
        <v>Доля обработки ТКО в 1пг 2024 г. 93%</v>
      </c>
      <c r="J70" s="6" t="str">
        <f t="shared" si="8"/>
        <v>План по обработке ТКО в 2028 г. 100%</v>
      </c>
      <c r="K70" s="44" t="s">
        <v>654</v>
      </c>
      <c r="L70" s="9" t="str">
        <f t="shared" si="2"/>
        <v>100/93 (7)</v>
      </c>
    </row>
    <row r="71" spans="2:12">
      <c r="B71" s="25" t="s">
        <v>112</v>
      </c>
      <c r="C71" s="22">
        <f t="shared" si="3"/>
        <v>2</v>
      </c>
      <c r="D71" s="22">
        <f t="shared" si="4"/>
        <v>2</v>
      </c>
      <c r="E71" s="22">
        <f t="shared" si="5"/>
        <v>2</v>
      </c>
      <c r="F71" s="22">
        <f t="shared" si="6"/>
        <v>2</v>
      </c>
      <c r="G71" s="41">
        <v>0.018</v>
      </c>
      <c r="H71" s="41">
        <v>0.22</v>
      </c>
      <c r="I71" s="6" t="str">
        <f t="shared" si="7"/>
        <v>Доля обработки ТКО в 1пг 2024 г. 2%</v>
      </c>
      <c r="J71" s="6" t="str">
        <f t="shared" si="8"/>
        <v>План по обработке ТКО в 2028 г. 22%</v>
      </c>
      <c r="K71" s="44"/>
      <c r="L71" s="9" t="str">
        <f t="shared" si="2"/>
        <v>22/2 (20)</v>
      </c>
    </row>
    <row r="72" spans="2:12">
      <c r="B72" s="25" t="s">
        <v>97</v>
      </c>
      <c r="C72" s="22">
        <f t="shared" si="3"/>
        <v>2</v>
      </c>
      <c r="D72" s="22">
        <f t="shared" si="4"/>
        <v>1.5</v>
      </c>
      <c r="E72" s="22">
        <f t="shared" si="5"/>
        <v>2</v>
      </c>
      <c r="F72" s="22">
        <f t="shared" si="6"/>
        <v>1</v>
      </c>
      <c r="G72" s="41">
        <v>0.007</v>
      </c>
      <c r="H72" s="41">
        <v>0.6886</v>
      </c>
      <c r="I72" s="6" t="str">
        <f t="shared" si="7"/>
        <v>Доля обработки ТКО в 1пг 2024 г. 1%</v>
      </c>
      <c r="J72" s="6" t="str">
        <f t="shared" si="8"/>
        <v>План по обработке ТКО в 2028 г. 69%</v>
      </c>
      <c r="K72" s="44"/>
      <c r="L72" s="9" t="str">
        <f t="shared" si="2"/>
        <v>69/1 (68)</v>
      </c>
    </row>
    <row r="73" spans="2:12">
      <c r="B73" s="25" t="s">
        <v>98</v>
      </c>
      <c r="C73" s="22">
        <f t="shared" si="3"/>
        <v>0</v>
      </c>
      <c r="D73" s="22">
        <f t="shared" si="4"/>
        <v>0.5</v>
      </c>
      <c r="E73" s="22">
        <f t="shared" si="5"/>
        <v>1</v>
      </c>
      <c r="F73" s="22">
        <f t="shared" si="6"/>
        <v>0</v>
      </c>
      <c r="G73" s="41">
        <v>0.338</v>
      </c>
      <c r="H73" s="41">
        <v>1</v>
      </c>
      <c r="I73" s="6" t="str">
        <f t="shared" si="7"/>
        <v>Доля обработки ТКО в 1пг 2024 г. 34%</v>
      </c>
      <c r="J73" s="6" t="str">
        <f t="shared" si="8"/>
        <v>План по обработке ТКО в 2028 г. 100%</v>
      </c>
      <c r="K73" s="44"/>
      <c r="L73" s="9" t="str">
        <f t="shared" si="2"/>
        <v>100/34 (66)</v>
      </c>
    </row>
    <row r="74" spans="2:12">
      <c r="B74" s="25" t="s">
        <v>110</v>
      </c>
      <c r="C74" s="22">
        <f t="shared" si="3"/>
        <v>0</v>
      </c>
      <c r="D74" s="22">
        <f t="shared" si="4"/>
        <v>0.5</v>
      </c>
      <c r="E74" s="22">
        <f t="shared" si="5"/>
        <v>1</v>
      </c>
      <c r="F74" s="22">
        <f t="shared" si="6"/>
        <v>0</v>
      </c>
      <c r="G74" s="41">
        <v>0.337</v>
      </c>
      <c r="H74" s="41">
        <v>0.999</v>
      </c>
      <c r="I74" s="6" t="str">
        <f t="shared" si="7"/>
        <v>Доля обработки ТКО в 1пг 2024 г. 34%</v>
      </c>
      <c r="J74" s="6" t="str">
        <f t="shared" si="8"/>
        <v>План по обработке ТКО в 2028 г. 100%</v>
      </c>
      <c r="K74" s="44"/>
      <c r="L74" s="9" t="str">
        <f t="shared" si="2"/>
        <v>100/34 (66)</v>
      </c>
    </row>
    <row r="75" spans="2:12">
      <c r="B75" s="25" t="s">
        <v>115</v>
      </c>
      <c r="C75" s="22">
        <f t="shared" si="3"/>
        <v>1</v>
      </c>
      <c r="D75" s="22">
        <f t="shared" si="4"/>
        <v>1</v>
      </c>
      <c r="E75" s="22">
        <f t="shared" si="5"/>
        <v>2</v>
      </c>
      <c r="F75" s="22">
        <f t="shared" si="6"/>
        <v>0</v>
      </c>
      <c r="G75" s="41">
        <v>0.085</v>
      </c>
      <c r="H75" s="41">
        <v>1</v>
      </c>
      <c r="I75" s="6" t="str">
        <f t="shared" si="7"/>
        <v>Доля обработки ТКО в 1пг 2024 г. 9%</v>
      </c>
      <c r="J75" s="6" t="str">
        <f t="shared" si="8"/>
        <v>План по обработке ТКО в 2028 г. 100%</v>
      </c>
      <c r="K75" s="44"/>
      <c r="L75" s="9" t="str">
        <f t="shared" si="2"/>
        <v>100/9 (92)</v>
      </c>
    </row>
    <row r="76" spans="2:12">
      <c r="B76" s="25" t="s">
        <v>159</v>
      </c>
      <c r="C76" s="22">
        <f t="shared" si="3"/>
        <v>2</v>
      </c>
      <c r="D76" s="22">
        <f t="shared" si="4"/>
        <v>1.5</v>
      </c>
      <c r="E76" s="22">
        <f t="shared" si="5"/>
        <v>2</v>
      </c>
      <c r="F76" s="22">
        <f t="shared" si="6"/>
        <v>1</v>
      </c>
      <c r="G76" s="41">
        <v>0</v>
      </c>
      <c r="H76" s="41">
        <v>0.49</v>
      </c>
      <c r="I76" s="6" t="str">
        <f t="shared" si="7"/>
        <v>Доля обработки ТКО в 1пг 2024 г. 0%</v>
      </c>
      <c r="J76" s="6" t="str">
        <f t="shared" si="8"/>
        <v>План по обработке ТКО в 2028 г. 49%</v>
      </c>
      <c r="K76" s="44"/>
      <c r="L76" s="9" t="str">
        <f t="shared" si="2"/>
        <v>49/0 (49)</v>
      </c>
    </row>
    <row r="77" spans="2:12">
      <c r="B77" s="25" t="s">
        <v>151</v>
      </c>
      <c r="C77" s="22">
        <f t="shared" si="3"/>
        <v>2</v>
      </c>
      <c r="D77" s="22">
        <f t="shared" si="4"/>
        <v>1.5</v>
      </c>
      <c r="E77" s="22">
        <f t="shared" si="5"/>
        <v>2</v>
      </c>
      <c r="F77" s="22">
        <f t="shared" si="6"/>
        <v>1</v>
      </c>
      <c r="G77" s="41">
        <v>0.043</v>
      </c>
      <c r="H77" s="41">
        <v>0.7</v>
      </c>
      <c r="I77" s="6" t="str">
        <f t="shared" si="7"/>
        <v>Доля обработки ТКО в 1пг 2024 г. 4%</v>
      </c>
      <c r="J77" s="6" t="str">
        <f t="shared" si="8"/>
        <v>План по обработке ТКО в 2028 г. 70%</v>
      </c>
      <c r="K77" s="44"/>
      <c r="L77" s="9" t="str">
        <f t="shared" si="2"/>
        <v>70/4 (66)</v>
      </c>
    </row>
    <row r="78" spans="2:12">
      <c r="B78" s="25" t="s">
        <v>75</v>
      </c>
      <c r="C78" s="22">
        <f t="shared" si="3"/>
        <v>1</v>
      </c>
      <c r="D78" s="22">
        <f t="shared" si="4"/>
        <v>1</v>
      </c>
      <c r="E78" s="22">
        <f t="shared" si="5"/>
        <v>2</v>
      </c>
      <c r="F78" s="22">
        <f t="shared" si="6"/>
        <v>0</v>
      </c>
      <c r="G78" s="41">
        <v>0.271</v>
      </c>
      <c r="H78" s="41">
        <v>1</v>
      </c>
      <c r="I78" s="6" t="str">
        <f t="shared" si="7"/>
        <v>Доля обработки ТКО в 1пг 2024 г. 27%</v>
      </c>
      <c r="J78" s="6" t="str">
        <f t="shared" si="8"/>
        <v>План по обработке ТКО в 2028 г. 100%</v>
      </c>
      <c r="K78" s="44"/>
      <c r="L78" s="9" t="str">
        <f t="shared" si="2"/>
        <v>100/27 (73)</v>
      </c>
    </row>
    <row r="79" spans="2:12">
      <c r="B79" s="25" t="s">
        <v>154</v>
      </c>
      <c r="C79" s="22">
        <f t="shared" si="3"/>
        <v>1</v>
      </c>
      <c r="D79" s="22">
        <f t="shared" si="4"/>
        <v>1</v>
      </c>
      <c r="E79" s="22">
        <f t="shared" si="5"/>
        <v>2</v>
      </c>
      <c r="F79" s="22">
        <f t="shared" si="6"/>
        <v>0</v>
      </c>
      <c r="G79" s="41">
        <v>0</v>
      </c>
      <c r="H79" s="41">
        <v>0.875</v>
      </c>
      <c r="I79" s="6" t="str">
        <f t="shared" si="7"/>
        <v>Доля обработки ТКО в 1пг 2024 г. 0%</v>
      </c>
      <c r="J79" s="6" t="str">
        <f t="shared" si="8"/>
        <v>План по обработке ТКО в 2028 г. 88%</v>
      </c>
      <c r="K79" s="44"/>
      <c r="L79" s="9" t="str">
        <f t="shared" si="2"/>
        <v>88/0 (88)</v>
      </c>
    </row>
    <row r="80" spans="2:12">
      <c r="B80" s="25" t="s">
        <v>152</v>
      </c>
      <c r="C80" s="22">
        <f t="shared" si="3"/>
        <v>2</v>
      </c>
      <c r="D80" s="22">
        <f t="shared" si="4"/>
        <v>1.5</v>
      </c>
      <c r="E80" s="22">
        <f t="shared" si="5"/>
        <v>2</v>
      </c>
      <c r="F80" s="22">
        <f t="shared" si="6"/>
        <v>1</v>
      </c>
      <c r="G80" s="41">
        <v>0</v>
      </c>
      <c r="H80" s="41">
        <v>0.6</v>
      </c>
      <c r="I80" s="6" t="str">
        <f t="shared" si="7"/>
        <v>Доля обработки ТКО в 1пг 2024 г. 0%</v>
      </c>
      <c r="J80" s="6" t="str">
        <f t="shared" si="8"/>
        <v>План по обработке ТКО в 2028 г. 60%</v>
      </c>
      <c r="K80" s="44"/>
      <c r="L80" s="9" t="str">
        <f t="shared" ref="L80:L104" si="9">_xlfn.TEXTJOIN(,0,TEXT(H80*100,"0"),"/",TEXT(G80*100,"0")," (",TEXT((H80-G80)*100,"0"),")")</f>
        <v>60/0 (60)</v>
      </c>
    </row>
    <row r="81" spans="2:12">
      <c r="B81" s="25" t="s">
        <v>140</v>
      </c>
      <c r="C81" s="22">
        <f t="shared" ref="C81:C104" si="10">IF(D81&gt;$D$8,2,IF(D81&gt;$D$9,1,0))</f>
        <v>0</v>
      </c>
      <c r="D81" s="22">
        <f t="shared" ref="D81:D104" si="11">E81*$E$11+F81*$F$11</f>
        <v>0.5</v>
      </c>
      <c r="E81" s="22">
        <f t="shared" ref="E81:E104" si="12">IF(OR(G81&lt;$G$7,K81&lt;&gt;""),2,IF(G81&lt;$G$9,1,0))</f>
        <v>0</v>
      </c>
      <c r="F81" s="22">
        <f t="shared" ref="F81:F104" si="13">IF(H81&lt;$H$7,2,IF(H81&lt;$H$9,1,0))</f>
        <v>1</v>
      </c>
      <c r="G81" s="41">
        <v>0.63</v>
      </c>
      <c r="H81" s="41">
        <v>0.765</v>
      </c>
      <c r="I81" s="6" t="str">
        <f t="shared" ref="I81:I104" si="14">_xlfn.TEXTJOIN(,0,"Доля обработки ТКО в 1пг 2024 г. ",TEXT(G81,"0%"))</f>
        <v>Доля обработки ТКО в 1пг 2024 г. 63%</v>
      </c>
      <c r="J81" s="6" t="str">
        <f t="shared" ref="J81:J104" si="15">_xlfn.TEXTJOIN(,0,"План по обработке ТКО в 2028 г. ",TEXT(H81,"0%"))</f>
        <v>План по обработке ТКО в 2028 г. 77%</v>
      </c>
      <c r="K81" s="44"/>
      <c r="L81" s="9" t="str">
        <f t="shared" si="9"/>
        <v>77/63 (14)</v>
      </c>
    </row>
    <row r="82" spans="2:12">
      <c r="B82" s="25" t="s">
        <v>135</v>
      </c>
      <c r="C82" s="22">
        <f t="shared" si="10"/>
        <v>0</v>
      </c>
      <c r="D82" s="22">
        <f t="shared" si="11"/>
        <v>0</v>
      </c>
      <c r="E82" s="22">
        <f t="shared" si="12"/>
        <v>0</v>
      </c>
      <c r="F82" s="22">
        <f t="shared" si="13"/>
        <v>0</v>
      </c>
      <c r="G82" s="41">
        <v>0.823</v>
      </c>
      <c r="H82" s="41">
        <v>1</v>
      </c>
      <c r="I82" s="6" t="str">
        <f t="shared" si="14"/>
        <v>Доля обработки ТКО в 1пг 2024 г. 82%</v>
      </c>
      <c r="J82" s="6" t="str">
        <f t="shared" si="15"/>
        <v>План по обработке ТКО в 2028 г. 100%</v>
      </c>
      <c r="K82" s="44"/>
      <c r="L82" s="9" t="str">
        <f t="shared" si="9"/>
        <v>100/82 (18)</v>
      </c>
    </row>
    <row r="83" spans="2:12">
      <c r="B83" s="25" t="s">
        <v>100</v>
      </c>
      <c r="C83" s="22">
        <f t="shared" si="10"/>
        <v>0</v>
      </c>
      <c r="D83" s="22">
        <f t="shared" si="11"/>
        <v>0.5</v>
      </c>
      <c r="E83" s="22">
        <f t="shared" si="12"/>
        <v>1</v>
      </c>
      <c r="F83" s="22">
        <f t="shared" si="13"/>
        <v>0</v>
      </c>
      <c r="G83" s="41">
        <v>0.444</v>
      </c>
      <c r="H83" s="41">
        <v>0.821</v>
      </c>
      <c r="I83" s="6" t="str">
        <f t="shared" si="14"/>
        <v>Доля обработки ТКО в 1пг 2024 г. 44%</v>
      </c>
      <c r="J83" s="6" t="str">
        <f t="shared" si="15"/>
        <v>План по обработке ТКО в 2028 г. 82%</v>
      </c>
      <c r="K83" s="44"/>
      <c r="L83" s="9" t="str">
        <f t="shared" si="9"/>
        <v>82/44 (38)</v>
      </c>
    </row>
    <row r="84" spans="2:12">
      <c r="B84" s="25" t="s">
        <v>102</v>
      </c>
      <c r="C84" s="22">
        <f t="shared" si="10"/>
        <v>0</v>
      </c>
      <c r="D84" s="22">
        <f t="shared" si="11"/>
        <v>0</v>
      </c>
      <c r="E84" s="22">
        <f t="shared" si="12"/>
        <v>0</v>
      </c>
      <c r="F84" s="22">
        <f t="shared" si="13"/>
        <v>0</v>
      </c>
      <c r="G84" s="41">
        <v>0.852</v>
      </c>
      <c r="H84" s="41">
        <v>0.831</v>
      </c>
      <c r="I84" s="6" t="str">
        <f t="shared" si="14"/>
        <v>Доля обработки ТКО в 1пг 2024 г. 85%</v>
      </c>
      <c r="J84" s="6" t="str">
        <f t="shared" si="15"/>
        <v>План по обработке ТКО в 2028 г. 83%</v>
      </c>
      <c r="K84" s="44"/>
      <c r="L84" s="9" t="str">
        <f t="shared" si="9"/>
        <v>83/85 (-2)</v>
      </c>
    </row>
    <row r="85" spans="2:12">
      <c r="B85" s="25" t="s">
        <v>130</v>
      </c>
      <c r="C85" s="22">
        <f t="shared" si="10"/>
        <v>1</v>
      </c>
      <c r="D85" s="22">
        <f t="shared" si="11"/>
        <v>1</v>
      </c>
      <c r="E85" s="22">
        <f t="shared" si="12"/>
        <v>1</v>
      </c>
      <c r="F85" s="22">
        <f t="shared" si="13"/>
        <v>1</v>
      </c>
      <c r="G85" s="41">
        <v>0.416</v>
      </c>
      <c r="H85" s="41">
        <v>0.476</v>
      </c>
      <c r="I85" s="6" t="str">
        <f t="shared" si="14"/>
        <v>Доля обработки ТКО в 1пг 2024 г. 42%</v>
      </c>
      <c r="J85" s="6" t="str">
        <f t="shared" si="15"/>
        <v>План по обработке ТКО в 2028 г. 48%</v>
      </c>
      <c r="K85" s="44"/>
      <c r="L85" s="9" t="str">
        <f t="shared" si="9"/>
        <v>48/42 (6)</v>
      </c>
    </row>
    <row r="86" spans="2:12">
      <c r="B86" s="25" t="s">
        <v>122</v>
      </c>
      <c r="C86" s="22">
        <f t="shared" si="10"/>
        <v>2</v>
      </c>
      <c r="D86" s="22">
        <f t="shared" si="11"/>
        <v>1.5</v>
      </c>
      <c r="E86" s="22">
        <f t="shared" si="12"/>
        <v>2</v>
      </c>
      <c r="F86" s="22">
        <f t="shared" si="13"/>
        <v>1</v>
      </c>
      <c r="G86" s="41">
        <v>0.174</v>
      </c>
      <c r="H86" s="41">
        <v>0.41</v>
      </c>
      <c r="I86" s="6" t="str">
        <f t="shared" si="14"/>
        <v>Доля обработки ТКО в 1пг 2024 г. 17%</v>
      </c>
      <c r="J86" s="6" t="str">
        <f t="shared" si="15"/>
        <v>План по обработке ТКО в 2028 г. 41%</v>
      </c>
      <c r="K86" s="44"/>
      <c r="L86" s="9" t="str">
        <f t="shared" si="9"/>
        <v>41/17 (24)</v>
      </c>
    </row>
    <row r="87" spans="2:12">
      <c r="B87" s="25" t="s">
        <v>103</v>
      </c>
      <c r="C87" s="22">
        <f t="shared" si="10"/>
        <v>0</v>
      </c>
      <c r="D87" s="22">
        <f t="shared" si="11"/>
        <v>0.5</v>
      </c>
      <c r="E87" s="22">
        <f t="shared" si="12"/>
        <v>0</v>
      </c>
      <c r="F87" s="22">
        <f t="shared" si="13"/>
        <v>1</v>
      </c>
      <c r="G87" s="41">
        <v>0.598</v>
      </c>
      <c r="H87" s="41">
        <v>0.55</v>
      </c>
      <c r="I87" s="6" t="str">
        <f t="shared" si="14"/>
        <v>Доля обработки ТКО в 1пг 2024 г. 60%</v>
      </c>
      <c r="J87" s="6" t="str">
        <f t="shared" si="15"/>
        <v>План по обработке ТКО в 2028 г. 55%</v>
      </c>
      <c r="K87" s="44"/>
      <c r="L87" s="9" t="str">
        <f t="shared" si="9"/>
        <v>55/60 (-5)</v>
      </c>
    </row>
    <row r="88" spans="2:12">
      <c r="B88" s="25" t="s">
        <v>105</v>
      </c>
      <c r="C88" s="22">
        <f t="shared" si="10"/>
        <v>0</v>
      </c>
      <c r="D88" s="22">
        <f t="shared" si="11"/>
        <v>0</v>
      </c>
      <c r="E88" s="22">
        <f t="shared" si="12"/>
        <v>0</v>
      </c>
      <c r="F88" s="22">
        <f t="shared" si="13"/>
        <v>0</v>
      </c>
      <c r="G88" s="41">
        <v>0.948</v>
      </c>
      <c r="H88" s="41">
        <v>0.9</v>
      </c>
      <c r="I88" s="6" t="str">
        <f t="shared" si="14"/>
        <v>Доля обработки ТКО в 1пг 2024 г. 95%</v>
      </c>
      <c r="J88" s="6" t="str">
        <f t="shared" si="15"/>
        <v>План по обработке ТКО в 2028 г. 90%</v>
      </c>
      <c r="K88" s="44"/>
      <c r="L88" s="9" t="str">
        <f t="shared" si="9"/>
        <v>90/95 (-5)</v>
      </c>
    </row>
    <row r="89" spans="2:12">
      <c r="B89" s="25" t="s">
        <v>125</v>
      </c>
      <c r="C89" s="22">
        <f t="shared" si="10"/>
        <v>0</v>
      </c>
      <c r="D89" s="22">
        <f t="shared" si="11"/>
        <v>0</v>
      </c>
      <c r="E89" s="22">
        <f t="shared" si="12"/>
        <v>0</v>
      </c>
      <c r="F89" s="22">
        <f t="shared" si="13"/>
        <v>0</v>
      </c>
      <c r="G89" s="41">
        <v>0.809</v>
      </c>
      <c r="H89" s="41">
        <v>1</v>
      </c>
      <c r="I89" s="6" t="str">
        <f t="shared" si="14"/>
        <v>Доля обработки ТКО в 1пг 2024 г. 81%</v>
      </c>
      <c r="J89" s="6" t="str">
        <f t="shared" si="15"/>
        <v>План по обработке ТКО в 2028 г. 100%</v>
      </c>
      <c r="K89" s="44"/>
      <c r="L89" s="9" t="str">
        <f t="shared" si="9"/>
        <v>100/81 (19)</v>
      </c>
    </row>
    <row r="90" spans="2:12">
      <c r="B90" s="25" t="s">
        <v>156</v>
      </c>
      <c r="C90" s="22">
        <f t="shared" si="10"/>
        <v>2</v>
      </c>
      <c r="D90" s="22">
        <f t="shared" si="11"/>
        <v>1.5</v>
      </c>
      <c r="E90" s="22">
        <f t="shared" si="12"/>
        <v>1</v>
      </c>
      <c r="F90" s="22">
        <f t="shared" si="13"/>
        <v>2</v>
      </c>
      <c r="G90" s="41">
        <v>0.319</v>
      </c>
      <c r="H90" s="41">
        <v>0.3</v>
      </c>
      <c r="I90" s="6" t="str">
        <f t="shared" si="14"/>
        <v>Доля обработки ТКО в 1пг 2024 г. 32%</v>
      </c>
      <c r="J90" s="6" t="str">
        <f t="shared" si="15"/>
        <v>План по обработке ТКО в 2028 г. 30%</v>
      </c>
      <c r="K90" s="44"/>
      <c r="L90" s="9" t="str">
        <f t="shared" si="9"/>
        <v>30/32 (-2)</v>
      </c>
    </row>
    <row r="91" spans="2:12">
      <c r="B91" s="25" t="s">
        <v>116</v>
      </c>
      <c r="C91" s="22">
        <f t="shared" si="10"/>
        <v>2</v>
      </c>
      <c r="D91" s="22">
        <f t="shared" si="11"/>
        <v>1.5</v>
      </c>
      <c r="E91" s="22">
        <f t="shared" si="12"/>
        <v>2</v>
      </c>
      <c r="F91" s="22">
        <f t="shared" si="13"/>
        <v>1</v>
      </c>
      <c r="G91" s="41">
        <v>0.086</v>
      </c>
      <c r="H91" s="41">
        <v>0.78</v>
      </c>
      <c r="I91" s="6" t="str">
        <f t="shared" si="14"/>
        <v>Доля обработки ТКО в 1пг 2024 г. 9%</v>
      </c>
      <c r="J91" s="6" t="str">
        <f t="shared" si="15"/>
        <v>План по обработке ТКО в 2028 г. 78%</v>
      </c>
      <c r="K91" s="44"/>
      <c r="L91" s="9" t="str">
        <f t="shared" si="9"/>
        <v>78/9 (69)</v>
      </c>
    </row>
    <row r="92" spans="2:12">
      <c r="B92" s="25" t="s">
        <v>73</v>
      </c>
      <c r="C92" s="22">
        <f t="shared" si="10"/>
        <v>0</v>
      </c>
      <c r="D92" s="22">
        <f t="shared" si="11"/>
        <v>0.5</v>
      </c>
      <c r="E92" s="22">
        <f t="shared" si="12"/>
        <v>1</v>
      </c>
      <c r="F92" s="22">
        <f t="shared" si="13"/>
        <v>0</v>
      </c>
      <c r="G92" s="41">
        <v>0.414</v>
      </c>
      <c r="H92" s="41">
        <v>1</v>
      </c>
      <c r="I92" s="6" t="str">
        <f t="shared" si="14"/>
        <v>Доля обработки ТКО в 1пг 2024 г. 41%</v>
      </c>
      <c r="J92" s="6" t="str">
        <f t="shared" si="15"/>
        <v>План по обработке ТКО в 2028 г. 100%</v>
      </c>
      <c r="K92" s="44"/>
      <c r="L92" s="9" t="str">
        <f t="shared" si="9"/>
        <v>100/41 (59)</v>
      </c>
    </row>
    <row r="93" spans="2:12">
      <c r="B93" s="25" t="s">
        <v>83</v>
      </c>
      <c r="C93" s="22">
        <f t="shared" si="10"/>
        <v>0</v>
      </c>
      <c r="D93" s="22">
        <f t="shared" si="11"/>
        <v>0</v>
      </c>
      <c r="E93" s="22">
        <f t="shared" si="12"/>
        <v>0</v>
      </c>
      <c r="F93" s="22">
        <f t="shared" si="13"/>
        <v>0</v>
      </c>
      <c r="G93" s="41">
        <v>1</v>
      </c>
      <c r="H93" s="41">
        <v>0.95</v>
      </c>
      <c r="I93" s="6" t="str">
        <f t="shared" si="14"/>
        <v>Доля обработки ТКО в 1пг 2024 г. 100%</v>
      </c>
      <c r="J93" s="6" t="str">
        <f t="shared" si="15"/>
        <v>План по обработке ТКО в 2028 г. 95%</v>
      </c>
      <c r="K93" s="44"/>
      <c r="L93" s="9" t="str">
        <f t="shared" si="9"/>
        <v>95/100 (-5)</v>
      </c>
    </row>
    <row r="94" spans="2:12">
      <c r="B94" s="25" t="s">
        <v>99</v>
      </c>
      <c r="C94" s="22">
        <f t="shared" si="10"/>
        <v>0</v>
      </c>
      <c r="D94" s="22">
        <f t="shared" si="11"/>
        <v>0.5</v>
      </c>
      <c r="E94" s="22">
        <f t="shared" si="12"/>
        <v>0</v>
      </c>
      <c r="F94" s="22">
        <f t="shared" si="13"/>
        <v>1</v>
      </c>
      <c r="G94" s="41">
        <v>0.735</v>
      </c>
      <c r="H94" s="41">
        <v>0.679</v>
      </c>
      <c r="I94" s="6" t="str">
        <f t="shared" si="14"/>
        <v>Доля обработки ТКО в 1пг 2024 г. 74%</v>
      </c>
      <c r="J94" s="6" t="str">
        <f t="shared" si="15"/>
        <v>План по обработке ТКО в 2028 г. 68%</v>
      </c>
      <c r="K94" s="44"/>
      <c r="L94" s="9" t="str">
        <f t="shared" si="9"/>
        <v>68/74 (-6)</v>
      </c>
    </row>
    <row r="95" spans="2:12">
      <c r="B95" s="25" t="s">
        <v>128</v>
      </c>
      <c r="C95" s="22">
        <f t="shared" si="10"/>
        <v>0</v>
      </c>
      <c r="D95" s="22">
        <f t="shared" si="11"/>
        <v>0.5</v>
      </c>
      <c r="E95" s="22">
        <f t="shared" si="12"/>
        <v>0</v>
      </c>
      <c r="F95" s="22">
        <f t="shared" si="13"/>
        <v>1</v>
      </c>
      <c r="G95" s="41">
        <v>0.863</v>
      </c>
      <c r="H95" s="41">
        <v>0.6</v>
      </c>
      <c r="I95" s="6" t="str">
        <f t="shared" si="14"/>
        <v>Доля обработки ТКО в 1пг 2024 г. 86%</v>
      </c>
      <c r="J95" s="6" t="str">
        <f t="shared" si="15"/>
        <v>План по обработке ТКО в 2028 г. 60%</v>
      </c>
      <c r="K95" s="44"/>
      <c r="L95" s="9" t="str">
        <f t="shared" si="9"/>
        <v>60/86 (-26)</v>
      </c>
    </row>
    <row r="96" spans="2:12">
      <c r="B96" s="25" t="s">
        <v>145</v>
      </c>
      <c r="C96" s="22">
        <f t="shared" si="10"/>
        <v>2</v>
      </c>
      <c r="D96" s="22">
        <f t="shared" si="11"/>
        <v>1.5</v>
      </c>
      <c r="E96" s="22">
        <f t="shared" si="12"/>
        <v>2</v>
      </c>
      <c r="F96" s="22">
        <f t="shared" si="13"/>
        <v>1</v>
      </c>
      <c r="G96" s="41">
        <v>0.259</v>
      </c>
      <c r="H96" s="41">
        <v>0.731</v>
      </c>
      <c r="I96" s="6" t="str">
        <f t="shared" si="14"/>
        <v>Доля обработки ТКО в 1пг 2024 г. 26%</v>
      </c>
      <c r="J96" s="6" t="str">
        <f t="shared" si="15"/>
        <v>План по обработке ТКО в 2028 г. 73%</v>
      </c>
      <c r="K96" s="44"/>
      <c r="L96" s="9" t="str">
        <f t="shared" si="9"/>
        <v>73/26 (47)</v>
      </c>
    </row>
    <row r="97" spans="2:12">
      <c r="B97" s="25" t="s">
        <v>84</v>
      </c>
      <c r="C97" s="22">
        <f t="shared" si="10"/>
        <v>1</v>
      </c>
      <c r="D97" s="22">
        <f t="shared" si="11"/>
        <v>1</v>
      </c>
      <c r="E97" s="22">
        <f t="shared" si="12"/>
        <v>1</v>
      </c>
      <c r="F97" s="22">
        <f t="shared" si="13"/>
        <v>1</v>
      </c>
      <c r="G97" s="41">
        <v>0.323</v>
      </c>
      <c r="H97" s="41">
        <v>0.406</v>
      </c>
      <c r="I97" s="6" t="str">
        <f t="shared" si="14"/>
        <v>Доля обработки ТКО в 1пг 2024 г. 32%</v>
      </c>
      <c r="J97" s="6" t="str">
        <f t="shared" si="15"/>
        <v>План по обработке ТКО в 2028 г. 41%</v>
      </c>
      <c r="K97" s="44"/>
      <c r="L97" s="9" t="str">
        <f t="shared" si="9"/>
        <v>41/32 (8)</v>
      </c>
    </row>
    <row r="98" spans="2:12">
      <c r="B98" s="25" t="s">
        <v>163</v>
      </c>
      <c r="C98" s="22">
        <f t="shared" si="10"/>
        <v>0</v>
      </c>
      <c r="D98" s="22">
        <f t="shared" si="11"/>
        <v>0</v>
      </c>
      <c r="E98" s="43">
        <v>0</v>
      </c>
      <c r="F98" s="43">
        <v>0</v>
      </c>
      <c r="G98" s="41"/>
      <c r="H98" s="41"/>
      <c r="I98" s="6" t="str">
        <f t="shared" si="14"/>
        <v>Доля обработки ТКО в 1пг 2024 г. 0%</v>
      </c>
      <c r="J98" s="6" t="str">
        <f t="shared" si="15"/>
        <v>План по обработке ТКО в 2028 г. 0%</v>
      </c>
      <c r="K98" s="44"/>
      <c r="L98" s="9" t="str">
        <f t="shared" si="9"/>
        <v>0/0 (0)</v>
      </c>
    </row>
    <row r="99" spans="2:12">
      <c r="B99" s="25" t="s">
        <v>79</v>
      </c>
      <c r="C99" s="22">
        <f t="shared" si="10"/>
        <v>0</v>
      </c>
      <c r="D99" s="22">
        <f t="shared" si="11"/>
        <v>0</v>
      </c>
      <c r="E99" s="22">
        <f t="shared" si="12"/>
        <v>0</v>
      </c>
      <c r="F99" s="22">
        <f t="shared" si="13"/>
        <v>0</v>
      </c>
      <c r="G99" s="41">
        <v>0.683</v>
      </c>
      <c r="H99" s="41">
        <v>0.808</v>
      </c>
      <c r="I99" s="6" t="str">
        <f t="shared" si="14"/>
        <v>Доля обработки ТКО в 1пг 2024 г. 68%</v>
      </c>
      <c r="J99" s="6" t="str">
        <f t="shared" si="15"/>
        <v>План по обработке ТКО в 2028 г. 81%</v>
      </c>
      <c r="K99" s="44"/>
      <c r="L99" s="9" t="str">
        <f t="shared" si="9"/>
        <v>81/68 (13)</v>
      </c>
    </row>
    <row r="100" spans="2:12">
      <c r="B100" s="25" t="s">
        <v>117</v>
      </c>
      <c r="C100" s="22">
        <f t="shared" si="10"/>
        <v>1</v>
      </c>
      <c r="D100" s="22">
        <f t="shared" si="11"/>
        <v>1</v>
      </c>
      <c r="E100" s="22">
        <f t="shared" si="12"/>
        <v>1</v>
      </c>
      <c r="F100" s="22">
        <f t="shared" si="13"/>
        <v>1</v>
      </c>
      <c r="G100" s="41">
        <v>0.514</v>
      </c>
      <c r="H100" s="41">
        <v>0.5</v>
      </c>
      <c r="I100" s="6" t="str">
        <f t="shared" si="14"/>
        <v>Доля обработки ТКО в 1пг 2024 г. 51%</v>
      </c>
      <c r="J100" s="6" t="str">
        <f t="shared" si="15"/>
        <v>План по обработке ТКО в 2028 г. 50%</v>
      </c>
      <c r="K100" s="44"/>
      <c r="L100" s="9" t="str">
        <f t="shared" si="9"/>
        <v>50/51 (-1)</v>
      </c>
    </row>
    <row r="101" spans="2:12">
      <c r="B101" s="25" t="s">
        <v>82</v>
      </c>
      <c r="C101" s="22">
        <f t="shared" si="10"/>
        <v>0</v>
      </c>
      <c r="D101" s="22">
        <f t="shared" si="11"/>
        <v>0.5</v>
      </c>
      <c r="E101" s="22">
        <f t="shared" si="12"/>
        <v>0</v>
      </c>
      <c r="F101" s="22">
        <f t="shared" si="13"/>
        <v>1</v>
      </c>
      <c r="G101" s="41">
        <v>0.67</v>
      </c>
      <c r="H101" s="41">
        <v>0.7</v>
      </c>
      <c r="I101" s="6" t="str">
        <f t="shared" si="14"/>
        <v>Доля обработки ТКО в 1пг 2024 г. 67%</v>
      </c>
      <c r="J101" s="6" t="str">
        <f t="shared" si="15"/>
        <v>План по обработке ТКО в 2028 г. 70%</v>
      </c>
      <c r="K101" s="44"/>
      <c r="L101" s="9" t="str">
        <f t="shared" si="9"/>
        <v>70/67 (3)</v>
      </c>
    </row>
    <row r="102" spans="2:12">
      <c r="B102" s="25" t="s">
        <v>149</v>
      </c>
      <c r="C102" s="22">
        <f t="shared" si="10"/>
        <v>2</v>
      </c>
      <c r="D102" s="22">
        <f t="shared" si="11"/>
        <v>1.5</v>
      </c>
      <c r="E102" s="22">
        <f t="shared" si="12"/>
        <v>2</v>
      </c>
      <c r="F102" s="22">
        <f t="shared" si="13"/>
        <v>1</v>
      </c>
      <c r="G102" s="41">
        <v>0.244</v>
      </c>
      <c r="H102" s="41">
        <v>0.661</v>
      </c>
      <c r="I102" s="6" t="str">
        <f t="shared" si="14"/>
        <v>Доля обработки ТКО в 1пг 2024 г. 24%</v>
      </c>
      <c r="J102" s="6" t="str">
        <f t="shared" si="15"/>
        <v>План по обработке ТКО в 2028 г. 66%</v>
      </c>
      <c r="K102" s="44"/>
      <c r="L102" s="9" t="str">
        <f t="shared" si="9"/>
        <v>66/24 (42)</v>
      </c>
    </row>
    <row r="103" spans="2:12">
      <c r="B103" s="25" t="s">
        <v>114</v>
      </c>
      <c r="C103" s="22">
        <f t="shared" si="10"/>
        <v>0</v>
      </c>
      <c r="D103" s="22">
        <f t="shared" si="11"/>
        <v>0.5</v>
      </c>
      <c r="E103" s="22">
        <f t="shared" si="12"/>
        <v>1</v>
      </c>
      <c r="F103" s="22">
        <f t="shared" si="13"/>
        <v>0</v>
      </c>
      <c r="G103" s="41">
        <v>0.4</v>
      </c>
      <c r="H103" s="41">
        <v>0.9</v>
      </c>
      <c r="I103" s="6" t="str">
        <f t="shared" si="14"/>
        <v>Доля обработки ТКО в 1пг 2024 г. 40%</v>
      </c>
      <c r="J103" s="6" t="str">
        <f t="shared" si="15"/>
        <v>План по обработке ТКО в 2028 г. 90%</v>
      </c>
      <c r="K103" s="44"/>
      <c r="L103" s="9" t="str">
        <f t="shared" si="9"/>
        <v>90/40 (50)</v>
      </c>
    </row>
    <row r="104" spans="2:12">
      <c r="B104" s="25" t="s">
        <v>80</v>
      </c>
      <c r="C104" s="22">
        <f t="shared" si="10"/>
        <v>0</v>
      </c>
      <c r="D104" s="22">
        <f t="shared" si="11"/>
        <v>0.5</v>
      </c>
      <c r="E104" s="22">
        <f t="shared" si="12"/>
        <v>0</v>
      </c>
      <c r="F104" s="22">
        <f t="shared" si="13"/>
        <v>1</v>
      </c>
      <c r="G104" s="41">
        <v>0.62</v>
      </c>
      <c r="H104" s="41">
        <v>0.61</v>
      </c>
      <c r="I104" s="6" t="str">
        <f t="shared" si="14"/>
        <v>Доля обработки ТКО в 1пг 2024 г. 62%</v>
      </c>
      <c r="J104" s="6" t="str">
        <f t="shared" si="15"/>
        <v>План по обработке ТКО в 2028 г. 61%</v>
      </c>
      <c r="K104" s="44"/>
      <c r="L104" s="9" t="str">
        <f t="shared" si="9"/>
        <v>61/62 (-1)</v>
      </c>
    </row>
    <row r="107" spans="2:2">
      <c r="B107" s="25"/>
    </row>
  </sheetData>
  <pageMargins left="0.7" right="0.7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2"/>
  <dimension ref="B2:U107"/>
  <sheetViews>
    <sheetView workbookViewId="0">
      <pane xSplit="2" ySplit="15" topLeftCell="C16" activePane="bottomRight" state="frozen"/>
      <selection/>
      <selection pane="topRight"/>
      <selection pane="bottomLeft"/>
      <selection pane="bottomRight" activeCell="G15" sqref="G15:H104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6" width="13.5" style="7" customWidth="1"/>
    <col min="7" max="7" width="13.5" style="17" customWidth="1"/>
    <col min="8" max="8" width="13.5" style="9" customWidth="1"/>
    <col min="9" max="9" width="51.6416666666667" style="6" customWidth="1"/>
    <col min="10" max="10" width="51" style="6" customWidth="1"/>
    <col min="11" max="11" width="26.3583333333333" style="6" customWidth="1"/>
    <col min="12" max="12" width="12.1416666666667" style="9" customWidth="1"/>
    <col min="13" max="16384" width="10.8583333333333" style="6"/>
  </cols>
  <sheetData>
    <row r="2" ht="15.6" spans="2:2">
      <c r="B2" s="4" t="s">
        <v>655</v>
      </c>
    </row>
    <row r="4" s="4" customFormat="1" ht="15.6" spans="2:21">
      <c r="B4" s="4" t="s">
        <v>170</v>
      </c>
      <c r="C4" s="12" t="s">
        <v>171</v>
      </c>
      <c r="D4" s="12"/>
      <c r="E4" s="13"/>
      <c r="F4" s="13"/>
      <c r="G4" s="12"/>
      <c r="H4" s="12"/>
      <c r="I4" s="14"/>
      <c r="J4" s="14"/>
      <c r="K4" s="14"/>
      <c r="L4" s="14"/>
      <c r="M4" s="14"/>
      <c r="N4" s="14"/>
      <c r="O4" s="28"/>
      <c r="P4" s="28"/>
      <c r="Q4" s="28"/>
      <c r="R4" s="28"/>
      <c r="S4" s="28"/>
      <c r="T4" s="28"/>
      <c r="U4" s="28"/>
    </row>
    <row r="5" spans="2:21">
      <c r="B5" s="6" t="s">
        <v>656</v>
      </c>
      <c r="C5" s="15">
        <v>45566</v>
      </c>
      <c r="E5" s="8"/>
      <c r="F5" s="8"/>
      <c r="G5" s="7"/>
      <c r="H5" s="7"/>
      <c r="I5" s="9"/>
      <c r="J5" s="9"/>
      <c r="K5" s="9"/>
      <c r="M5" s="9"/>
      <c r="N5" s="9"/>
      <c r="O5" s="11"/>
      <c r="P5" s="11"/>
      <c r="Q5" s="11"/>
      <c r="R5" s="11"/>
      <c r="S5" s="11"/>
      <c r="T5" s="11"/>
      <c r="U5" s="11"/>
    </row>
    <row r="7" spans="2:8">
      <c r="B7" s="6" t="s">
        <v>173</v>
      </c>
      <c r="G7" s="17">
        <f>G9/2</f>
        <v>0.0695</v>
      </c>
      <c r="H7" s="39">
        <f>H9/2</f>
        <v>0.143</v>
      </c>
    </row>
    <row r="8" spans="2:8">
      <c r="B8" s="6" t="s">
        <v>174</v>
      </c>
      <c r="D8" s="11">
        <v>1</v>
      </c>
      <c r="H8" s="6"/>
    </row>
    <row r="9" spans="2:8">
      <c r="B9" s="6" t="s">
        <v>175</v>
      </c>
      <c r="D9" s="11">
        <v>0.5</v>
      </c>
      <c r="G9" s="17">
        <f>G15</f>
        <v>0.139</v>
      </c>
      <c r="H9" s="39">
        <f>H15</f>
        <v>0.286</v>
      </c>
    </row>
    <row r="10" spans="2:8">
      <c r="B10" s="6" t="s">
        <v>176</v>
      </c>
      <c r="H10" s="16"/>
    </row>
    <row r="11" spans="2:6">
      <c r="B11" s="6" t="s">
        <v>177</v>
      </c>
      <c r="C11" s="17"/>
      <c r="E11" s="17">
        <v>0.5</v>
      </c>
      <c r="F11" s="17">
        <v>0.5</v>
      </c>
    </row>
    <row r="12" spans="3:8">
      <c r="C12" s="17"/>
      <c r="E12" s="17"/>
      <c r="F12" s="17"/>
      <c r="H12" s="6"/>
    </row>
    <row r="14" s="5" customFormat="1" ht="45" spans="2:12">
      <c r="B14" s="5" t="s">
        <v>2</v>
      </c>
      <c r="C14" s="19" t="s">
        <v>178</v>
      </c>
      <c r="D14" s="19" t="s">
        <v>179</v>
      </c>
      <c r="E14" s="19" t="s">
        <v>657</v>
      </c>
      <c r="F14" s="19" t="s">
        <v>658</v>
      </c>
      <c r="G14" s="40" t="s">
        <v>659</v>
      </c>
      <c r="H14" s="21" t="s">
        <v>660</v>
      </c>
      <c r="I14" s="30" t="s">
        <v>661</v>
      </c>
      <c r="J14" s="30" t="s">
        <v>662</v>
      </c>
      <c r="K14" s="30" t="s">
        <v>663</v>
      </c>
      <c r="L14" s="30" t="s">
        <v>214</v>
      </c>
    </row>
    <row r="15" s="5" customFormat="1" spans="2:12">
      <c r="B15" s="5" t="s">
        <v>182</v>
      </c>
      <c r="C15" s="22"/>
      <c r="D15" s="22"/>
      <c r="E15" s="22"/>
      <c r="F15" s="22"/>
      <c r="G15" s="41">
        <v>0.139</v>
      </c>
      <c r="H15" s="41">
        <v>0.286</v>
      </c>
      <c r="I15" s="6" t="str">
        <f>_xlfn.TEXTJOIN(,0,"Доля утилизации и обезвреживания ТКО в 1пг 2024 г. ",TEXT(G15,"0%"),)</f>
        <v>Доля утилизации и обезвреживания ТКО в 1пг 2024 г. 14%</v>
      </c>
      <c r="J15" s="6" t="str">
        <f>_xlfn.TEXTJOIN(,0,"План по утилизации и обезвреживания ТКО в 2028 г. ",TEXT(H15,"0%"))</f>
        <v>План по утилизации и обезвреживания ТКО в 2028 г. 29%</v>
      </c>
      <c r="K15" s="6"/>
      <c r="L15" s="9" t="str">
        <f>_xlfn.TEXTJOIN(,0,TEXT(H15*100,"0"),"/",TEXT(G15*100,"0"),"  (",TEXT((H15-G15)*100,"0"),")")</f>
        <v>29/14  (15)</v>
      </c>
    </row>
    <row r="16" spans="2:12">
      <c r="B16" s="25" t="s">
        <v>146</v>
      </c>
      <c r="C16" s="22">
        <f>IF(D16&gt;$D$8,2,IF(D16&gt;$D$9,1,0))</f>
        <v>1</v>
      </c>
      <c r="D16" s="42">
        <f>E16*$E$11+F16*$F$11</f>
        <v>1</v>
      </c>
      <c r="E16" s="22">
        <f>IF(OR(G16&lt;$G$7,K16&lt;&gt;""),2,IF(G16&lt;$G$9,1,0))</f>
        <v>2</v>
      </c>
      <c r="F16" s="22">
        <f>IF(H16&lt;$H$7,2,IF(H16&lt;$H$9,1,0))</f>
        <v>0</v>
      </c>
      <c r="G16" s="41">
        <v>0</v>
      </c>
      <c r="H16" s="41">
        <v>0.47</v>
      </c>
      <c r="I16" s="6" t="str">
        <f t="shared" ref="I16:I79" si="0">_xlfn.TEXTJOIN(,0,"Доля утилизации и обезвреживания ТКО в 1пг 2024 г. ",TEXT(G16,"0%"),)</f>
        <v>Доля утилизации и обезвреживания ТКО в 1пг 2024 г. 0%</v>
      </c>
      <c r="J16" s="6" t="str">
        <f t="shared" ref="J16:J79" si="1">_xlfn.TEXTJOIN(,0,"План по утилизации и обезвреживания ТКО в 2028 г. ",TEXT(H16,"0%"))</f>
        <v>План по утилизации и обезвреживания ТКО в 2028 г. 47%</v>
      </c>
      <c r="K16" s="44"/>
      <c r="L16" s="9" t="str">
        <f t="shared" ref="L16:L79" si="2">_xlfn.TEXTJOIN(,0,TEXT(H16*100,"0"),"/",TEXT(G16*100,"0"),"  (",TEXT((H16-G16)*100,"0"),")")</f>
        <v>47/0  (47)</v>
      </c>
    </row>
    <row r="17" spans="2:12">
      <c r="B17" s="25" t="s">
        <v>150</v>
      </c>
      <c r="C17" s="22">
        <f t="shared" ref="C17:C80" si="3">IF(D17&gt;$D$8,2,IF(D17&gt;$D$9,1,0))</f>
        <v>2</v>
      </c>
      <c r="D17" s="42">
        <f t="shared" ref="D17:D80" si="4">E17*$E$11+F17*$F$11</f>
        <v>2</v>
      </c>
      <c r="E17" s="22">
        <f t="shared" ref="E17:E80" si="5">IF(OR(G17&lt;$G$7,K17&lt;&gt;""),2,IF(G17&lt;$G$9,1,0))</f>
        <v>2</v>
      </c>
      <c r="F17" s="22">
        <f t="shared" ref="F17:F80" si="6">IF(H17&lt;$H$7,2,IF(H17&lt;$H$9,1,0))</f>
        <v>2</v>
      </c>
      <c r="G17" s="41">
        <v>0</v>
      </c>
      <c r="H17" s="41">
        <v>0.1</v>
      </c>
      <c r="I17" s="6" t="str">
        <f t="shared" si="0"/>
        <v>Доля утилизации и обезвреживания ТКО в 1пг 2024 г. 0%</v>
      </c>
      <c r="J17" s="6" t="str">
        <f t="shared" si="1"/>
        <v>План по утилизации и обезвреживания ТКО в 2028 г. 10%</v>
      </c>
      <c r="K17" s="44"/>
      <c r="L17" s="9" t="str">
        <f t="shared" si="2"/>
        <v>10/0  (10)</v>
      </c>
    </row>
    <row r="18" spans="2:12">
      <c r="B18" s="25" t="s">
        <v>133</v>
      </c>
      <c r="C18" s="22">
        <f t="shared" si="3"/>
        <v>1</v>
      </c>
      <c r="D18" s="42">
        <f t="shared" si="4"/>
        <v>1</v>
      </c>
      <c r="E18" s="22">
        <f t="shared" si="5"/>
        <v>2</v>
      </c>
      <c r="F18" s="22">
        <f t="shared" si="6"/>
        <v>0</v>
      </c>
      <c r="G18" s="41">
        <v>0.003</v>
      </c>
      <c r="H18" s="41">
        <v>0.55</v>
      </c>
      <c r="I18" s="6" t="str">
        <f t="shared" si="0"/>
        <v>Доля утилизации и обезвреживания ТКО в 1пг 2024 г. 0%</v>
      </c>
      <c r="J18" s="6" t="str">
        <f t="shared" si="1"/>
        <v>План по утилизации и обезвреживания ТКО в 2028 г. 55%</v>
      </c>
      <c r="K18" s="44"/>
      <c r="L18" s="9" t="str">
        <f t="shared" si="2"/>
        <v>55/0  (55)</v>
      </c>
    </row>
    <row r="19" spans="2:12">
      <c r="B19" s="25" t="s">
        <v>121</v>
      </c>
      <c r="C19" s="22">
        <f t="shared" si="3"/>
        <v>1</v>
      </c>
      <c r="D19" s="42">
        <f t="shared" si="4"/>
        <v>1</v>
      </c>
      <c r="E19" s="22">
        <f t="shared" si="5"/>
        <v>1</v>
      </c>
      <c r="F19" s="22">
        <f t="shared" si="6"/>
        <v>1</v>
      </c>
      <c r="G19" s="41">
        <v>0.13</v>
      </c>
      <c r="H19" s="41">
        <v>0.251</v>
      </c>
      <c r="I19" s="6" t="str">
        <f t="shared" si="0"/>
        <v>Доля утилизации и обезвреживания ТКО в 1пг 2024 г. 13%</v>
      </c>
      <c r="J19" s="6" t="str">
        <f t="shared" si="1"/>
        <v>План по утилизации и обезвреживания ТКО в 2028 г. 25%</v>
      </c>
      <c r="K19" s="44"/>
      <c r="L19" s="9" t="str">
        <f t="shared" si="2"/>
        <v>25/13  (12)</v>
      </c>
    </row>
    <row r="20" spans="2:12">
      <c r="B20" s="25" t="s">
        <v>106</v>
      </c>
      <c r="C20" s="22">
        <f t="shared" si="3"/>
        <v>2</v>
      </c>
      <c r="D20" s="42">
        <f t="shared" si="4"/>
        <v>2</v>
      </c>
      <c r="E20" s="22">
        <f t="shared" si="5"/>
        <v>2</v>
      </c>
      <c r="F20" s="22">
        <f t="shared" si="6"/>
        <v>2</v>
      </c>
      <c r="G20" s="41">
        <v>0.064</v>
      </c>
      <c r="H20" s="41">
        <v>0.046</v>
      </c>
      <c r="I20" s="6" t="str">
        <f t="shared" si="0"/>
        <v>Доля утилизации и обезвреживания ТКО в 1пг 2024 г. 6%</v>
      </c>
      <c r="J20" s="6" t="str">
        <f t="shared" si="1"/>
        <v>План по утилизации и обезвреживания ТКО в 2028 г. 5%</v>
      </c>
      <c r="K20" s="44"/>
      <c r="L20" s="9" t="str">
        <f t="shared" si="2"/>
        <v>5/6  (-2)</v>
      </c>
    </row>
    <row r="21" spans="2:12">
      <c r="B21" s="25" t="s">
        <v>91</v>
      </c>
      <c r="C21" s="22">
        <f t="shared" si="3"/>
        <v>1</v>
      </c>
      <c r="D21" s="42">
        <f t="shared" si="4"/>
        <v>1</v>
      </c>
      <c r="E21" s="22">
        <f t="shared" si="5"/>
        <v>2</v>
      </c>
      <c r="F21" s="22">
        <f t="shared" si="6"/>
        <v>0</v>
      </c>
      <c r="G21" s="41">
        <v>0.037</v>
      </c>
      <c r="H21" s="41">
        <v>0.344</v>
      </c>
      <c r="I21" s="6" t="str">
        <f t="shared" si="0"/>
        <v>Доля утилизации и обезвреживания ТКО в 1пг 2024 г. 4%</v>
      </c>
      <c r="J21" s="6" t="str">
        <f t="shared" si="1"/>
        <v>План по утилизации и обезвреживания ТКО в 2028 г. 34%</v>
      </c>
      <c r="K21" s="44"/>
      <c r="L21" s="9" t="str">
        <f t="shared" si="2"/>
        <v>34/4  (31)</v>
      </c>
    </row>
    <row r="22" spans="2:12">
      <c r="B22" s="25" t="s">
        <v>113</v>
      </c>
      <c r="C22" s="22">
        <f t="shared" si="3"/>
        <v>2</v>
      </c>
      <c r="D22" s="42">
        <f t="shared" si="4"/>
        <v>2</v>
      </c>
      <c r="E22" s="22">
        <f t="shared" si="5"/>
        <v>2</v>
      </c>
      <c r="F22" s="22">
        <f t="shared" si="6"/>
        <v>2</v>
      </c>
      <c r="G22" s="41">
        <v>0.015</v>
      </c>
      <c r="H22" s="41">
        <v>0.016</v>
      </c>
      <c r="I22" s="6" t="str">
        <f t="shared" si="0"/>
        <v>Доля утилизации и обезвреживания ТКО в 1пг 2024 г. 2%</v>
      </c>
      <c r="J22" s="6" t="str">
        <f t="shared" si="1"/>
        <v>План по утилизации и обезвреживания ТКО в 2028 г. 2%</v>
      </c>
      <c r="K22" s="44"/>
      <c r="L22" s="9" t="str">
        <f t="shared" si="2"/>
        <v>2/2  (0)</v>
      </c>
    </row>
    <row r="23" spans="2:12">
      <c r="B23" s="25" t="s">
        <v>86</v>
      </c>
      <c r="C23" s="22">
        <f t="shared" si="3"/>
        <v>2</v>
      </c>
      <c r="D23" s="42">
        <f t="shared" si="4"/>
        <v>2</v>
      </c>
      <c r="E23" s="22">
        <f t="shared" si="5"/>
        <v>2</v>
      </c>
      <c r="F23" s="22">
        <f t="shared" si="6"/>
        <v>2</v>
      </c>
      <c r="G23" s="41">
        <v>0.048</v>
      </c>
      <c r="H23" s="41">
        <v>0.047</v>
      </c>
      <c r="I23" s="6" t="str">
        <f t="shared" si="0"/>
        <v>Доля утилизации и обезвреживания ТКО в 1пг 2024 г. 5%</v>
      </c>
      <c r="J23" s="6" t="str">
        <f t="shared" si="1"/>
        <v>План по утилизации и обезвреживания ТКО в 2028 г. 5%</v>
      </c>
      <c r="K23" s="44"/>
      <c r="L23" s="9" t="str">
        <f t="shared" si="2"/>
        <v>5/5  (0)</v>
      </c>
    </row>
    <row r="24" spans="2:12">
      <c r="B24" s="25" t="s">
        <v>107</v>
      </c>
      <c r="C24" s="22">
        <f t="shared" si="3"/>
        <v>2</v>
      </c>
      <c r="D24" s="42">
        <f t="shared" si="4"/>
        <v>2</v>
      </c>
      <c r="E24" s="22">
        <f t="shared" si="5"/>
        <v>2</v>
      </c>
      <c r="F24" s="22">
        <f t="shared" si="6"/>
        <v>2</v>
      </c>
      <c r="G24" s="41">
        <v>0.063</v>
      </c>
      <c r="H24" s="41">
        <v>0.099</v>
      </c>
      <c r="I24" s="6" t="str">
        <f t="shared" si="0"/>
        <v>Доля утилизации и обезвреживания ТКО в 1пг 2024 г. 6%</v>
      </c>
      <c r="J24" s="6" t="str">
        <f t="shared" si="1"/>
        <v>План по утилизации и обезвреживания ТКО в 2028 г. 10%</v>
      </c>
      <c r="K24" s="44"/>
      <c r="L24" s="9" t="str">
        <f t="shared" si="2"/>
        <v>10/6  (4)</v>
      </c>
    </row>
    <row r="25" spans="2:12">
      <c r="B25" s="25" t="s">
        <v>137</v>
      </c>
      <c r="C25" s="22">
        <f t="shared" si="3"/>
        <v>2</v>
      </c>
      <c r="D25" s="42">
        <f t="shared" si="4"/>
        <v>2</v>
      </c>
      <c r="E25" s="22">
        <f t="shared" si="5"/>
        <v>2</v>
      </c>
      <c r="F25" s="22">
        <f t="shared" si="6"/>
        <v>2</v>
      </c>
      <c r="G25" s="41">
        <v>0.041</v>
      </c>
      <c r="H25" s="41">
        <v>0.035</v>
      </c>
      <c r="I25" s="6" t="str">
        <f t="shared" si="0"/>
        <v>Доля утилизации и обезвреживания ТКО в 1пг 2024 г. 4%</v>
      </c>
      <c r="J25" s="6" t="str">
        <f t="shared" si="1"/>
        <v>План по утилизации и обезвреживания ТКО в 2028 г. 4%</v>
      </c>
      <c r="K25" s="44"/>
      <c r="L25" s="9" t="str">
        <f t="shared" si="2"/>
        <v>4/4  (-1)</v>
      </c>
    </row>
    <row r="26" spans="2:12">
      <c r="B26" s="25" t="s">
        <v>68</v>
      </c>
      <c r="C26" s="22">
        <f t="shared" si="3"/>
        <v>0</v>
      </c>
      <c r="D26" s="42">
        <f t="shared" si="4"/>
        <v>0</v>
      </c>
      <c r="E26" s="22">
        <f t="shared" si="5"/>
        <v>0</v>
      </c>
      <c r="F26" s="22">
        <f t="shared" si="6"/>
        <v>0</v>
      </c>
      <c r="G26" s="41">
        <v>0.508</v>
      </c>
      <c r="H26" s="41">
        <v>0.47</v>
      </c>
      <c r="I26" s="6" t="str">
        <f t="shared" si="0"/>
        <v>Доля утилизации и обезвреживания ТКО в 1пг 2024 г. 51%</v>
      </c>
      <c r="J26" s="6" t="str">
        <f t="shared" si="1"/>
        <v>План по утилизации и обезвреживания ТКО в 2028 г. 47%</v>
      </c>
      <c r="K26" s="44"/>
      <c r="L26" s="9" t="str">
        <f t="shared" si="2"/>
        <v>47/51  (-4)</v>
      </c>
    </row>
    <row r="27" spans="2:12">
      <c r="B27" s="25" t="s">
        <v>71</v>
      </c>
      <c r="C27" s="22">
        <f t="shared" si="3"/>
        <v>1</v>
      </c>
      <c r="D27" s="42">
        <f t="shared" si="4"/>
        <v>1</v>
      </c>
      <c r="E27" s="22">
        <f t="shared" si="5"/>
        <v>2</v>
      </c>
      <c r="F27" s="22">
        <f t="shared" si="6"/>
        <v>0</v>
      </c>
      <c r="G27" s="41">
        <v>0.067</v>
      </c>
      <c r="H27" s="41">
        <v>0.5</v>
      </c>
      <c r="I27" s="6" t="str">
        <f t="shared" si="0"/>
        <v>Доля утилизации и обезвреживания ТКО в 1пг 2024 г. 7%</v>
      </c>
      <c r="J27" s="6" t="str">
        <f t="shared" si="1"/>
        <v>План по утилизации и обезвреживания ТКО в 2028 г. 50%</v>
      </c>
      <c r="K27" s="44"/>
      <c r="L27" s="9" t="str">
        <f t="shared" si="2"/>
        <v>50/7  (43)</v>
      </c>
    </row>
    <row r="28" spans="2:12">
      <c r="B28" s="25" t="s">
        <v>118</v>
      </c>
      <c r="C28" s="22">
        <f t="shared" si="3"/>
        <v>2</v>
      </c>
      <c r="D28" s="42">
        <f t="shared" si="4"/>
        <v>2</v>
      </c>
      <c r="E28" s="22">
        <f t="shared" si="5"/>
        <v>2</v>
      </c>
      <c r="F28" s="22">
        <f t="shared" si="6"/>
        <v>2</v>
      </c>
      <c r="G28" s="41">
        <v>0.015</v>
      </c>
      <c r="H28" s="41">
        <v>0.009</v>
      </c>
      <c r="I28" s="6" t="str">
        <f t="shared" si="0"/>
        <v>Доля утилизации и обезвреживания ТКО в 1пг 2024 г. 2%</v>
      </c>
      <c r="J28" s="6" t="str">
        <f t="shared" si="1"/>
        <v>План по утилизации и обезвреживания ТКО в 2028 г. 1%</v>
      </c>
      <c r="K28" s="44"/>
      <c r="L28" s="9" t="str">
        <f t="shared" si="2"/>
        <v>1/2  (-1)</v>
      </c>
    </row>
    <row r="29" spans="2:12">
      <c r="B29" s="25" t="s">
        <v>160</v>
      </c>
      <c r="C29" s="22">
        <f t="shared" si="3"/>
        <v>0</v>
      </c>
      <c r="D29" s="42">
        <f t="shared" si="4"/>
        <v>0</v>
      </c>
      <c r="E29" s="43">
        <v>0</v>
      </c>
      <c r="F29" s="43">
        <v>0</v>
      </c>
      <c r="G29" s="41"/>
      <c r="H29" s="41"/>
      <c r="I29" s="6" t="str">
        <f t="shared" si="0"/>
        <v>Доля утилизации и обезвреживания ТКО в 1пг 2024 г. 0%</v>
      </c>
      <c r="J29" s="6" t="str">
        <f t="shared" si="1"/>
        <v>План по утилизации и обезвреживания ТКО в 2028 г. 0%</v>
      </c>
      <c r="K29" s="44"/>
      <c r="L29" s="9" t="str">
        <f t="shared" si="2"/>
        <v>0/0  (0)</v>
      </c>
    </row>
    <row r="30" spans="2:12">
      <c r="B30" s="25" t="s">
        <v>131</v>
      </c>
      <c r="C30" s="22">
        <f t="shared" si="3"/>
        <v>1</v>
      </c>
      <c r="D30" s="42">
        <f t="shared" si="4"/>
        <v>1</v>
      </c>
      <c r="E30" s="22">
        <f t="shared" si="5"/>
        <v>2</v>
      </c>
      <c r="F30" s="22">
        <f t="shared" si="6"/>
        <v>0</v>
      </c>
      <c r="G30" s="41">
        <v>0</v>
      </c>
      <c r="H30" s="41">
        <v>0.5</v>
      </c>
      <c r="I30" s="6" t="str">
        <f t="shared" si="0"/>
        <v>Доля утилизации и обезвреживания ТКО в 1пг 2024 г. 0%</v>
      </c>
      <c r="J30" s="6" t="str">
        <f t="shared" si="1"/>
        <v>План по утилизации и обезвреживания ТКО в 2028 г. 50%</v>
      </c>
      <c r="K30" s="44"/>
      <c r="L30" s="9" t="str">
        <f t="shared" si="2"/>
        <v>50/0  (50)</v>
      </c>
    </row>
    <row r="31" spans="2:12">
      <c r="B31" s="25" t="s">
        <v>155</v>
      </c>
      <c r="C31" s="22">
        <f t="shared" si="3"/>
        <v>2</v>
      </c>
      <c r="D31" s="42">
        <f t="shared" si="4"/>
        <v>1.5</v>
      </c>
      <c r="E31" s="22">
        <f t="shared" si="5"/>
        <v>2</v>
      </c>
      <c r="F31" s="22">
        <f t="shared" si="6"/>
        <v>1</v>
      </c>
      <c r="G31" s="41">
        <v>0.003</v>
      </c>
      <c r="H31" s="41">
        <v>0.15</v>
      </c>
      <c r="I31" s="6" t="str">
        <f t="shared" si="0"/>
        <v>Доля утилизации и обезвреживания ТКО в 1пг 2024 г. 0%</v>
      </c>
      <c r="J31" s="6" t="str">
        <f t="shared" si="1"/>
        <v>План по утилизации и обезвреживания ТКО в 2028 г. 15%</v>
      </c>
      <c r="K31" s="44"/>
      <c r="L31" s="9" t="str">
        <f t="shared" si="2"/>
        <v>15/0  (15)</v>
      </c>
    </row>
    <row r="32" spans="2:12">
      <c r="B32" s="25" t="s">
        <v>161</v>
      </c>
      <c r="C32" s="22">
        <f t="shared" si="3"/>
        <v>0</v>
      </c>
      <c r="D32" s="42">
        <f t="shared" si="4"/>
        <v>0</v>
      </c>
      <c r="E32" s="43">
        <v>0</v>
      </c>
      <c r="F32" s="43">
        <v>0</v>
      </c>
      <c r="G32" s="41"/>
      <c r="H32" s="41"/>
      <c r="I32" s="6" t="str">
        <f t="shared" si="0"/>
        <v>Доля утилизации и обезвреживания ТКО в 1пг 2024 г. 0%</v>
      </c>
      <c r="J32" s="6" t="str">
        <f t="shared" si="1"/>
        <v>План по утилизации и обезвреживания ТКО в 2028 г. 0%</v>
      </c>
      <c r="K32" s="44"/>
      <c r="L32" s="9" t="str">
        <f t="shared" si="2"/>
        <v>0/0  (0)</v>
      </c>
    </row>
    <row r="33" spans="2:12">
      <c r="B33" s="25" t="s">
        <v>81</v>
      </c>
      <c r="C33" s="22">
        <f t="shared" si="3"/>
        <v>2</v>
      </c>
      <c r="D33" s="42">
        <f t="shared" si="4"/>
        <v>1.5</v>
      </c>
      <c r="E33" s="22">
        <f t="shared" si="5"/>
        <v>1</v>
      </c>
      <c r="F33" s="22">
        <f t="shared" si="6"/>
        <v>2</v>
      </c>
      <c r="G33" s="41">
        <v>0.076</v>
      </c>
      <c r="H33" s="41">
        <v>0.076</v>
      </c>
      <c r="I33" s="6" t="str">
        <f t="shared" si="0"/>
        <v>Доля утилизации и обезвреживания ТКО в 1пг 2024 г. 8%</v>
      </c>
      <c r="J33" s="6" t="str">
        <f t="shared" si="1"/>
        <v>План по утилизации и обезвреживания ТКО в 2028 г. 8%</v>
      </c>
      <c r="K33" s="44"/>
      <c r="L33" s="9" t="str">
        <f t="shared" si="2"/>
        <v>8/8  (0)</v>
      </c>
    </row>
    <row r="34" spans="2:12">
      <c r="B34" s="25" t="s">
        <v>148</v>
      </c>
      <c r="C34" s="22">
        <f t="shared" si="3"/>
        <v>2</v>
      </c>
      <c r="D34" s="42">
        <f t="shared" si="4"/>
        <v>1.5</v>
      </c>
      <c r="E34" s="22">
        <f t="shared" si="5"/>
        <v>2</v>
      </c>
      <c r="F34" s="22">
        <f t="shared" si="6"/>
        <v>1</v>
      </c>
      <c r="G34" s="41">
        <v>0.004</v>
      </c>
      <c r="H34" s="41">
        <v>0.242</v>
      </c>
      <c r="I34" s="6" t="str">
        <f t="shared" si="0"/>
        <v>Доля утилизации и обезвреживания ТКО в 1пг 2024 г. 0%</v>
      </c>
      <c r="J34" s="6" t="str">
        <f t="shared" si="1"/>
        <v>План по утилизации и обезвреживания ТКО в 2028 г. 24%</v>
      </c>
      <c r="K34" s="44"/>
      <c r="L34" s="9" t="str">
        <f t="shared" si="2"/>
        <v>24/0  (24)</v>
      </c>
    </row>
    <row r="35" spans="2:12">
      <c r="B35" s="25" t="s">
        <v>126</v>
      </c>
      <c r="C35" s="22">
        <f t="shared" si="3"/>
        <v>2</v>
      </c>
      <c r="D35" s="42">
        <f t="shared" si="4"/>
        <v>2</v>
      </c>
      <c r="E35" s="22">
        <f t="shared" si="5"/>
        <v>2</v>
      </c>
      <c r="F35" s="22">
        <f t="shared" si="6"/>
        <v>2</v>
      </c>
      <c r="G35" s="41">
        <v>0.052</v>
      </c>
      <c r="H35" s="41">
        <v>0.05</v>
      </c>
      <c r="I35" s="6" t="str">
        <f t="shared" si="0"/>
        <v>Доля утилизации и обезвреживания ТКО в 1пг 2024 г. 5%</v>
      </c>
      <c r="J35" s="6" t="str">
        <f t="shared" si="1"/>
        <v>План по утилизации и обезвреживания ТКО в 2028 г. 5%</v>
      </c>
      <c r="K35" s="44"/>
      <c r="L35" s="9" t="str">
        <f t="shared" si="2"/>
        <v>5/5  (0)</v>
      </c>
    </row>
    <row r="36" spans="2:12">
      <c r="B36" s="25" t="s">
        <v>119</v>
      </c>
      <c r="C36" s="22">
        <f t="shared" si="3"/>
        <v>1</v>
      </c>
      <c r="D36" s="42">
        <f t="shared" si="4"/>
        <v>1</v>
      </c>
      <c r="E36" s="22">
        <f t="shared" si="5"/>
        <v>2</v>
      </c>
      <c r="F36" s="22">
        <f t="shared" si="6"/>
        <v>0</v>
      </c>
      <c r="G36" s="41">
        <v>0.002</v>
      </c>
      <c r="H36" s="41">
        <v>0.4</v>
      </c>
      <c r="I36" s="6" t="str">
        <f t="shared" si="0"/>
        <v>Доля утилизации и обезвреживания ТКО в 1пг 2024 г. 0%</v>
      </c>
      <c r="J36" s="6" t="str">
        <f t="shared" si="1"/>
        <v>План по утилизации и обезвреживания ТКО в 2028 г. 40%</v>
      </c>
      <c r="K36" s="44"/>
      <c r="L36" s="9" t="str">
        <f t="shared" si="2"/>
        <v>40/0  (40)</v>
      </c>
    </row>
    <row r="37" spans="2:12">
      <c r="B37" s="25" t="s">
        <v>87</v>
      </c>
      <c r="C37" s="22">
        <f t="shared" si="3"/>
        <v>1</v>
      </c>
      <c r="D37" s="42">
        <f t="shared" si="4"/>
        <v>1</v>
      </c>
      <c r="E37" s="22">
        <f t="shared" si="5"/>
        <v>1</v>
      </c>
      <c r="F37" s="22">
        <f t="shared" si="6"/>
        <v>1</v>
      </c>
      <c r="G37" s="41">
        <v>0.121</v>
      </c>
      <c r="H37" s="41">
        <v>0.248</v>
      </c>
      <c r="I37" s="6" t="str">
        <f t="shared" si="0"/>
        <v>Доля утилизации и обезвреживания ТКО в 1пг 2024 г. 12%</v>
      </c>
      <c r="J37" s="6" t="str">
        <f t="shared" si="1"/>
        <v>План по утилизации и обезвреживания ТКО в 2028 г. 25%</v>
      </c>
      <c r="K37" s="44"/>
      <c r="L37" s="9" t="str">
        <f t="shared" si="2"/>
        <v>25/12  (13)</v>
      </c>
    </row>
    <row r="38" spans="2:12">
      <c r="B38" s="25" t="s">
        <v>134</v>
      </c>
      <c r="C38" s="22">
        <f t="shared" si="3"/>
        <v>1</v>
      </c>
      <c r="D38" s="42">
        <f t="shared" si="4"/>
        <v>1</v>
      </c>
      <c r="E38" s="22">
        <f t="shared" si="5"/>
        <v>2</v>
      </c>
      <c r="F38" s="22">
        <f t="shared" si="6"/>
        <v>0</v>
      </c>
      <c r="G38" s="41">
        <v>0.345</v>
      </c>
      <c r="H38" s="41">
        <v>0.4</v>
      </c>
      <c r="I38" s="6" t="str">
        <f t="shared" si="0"/>
        <v>Доля утилизации и обезвреживания ТКО в 1пг 2024 г. 35%</v>
      </c>
      <c r="J38" s="6" t="str">
        <f t="shared" si="1"/>
        <v>План по утилизации и обезвреживания ТКО в 2028 г. 40%</v>
      </c>
      <c r="K38" s="44" t="s">
        <v>654</v>
      </c>
      <c r="L38" s="9" t="str">
        <f t="shared" si="2"/>
        <v>40/35  (6)</v>
      </c>
    </row>
    <row r="39" spans="2:12">
      <c r="B39" s="25" t="s">
        <v>138</v>
      </c>
      <c r="C39" s="22">
        <f t="shared" si="3"/>
        <v>2</v>
      </c>
      <c r="D39" s="42">
        <f t="shared" si="4"/>
        <v>1.5</v>
      </c>
      <c r="E39" s="22">
        <f t="shared" si="5"/>
        <v>2</v>
      </c>
      <c r="F39" s="22">
        <f t="shared" si="6"/>
        <v>1</v>
      </c>
      <c r="G39" s="41">
        <v>0.255</v>
      </c>
      <c r="H39" s="41">
        <v>0.18</v>
      </c>
      <c r="I39" s="6" t="str">
        <f t="shared" si="0"/>
        <v>Доля утилизации и обезвреживания ТКО в 1пг 2024 г. 26%</v>
      </c>
      <c r="J39" s="6" t="str">
        <f t="shared" si="1"/>
        <v>План по утилизации и обезвреживания ТКО в 2028 г. 18%</v>
      </c>
      <c r="K39" s="44" t="s">
        <v>654</v>
      </c>
      <c r="L39" s="9" t="str">
        <f t="shared" si="2"/>
        <v>18/26  (-8)</v>
      </c>
    </row>
    <row r="40" spans="2:12">
      <c r="B40" s="25" t="s">
        <v>109</v>
      </c>
      <c r="C40" s="22">
        <f t="shared" si="3"/>
        <v>2</v>
      </c>
      <c r="D40" s="42">
        <f t="shared" si="4"/>
        <v>1.5</v>
      </c>
      <c r="E40" s="22">
        <f t="shared" si="5"/>
        <v>2</v>
      </c>
      <c r="F40" s="22">
        <f t="shared" si="6"/>
        <v>1</v>
      </c>
      <c r="G40" s="41">
        <v>0.036</v>
      </c>
      <c r="H40" s="41">
        <v>0.283</v>
      </c>
      <c r="I40" s="6" t="str">
        <f t="shared" si="0"/>
        <v>Доля утилизации и обезвреживания ТКО в 1пг 2024 г. 4%</v>
      </c>
      <c r="J40" s="6" t="str">
        <f t="shared" si="1"/>
        <v>План по утилизации и обезвреживания ТКО в 2028 г. 28%</v>
      </c>
      <c r="K40" s="44"/>
      <c r="L40" s="9" t="str">
        <f t="shared" si="2"/>
        <v>28/4  (25)</v>
      </c>
    </row>
    <row r="41" spans="2:12">
      <c r="B41" s="25" t="s">
        <v>76</v>
      </c>
      <c r="C41" s="22">
        <f t="shared" si="3"/>
        <v>1</v>
      </c>
      <c r="D41" s="42">
        <f t="shared" si="4"/>
        <v>1</v>
      </c>
      <c r="E41" s="22">
        <f t="shared" si="5"/>
        <v>2</v>
      </c>
      <c r="F41" s="22">
        <f t="shared" si="6"/>
        <v>0</v>
      </c>
      <c r="G41" s="41">
        <v>0</v>
      </c>
      <c r="H41" s="41">
        <v>0.3043</v>
      </c>
      <c r="I41" s="6" t="str">
        <f t="shared" si="0"/>
        <v>Доля утилизации и обезвреживания ТКО в 1пг 2024 г. 0%</v>
      </c>
      <c r="J41" s="6" t="str">
        <f t="shared" si="1"/>
        <v>План по утилизации и обезвреживания ТКО в 2028 г. 30%</v>
      </c>
      <c r="K41" s="44"/>
      <c r="L41" s="9" t="str">
        <f t="shared" si="2"/>
        <v>30/0  (30)</v>
      </c>
    </row>
    <row r="42" spans="2:12">
      <c r="B42" s="25" t="s">
        <v>89</v>
      </c>
      <c r="C42" s="22">
        <f t="shared" si="3"/>
        <v>2</v>
      </c>
      <c r="D42" s="42">
        <f t="shared" si="4"/>
        <v>2</v>
      </c>
      <c r="E42" s="22">
        <f t="shared" si="5"/>
        <v>2</v>
      </c>
      <c r="F42" s="22">
        <f t="shared" si="6"/>
        <v>2</v>
      </c>
      <c r="G42" s="41">
        <v>0.774</v>
      </c>
      <c r="H42" s="41">
        <v>0.07</v>
      </c>
      <c r="I42" s="6" t="str">
        <f t="shared" si="0"/>
        <v>Доля утилизации и обезвреживания ТКО в 1пг 2024 г. 77%</v>
      </c>
      <c r="J42" s="6" t="str">
        <f t="shared" si="1"/>
        <v>План по утилизации и обезвреживания ТКО в 2028 г. 7%</v>
      </c>
      <c r="K42" s="44" t="s">
        <v>654</v>
      </c>
      <c r="L42" s="9" t="str">
        <f t="shared" si="2"/>
        <v>7/77  (-70)</v>
      </c>
    </row>
    <row r="43" spans="2:12">
      <c r="B43" s="25" t="s">
        <v>141</v>
      </c>
      <c r="C43" s="22">
        <f t="shared" si="3"/>
        <v>2</v>
      </c>
      <c r="D43" s="42">
        <f t="shared" si="4"/>
        <v>1.5</v>
      </c>
      <c r="E43" s="22">
        <f t="shared" si="5"/>
        <v>2</v>
      </c>
      <c r="F43" s="22">
        <f t="shared" si="6"/>
        <v>1</v>
      </c>
      <c r="G43" s="41">
        <v>0.026</v>
      </c>
      <c r="H43" s="41">
        <v>0.192</v>
      </c>
      <c r="I43" s="6" t="str">
        <f t="shared" si="0"/>
        <v>Доля утилизации и обезвреживания ТКО в 1пг 2024 г. 3%</v>
      </c>
      <c r="J43" s="6" t="str">
        <f t="shared" si="1"/>
        <v>План по утилизации и обезвреживания ТКО в 2028 г. 19%</v>
      </c>
      <c r="K43" s="44"/>
      <c r="L43" s="9" t="str">
        <f t="shared" si="2"/>
        <v>19/3  (17)</v>
      </c>
    </row>
    <row r="44" spans="2:12">
      <c r="B44" s="25" t="s">
        <v>142</v>
      </c>
      <c r="C44" s="22">
        <f t="shared" si="3"/>
        <v>2</v>
      </c>
      <c r="D44" s="42">
        <f t="shared" si="4"/>
        <v>1.5</v>
      </c>
      <c r="E44" s="22">
        <f t="shared" si="5"/>
        <v>2</v>
      </c>
      <c r="F44" s="22">
        <f t="shared" si="6"/>
        <v>1</v>
      </c>
      <c r="G44" s="41">
        <v>0.033</v>
      </c>
      <c r="H44" s="41">
        <v>0.204</v>
      </c>
      <c r="I44" s="6" t="str">
        <f t="shared" si="0"/>
        <v>Доля утилизации и обезвреживания ТКО в 1пг 2024 г. 3%</v>
      </c>
      <c r="J44" s="6" t="str">
        <f t="shared" si="1"/>
        <v>План по утилизации и обезвреживания ТКО в 2028 г. 20%</v>
      </c>
      <c r="K44" s="44"/>
      <c r="L44" s="9" t="str">
        <f t="shared" si="2"/>
        <v>20/3  (17)</v>
      </c>
    </row>
    <row r="45" spans="2:12">
      <c r="B45" s="25" t="s">
        <v>132</v>
      </c>
      <c r="C45" s="22">
        <f t="shared" si="3"/>
        <v>2</v>
      </c>
      <c r="D45" s="42">
        <f t="shared" si="4"/>
        <v>1.5</v>
      </c>
      <c r="E45" s="22">
        <f t="shared" si="5"/>
        <v>2</v>
      </c>
      <c r="F45" s="22">
        <f t="shared" si="6"/>
        <v>1</v>
      </c>
      <c r="G45" s="41">
        <v>0.01</v>
      </c>
      <c r="H45" s="41">
        <v>0.25</v>
      </c>
      <c r="I45" s="6" t="str">
        <f t="shared" si="0"/>
        <v>Доля утилизации и обезвреживания ТКО в 1пг 2024 г. 1%</v>
      </c>
      <c r="J45" s="6" t="str">
        <f t="shared" si="1"/>
        <v>План по утилизации и обезвреживания ТКО в 2028 г. 25%</v>
      </c>
      <c r="K45" s="44"/>
      <c r="L45" s="9" t="str">
        <f t="shared" si="2"/>
        <v>25/1  (24)</v>
      </c>
    </row>
    <row r="46" spans="2:12">
      <c r="B46" s="25" t="s">
        <v>77</v>
      </c>
      <c r="C46" s="22">
        <f t="shared" si="3"/>
        <v>1</v>
      </c>
      <c r="D46" s="42">
        <f t="shared" si="4"/>
        <v>1</v>
      </c>
      <c r="E46" s="22">
        <f t="shared" si="5"/>
        <v>2</v>
      </c>
      <c r="F46" s="22">
        <f t="shared" si="6"/>
        <v>0</v>
      </c>
      <c r="G46" s="41">
        <v>0.015</v>
      </c>
      <c r="H46" s="41">
        <v>0.3</v>
      </c>
      <c r="I46" s="6" t="str">
        <f t="shared" si="0"/>
        <v>Доля утилизации и обезвреживания ТКО в 1пг 2024 г. 2%</v>
      </c>
      <c r="J46" s="6" t="str">
        <f t="shared" si="1"/>
        <v>План по утилизации и обезвреживания ТКО в 2028 г. 30%</v>
      </c>
      <c r="K46" s="44"/>
      <c r="L46" s="9" t="str">
        <f t="shared" si="2"/>
        <v>30/2  (29)</v>
      </c>
    </row>
    <row r="47" spans="2:12">
      <c r="B47" s="25" t="s">
        <v>92</v>
      </c>
      <c r="C47" s="22">
        <f t="shared" si="3"/>
        <v>0</v>
      </c>
      <c r="D47" s="42">
        <f t="shared" si="4"/>
        <v>0.5</v>
      </c>
      <c r="E47" s="22">
        <f t="shared" si="5"/>
        <v>1</v>
      </c>
      <c r="F47" s="22">
        <f t="shared" si="6"/>
        <v>0</v>
      </c>
      <c r="G47" s="41">
        <v>0.08</v>
      </c>
      <c r="H47" s="41">
        <v>0.5</v>
      </c>
      <c r="I47" s="6" t="str">
        <f t="shared" si="0"/>
        <v>Доля утилизации и обезвреживания ТКО в 1пг 2024 г. 8%</v>
      </c>
      <c r="J47" s="6" t="str">
        <f t="shared" si="1"/>
        <v>План по утилизации и обезвреживания ТКО в 2028 г. 50%</v>
      </c>
      <c r="K47" s="44"/>
      <c r="L47" s="9" t="str">
        <f t="shared" si="2"/>
        <v>50/8  (42)</v>
      </c>
    </row>
    <row r="48" spans="2:12">
      <c r="B48" s="25" t="s">
        <v>101</v>
      </c>
      <c r="C48" s="22">
        <f t="shared" si="3"/>
        <v>2</v>
      </c>
      <c r="D48" s="42">
        <f t="shared" si="4"/>
        <v>1.5</v>
      </c>
      <c r="E48" s="22">
        <f t="shared" si="5"/>
        <v>2</v>
      </c>
      <c r="F48" s="22">
        <f t="shared" si="6"/>
        <v>1</v>
      </c>
      <c r="G48" s="41">
        <v>0.03</v>
      </c>
      <c r="H48" s="41">
        <v>0.21</v>
      </c>
      <c r="I48" s="6" t="str">
        <f t="shared" si="0"/>
        <v>Доля утилизации и обезвреживания ТКО в 1пг 2024 г. 3%</v>
      </c>
      <c r="J48" s="6" t="str">
        <f t="shared" si="1"/>
        <v>План по утилизации и обезвреживания ТКО в 2028 г. 21%</v>
      </c>
      <c r="K48" s="44"/>
      <c r="L48" s="9" t="str">
        <f t="shared" si="2"/>
        <v>21/3  (18)</v>
      </c>
    </row>
    <row r="49" spans="2:12">
      <c r="B49" s="25" t="s">
        <v>162</v>
      </c>
      <c r="C49" s="22">
        <f t="shared" si="3"/>
        <v>0</v>
      </c>
      <c r="D49" s="42">
        <f t="shared" si="4"/>
        <v>0</v>
      </c>
      <c r="E49" s="43">
        <v>0</v>
      </c>
      <c r="F49" s="43">
        <v>0</v>
      </c>
      <c r="G49" s="41"/>
      <c r="H49" s="41"/>
      <c r="I49" s="6" t="str">
        <f t="shared" si="0"/>
        <v>Доля утилизации и обезвреживания ТКО в 1пг 2024 г. 0%</v>
      </c>
      <c r="J49" s="6" t="str">
        <f t="shared" si="1"/>
        <v>План по утилизации и обезвреживания ТКО в 2028 г. 0%</v>
      </c>
      <c r="K49" s="44"/>
      <c r="L49" s="9" t="str">
        <f t="shared" si="2"/>
        <v>0/0  (0)</v>
      </c>
    </row>
    <row r="50" spans="2:12">
      <c r="B50" s="25" t="s">
        <v>153</v>
      </c>
      <c r="C50" s="22">
        <f t="shared" si="3"/>
        <v>1</v>
      </c>
      <c r="D50" s="42">
        <f t="shared" si="4"/>
        <v>1</v>
      </c>
      <c r="E50" s="22">
        <f t="shared" si="5"/>
        <v>2</v>
      </c>
      <c r="F50" s="22">
        <f t="shared" si="6"/>
        <v>0</v>
      </c>
      <c r="G50" s="41">
        <v>0</v>
      </c>
      <c r="H50" s="41">
        <v>0.4</v>
      </c>
      <c r="I50" s="6" t="str">
        <f t="shared" si="0"/>
        <v>Доля утилизации и обезвреживания ТКО в 1пг 2024 г. 0%</v>
      </c>
      <c r="J50" s="6" t="str">
        <f t="shared" si="1"/>
        <v>План по утилизации и обезвреживания ТКО в 2028 г. 40%</v>
      </c>
      <c r="K50" s="44"/>
      <c r="L50" s="9" t="str">
        <f t="shared" si="2"/>
        <v>40/0  (40)</v>
      </c>
    </row>
    <row r="51" spans="2:12">
      <c r="B51" s="25" t="s">
        <v>69</v>
      </c>
      <c r="C51" s="22">
        <f t="shared" si="3"/>
        <v>0</v>
      </c>
      <c r="D51" s="42">
        <f t="shared" si="4"/>
        <v>0</v>
      </c>
      <c r="E51" s="22">
        <f t="shared" si="5"/>
        <v>0</v>
      </c>
      <c r="F51" s="22">
        <f t="shared" si="6"/>
        <v>0</v>
      </c>
      <c r="G51" s="41">
        <v>0.5</v>
      </c>
      <c r="H51" s="41">
        <v>0.6</v>
      </c>
      <c r="I51" s="6" t="str">
        <f t="shared" si="0"/>
        <v>Доля утилизации и обезвреживания ТКО в 1пг 2024 г. 50%</v>
      </c>
      <c r="J51" s="6" t="str">
        <f t="shared" si="1"/>
        <v>План по утилизации и обезвреживания ТКО в 2028 г. 60%</v>
      </c>
      <c r="K51" s="44"/>
      <c r="L51" s="9" t="str">
        <f t="shared" si="2"/>
        <v>60/50  (10)</v>
      </c>
    </row>
    <row r="52" spans="2:12">
      <c r="B52" s="25" t="s">
        <v>72</v>
      </c>
      <c r="C52" s="22">
        <f t="shared" si="3"/>
        <v>2</v>
      </c>
      <c r="D52" s="42">
        <f t="shared" si="4"/>
        <v>1.5</v>
      </c>
      <c r="E52" s="22">
        <f t="shared" si="5"/>
        <v>1</v>
      </c>
      <c r="F52" s="22">
        <f t="shared" si="6"/>
        <v>2</v>
      </c>
      <c r="G52" s="41">
        <v>0.07</v>
      </c>
      <c r="H52" s="41">
        <v>0.063</v>
      </c>
      <c r="I52" s="6" t="str">
        <f t="shared" si="0"/>
        <v>Доля утилизации и обезвреживания ТКО в 1пг 2024 г. 7%</v>
      </c>
      <c r="J52" s="6" t="str">
        <f t="shared" si="1"/>
        <v>План по утилизации и обезвреживания ТКО в 2028 г. 6%</v>
      </c>
      <c r="K52" s="44"/>
      <c r="L52" s="9" t="str">
        <f t="shared" si="2"/>
        <v>6/7  (-1)</v>
      </c>
    </row>
    <row r="53" spans="2:12">
      <c r="B53" s="25" t="s">
        <v>127</v>
      </c>
      <c r="C53" s="22">
        <f t="shared" si="3"/>
        <v>2</v>
      </c>
      <c r="D53" s="42">
        <f t="shared" si="4"/>
        <v>1.5</v>
      </c>
      <c r="E53" s="22">
        <f t="shared" si="5"/>
        <v>1</v>
      </c>
      <c r="F53" s="22">
        <f t="shared" si="6"/>
        <v>2</v>
      </c>
      <c r="G53" s="41">
        <v>0.091</v>
      </c>
      <c r="H53" s="41">
        <v>0.07</v>
      </c>
      <c r="I53" s="6" t="str">
        <f t="shared" si="0"/>
        <v>Доля утилизации и обезвреживания ТКО в 1пг 2024 г. 9%</v>
      </c>
      <c r="J53" s="6" t="str">
        <f t="shared" si="1"/>
        <v>План по утилизации и обезвреживания ТКО в 2028 г. 7%</v>
      </c>
      <c r="K53" s="44"/>
      <c r="L53" s="9" t="str">
        <f t="shared" si="2"/>
        <v>7/9  (-2)</v>
      </c>
    </row>
    <row r="54" spans="2:12">
      <c r="B54" s="25" t="s">
        <v>93</v>
      </c>
      <c r="C54" s="22">
        <f t="shared" si="3"/>
        <v>1</v>
      </c>
      <c r="D54" s="42">
        <f t="shared" si="4"/>
        <v>1</v>
      </c>
      <c r="E54" s="22">
        <f t="shared" si="5"/>
        <v>1</v>
      </c>
      <c r="F54" s="22">
        <f t="shared" si="6"/>
        <v>1</v>
      </c>
      <c r="G54" s="41">
        <v>0.125</v>
      </c>
      <c r="H54" s="41">
        <v>0.182</v>
      </c>
      <c r="I54" s="6" t="str">
        <f t="shared" si="0"/>
        <v>Доля утилизации и обезвреживания ТКО в 1пг 2024 г. 13%</v>
      </c>
      <c r="J54" s="6" t="str">
        <f t="shared" si="1"/>
        <v>План по утилизации и обезвреживания ТКО в 2028 г. 18%</v>
      </c>
      <c r="K54" s="44"/>
      <c r="L54" s="9" t="str">
        <f t="shared" si="2"/>
        <v>18/13  (6)</v>
      </c>
    </row>
    <row r="55" spans="2:12">
      <c r="B55" s="25" t="s">
        <v>90</v>
      </c>
      <c r="C55" s="22">
        <f t="shared" si="3"/>
        <v>2</v>
      </c>
      <c r="D55" s="42">
        <f t="shared" si="4"/>
        <v>1.5</v>
      </c>
      <c r="E55" s="22">
        <f t="shared" si="5"/>
        <v>1</v>
      </c>
      <c r="F55" s="22">
        <f t="shared" si="6"/>
        <v>2</v>
      </c>
      <c r="G55" s="41">
        <v>0.129</v>
      </c>
      <c r="H55" s="41">
        <v>0.078</v>
      </c>
      <c r="I55" s="6" t="str">
        <f t="shared" si="0"/>
        <v>Доля утилизации и обезвреживания ТКО в 1пг 2024 г. 13%</v>
      </c>
      <c r="J55" s="6" t="str">
        <f t="shared" si="1"/>
        <v>План по утилизации и обезвреживания ТКО в 2028 г. 8%</v>
      </c>
      <c r="K55" s="44"/>
      <c r="L55" s="9" t="str">
        <f t="shared" si="2"/>
        <v>8/13  (-5)</v>
      </c>
    </row>
    <row r="56" spans="2:12">
      <c r="B56" s="25" t="s">
        <v>123</v>
      </c>
      <c r="C56" s="22">
        <f t="shared" si="3"/>
        <v>1</v>
      </c>
      <c r="D56" s="42">
        <f t="shared" si="4"/>
        <v>1</v>
      </c>
      <c r="E56" s="22">
        <f t="shared" si="5"/>
        <v>2</v>
      </c>
      <c r="F56" s="22">
        <f t="shared" si="6"/>
        <v>0</v>
      </c>
      <c r="G56" s="41">
        <v>0.024</v>
      </c>
      <c r="H56" s="41">
        <v>0.432</v>
      </c>
      <c r="I56" s="6" t="str">
        <f t="shared" si="0"/>
        <v>Доля утилизации и обезвреживания ТКО в 1пг 2024 г. 2%</v>
      </c>
      <c r="J56" s="6" t="str">
        <f t="shared" si="1"/>
        <v>План по утилизации и обезвреживания ТКО в 2028 г. 43%</v>
      </c>
      <c r="K56" s="44"/>
      <c r="L56" s="9" t="str">
        <f t="shared" si="2"/>
        <v>43/2  (41)</v>
      </c>
    </row>
    <row r="57" spans="2:12">
      <c r="B57" s="25" t="s">
        <v>139</v>
      </c>
      <c r="C57" s="22">
        <f t="shared" si="3"/>
        <v>1</v>
      </c>
      <c r="D57" s="42">
        <f t="shared" si="4"/>
        <v>1</v>
      </c>
      <c r="E57" s="22">
        <f t="shared" si="5"/>
        <v>2</v>
      </c>
      <c r="F57" s="22">
        <f t="shared" si="6"/>
        <v>0</v>
      </c>
      <c r="G57" s="41">
        <v>0.019</v>
      </c>
      <c r="H57" s="41">
        <v>0.309</v>
      </c>
      <c r="I57" s="6" t="str">
        <f t="shared" si="0"/>
        <v>Доля утилизации и обезвреживания ТКО в 1пг 2024 г. 2%</v>
      </c>
      <c r="J57" s="6" t="str">
        <f t="shared" si="1"/>
        <v>План по утилизации и обезвреживания ТКО в 2028 г. 31%</v>
      </c>
      <c r="K57" s="44"/>
      <c r="L57" s="9" t="str">
        <f t="shared" si="2"/>
        <v>31/2  (29)</v>
      </c>
    </row>
    <row r="58" spans="2:12">
      <c r="B58" s="25" t="s">
        <v>94</v>
      </c>
      <c r="C58" s="22">
        <f t="shared" si="3"/>
        <v>2</v>
      </c>
      <c r="D58" s="42">
        <f t="shared" si="4"/>
        <v>1.5</v>
      </c>
      <c r="E58" s="22">
        <f t="shared" si="5"/>
        <v>2</v>
      </c>
      <c r="F58" s="22">
        <f t="shared" si="6"/>
        <v>1</v>
      </c>
      <c r="G58" s="41">
        <v>0.022</v>
      </c>
      <c r="H58" s="41">
        <v>0.28</v>
      </c>
      <c r="I58" s="6" t="str">
        <f t="shared" si="0"/>
        <v>Доля утилизации и обезвреживания ТКО в 1пг 2024 г. 2%</v>
      </c>
      <c r="J58" s="6" t="str">
        <f t="shared" si="1"/>
        <v>План по утилизации и обезвреживания ТКО в 2028 г. 28%</v>
      </c>
      <c r="K58" s="44"/>
      <c r="L58" s="9" t="str">
        <f t="shared" si="2"/>
        <v>28/2  (26)</v>
      </c>
    </row>
    <row r="59" spans="2:12">
      <c r="B59" s="25" t="s">
        <v>111</v>
      </c>
      <c r="C59" s="22">
        <f t="shared" si="3"/>
        <v>1</v>
      </c>
      <c r="D59" s="42">
        <f t="shared" si="4"/>
        <v>1</v>
      </c>
      <c r="E59" s="22">
        <f t="shared" si="5"/>
        <v>0</v>
      </c>
      <c r="F59" s="22">
        <f t="shared" si="6"/>
        <v>2</v>
      </c>
      <c r="G59" s="41">
        <v>0.218</v>
      </c>
      <c r="H59" s="41">
        <v>0.105</v>
      </c>
      <c r="I59" s="6" t="str">
        <f t="shared" si="0"/>
        <v>Доля утилизации и обезвреживания ТКО в 1пг 2024 г. 22%</v>
      </c>
      <c r="J59" s="6" t="str">
        <f t="shared" si="1"/>
        <v>План по утилизации и обезвреживания ТКО в 2028 г. 11%</v>
      </c>
      <c r="K59" s="44"/>
      <c r="L59" s="9" t="str">
        <f t="shared" si="2"/>
        <v>11/22  (-11)</v>
      </c>
    </row>
    <row r="60" spans="2:12">
      <c r="B60" s="25" t="s">
        <v>124</v>
      </c>
      <c r="C60" s="22">
        <f t="shared" si="3"/>
        <v>2</v>
      </c>
      <c r="D60" s="42">
        <f t="shared" si="4"/>
        <v>2</v>
      </c>
      <c r="E60" s="22">
        <f t="shared" si="5"/>
        <v>2</v>
      </c>
      <c r="F60" s="22">
        <f t="shared" si="6"/>
        <v>2</v>
      </c>
      <c r="G60" s="41">
        <v>0.016</v>
      </c>
      <c r="H60" s="41">
        <v>0.015</v>
      </c>
      <c r="I60" s="6" t="str">
        <f t="shared" si="0"/>
        <v>Доля утилизации и обезвреживания ТКО в 1пг 2024 г. 2%</v>
      </c>
      <c r="J60" s="6" t="str">
        <f t="shared" si="1"/>
        <v>План по утилизации и обезвреживания ТКО в 2028 г. 2%</v>
      </c>
      <c r="K60" s="44"/>
      <c r="L60" s="9" t="str">
        <f t="shared" si="2"/>
        <v>2/2  (0)</v>
      </c>
    </row>
    <row r="61" spans="2:12">
      <c r="B61" s="25" t="s">
        <v>143</v>
      </c>
      <c r="C61" s="22">
        <f t="shared" si="3"/>
        <v>2</v>
      </c>
      <c r="D61" s="42">
        <f t="shared" si="4"/>
        <v>2</v>
      </c>
      <c r="E61" s="22">
        <f t="shared" si="5"/>
        <v>2</v>
      </c>
      <c r="F61" s="22">
        <f t="shared" si="6"/>
        <v>2</v>
      </c>
      <c r="G61" s="41">
        <v>0.062</v>
      </c>
      <c r="H61" s="41">
        <v>0.105</v>
      </c>
      <c r="I61" s="6" t="str">
        <f t="shared" si="0"/>
        <v>Доля утилизации и обезвреживания ТКО в 1пг 2024 г. 6%</v>
      </c>
      <c r="J61" s="6" t="str">
        <f t="shared" si="1"/>
        <v>План по утилизации и обезвреживания ТКО в 2028 г. 11%</v>
      </c>
      <c r="K61" s="44"/>
      <c r="L61" s="9" t="str">
        <f t="shared" si="2"/>
        <v>11/6  (4)</v>
      </c>
    </row>
    <row r="62" spans="2:12">
      <c r="B62" s="25" t="s">
        <v>144</v>
      </c>
      <c r="C62" s="22">
        <f t="shared" si="3"/>
        <v>2</v>
      </c>
      <c r="D62" s="42">
        <f t="shared" si="4"/>
        <v>1.5</v>
      </c>
      <c r="E62" s="22">
        <f t="shared" si="5"/>
        <v>2</v>
      </c>
      <c r="F62" s="22">
        <f t="shared" si="6"/>
        <v>1</v>
      </c>
      <c r="G62" s="41">
        <v>0.02</v>
      </c>
      <c r="H62" s="41">
        <v>0.169</v>
      </c>
      <c r="I62" s="6" t="str">
        <f t="shared" si="0"/>
        <v>Доля утилизации и обезвреживания ТКО в 1пг 2024 г. 2%</v>
      </c>
      <c r="J62" s="6" t="str">
        <f t="shared" si="1"/>
        <v>План по утилизации и обезвреживания ТКО в 2028 г. 17%</v>
      </c>
      <c r="K62" s="44"/>
      <c r="L62" s="9" t="str">
        <f t="shared" si="2"/>
        <v>17/2  (15)</v>
      </c>
    </row>
    <row r="63" spans="2:12">
      <c r="B63" s="25" t="s">
        <v>95</v>
      </c>
      <c r="C63" s="22">
        <f t="shared" si="3"/>
        <v>0</v>
      </c>
      <c r="D63" s="42">
        <f t="shared" si="4"/>
        <v>0.5</v>
      </c>
      <c r="E63" s="22">
        <f t="shared" si="5"/>
        <v>1</v>
      </c>
      <c r="F63" s="22">
        <f t="shared" si="6"/>
        <v>0</v>
      </c>
      <c r="G63" s="41">
        <v>0.083</v>
      </c>
      <c r="H63" s="41">
        <v>0.5</v>
      </c>
      <c r="I63" s="6" t="str">
        <f t="shared" si="0"/>
        <v>Доля утилизации и обезвреживания ТКО в 1пг 2024 г. 8%</v>
      </c>
      <c r="J63" s="6" t="str">
        <f t="shared" si="1"/>
        <v>План по утилизации и обезвреживания ТКО в 2028 г. 50%</v>
      </c>
      <c r="K63" s="44"/>
      <c r="L63" s="9" t="str">
        <f t="shared" si="2"/>
        <v>50/8  (42)</v>
      </c>
    </row>
    <row r="64" spans="2:12">
      <c r="B64" s="25" t="s">
        <v>96</v>
      </c>
      <c r="C64" s="22">
        <f t="shared" si="3"/>
        <v>0</v>
      </c>
      <c r="D64" s="42">
        <f t="shared" si="4"/>
        <v>0.5</v>
      </c>
      <c r="E64" s="22">
        <f t="shared" si="5"/>
        <v>1</v>
      </c>
      <c r="F64" s="22">
        <f t="shared" si="6"/>
        <v>0</v>
      </c>
      <c r="G64" s="41">
        <v>0.123</v>
      </c>
      <c r="H64" s="41">
        <v>0.5</v>
      </c>
      <c r="I64" s="6" t="str">
        <f t="shared" si="0"/>
        <v>Доля утилизации и обезвреживания ТКО в 1пг 2024 г. 12%</v>
      </c>
      <c r="J64" s="6" t="str">
        <f t="shared" si="1"/>
        <v>План по утилизации и обезвреживания ТКО в 2028 г. 50%</v>
      </c>
      <c r="K64" s="44"/>
      <c r="L64" s="9" t="str">
        <f t="shared" si="2"/>
        <v>50/12  (38)</v>
      </c>
    </row>
    <row r="65" spans="2:12">
      <c r="B65" s="25" t="s">
        <v>147</v>
      </c>
      <c r="C65" s="22">
        <f t="shared" si="3"/>
        <v>2</v>
      </c>
      <c r="D65" s="42">
        <f t="shared" si="4"/>
        <v>1.5</v>
      </c>
      <c r="E65" s="22">
        <f t="shared" si="5"/>
        <v>2</v>
      </c>
      <c r="F65" s="22">
        <f t="shared" si="6"/>
        <v>1</v>
      </c>
      <c r="G65" s="41">
        <v>0</v>
      </c>
      <c r="H65" s="41">
        <v>0.25</v>
      </c>
      <c r="I65" s="6" t="str">
        <f t="shared" si="0"/>
        <v>Доля утилизации и обезвреживания ТКО в 1пг 2024 г. 0%</v>
      </c>
      <c r="J65" s="6" t="str">
        <f t="shared" si="1"/>
        <v>План по утилизации и обезвреживания ТКО в 2028 г. 25%</v>
      </c>
      <c r="K65" s="44"/>
      <c r="L65" s="9" t="str">
        <f t="shared" si="2"/>
        <v>25/0  (25)</v>
      </c>
    </row>
    <row r="66" spans="2:12">
      <c r="B66" s="25" t="s">
        <v>88</v>
      </c>
      <c r="C66" s="22">
        <f t="shared" si="3"/>
        <v>1</v>
      </c>
      <c r="D66" s="42">
        <f t="shared" si="4"/>
        <v>1</v>
      </c>
      <c r="E66" s="22">
        <f t="shared" si="5"/>
        <v>2</v>
      </c>
      <c r="F66" s="22">
        <f t="shared" si="6"/>
        <v>0</v>
      </c>
      <c r="G66" s="41">
        <v>0.058</v>
      </c>
      <c r="H66" s="41">
        <v>0.349</v>
      </c>
      <c r="I66" s="6" t="str">
        <f t="shared" si="0"/>
        <v>Доля утилизации и обезвреживания ТКО в 1пг 2024 г. 6%</v>
      </c>
      <c r="J66" s="6" t="str">
        <f t="shared" si="1"/>
        <v>План по утилизации и обезвреживания ТКО в 2028 г. 35%</v>
      </c>
      <c r="K66" s="44"/>
      <c r="L66" s="9" t="str">
        <f t="shared" si="2"/>
        <v>35/6  (29)</v>
      </c>
    </row>
    <row r="67" spans="2:12">
      <c r="B67" s="25" t="s">
        <v>157</v>
      </c>
      <c r="C67" s="22">
        <f t="shared" si="3"/>
        <v>2</v>
      </c>
      <c r="D67" s="42">
        <f t="shared" si="4"/>
        <v>1.5</v>
      </c>
      <c r="E67" s="22">
        <f t="shared" si="5"/>
        <v>2</v>
      </c>
      <c r="F67" s="22">
        <f t="shared" si="6"/>
        <v>1</v>
      </c>
      <c r="G67" s="41">
        <v>0</v>
      </c>
      <c r="H67" s="41">
        <v>0.271473</v>
      </c>
      <c r="I67" s="6" t="str">
        <f t="shared" si="0"/>
        <v>Доля утилизации и обезвреживания ТКО в 1пг 2024 г. 0%</v>
      </c>
      <c r="J67" s="6" t="str">
        <f t="shared" si="1"/>
        <v>План по утилизации и обезвреживания ТКО в 2028 г. 27%</v>
      </c>
      <c r="K67" s="44"/>
      <c r="L67" s="9" t="str">
        <f t="shared" si="2"/>
        <v>27/0  (27)</v>
      </c>
    </row>
    <row r="68" spans="2:12">
      <c r="B68" s="25" t="s">
        <v>136</v>
      </c>
      <c r="C68" s="22">
        <f t="shared" si="3"/>
        <v>1</v>
      </c>
      <c r="D68" s="42">
        <f t="shared" si="4"/>
        <v>1</v>
      </c>
      <c r="E68" s="22">
        <f t="shared" si="5"/>
        <v>2</v>
      </c>
      <c r="F68" s="22">
        <f t="shared" si="6"/>
        <v>0</v>
      </c>
      <c r="G68" s="41">
        <v>0</v>
      </c>
      <c r="H68" s="41">
        <v>0.5</v>
      </c>
      <c r="I68" s="6" t="str">
        <f t="shared" si="0"/>
        <v>Доля утилизации и обезвреживания ТКО в 1пг 2024 г. 0%</v>
      </c>
      <c r="J68" s="6" t="str">
        <f t="shared" si="1"/>
        <v>План по утилизации и обезвреживания ТКО в 2028 г. 50%</v>
      </c>
      <c r="K68" s="44"/>
      <c r="L68" s="9" t="str">
        <f t="shared" si="2"/>
        <v>50/0  (50)</v>
      </c>
    </row>
    <row r="69" spans="2:12">
      <c r="B69" s="25" t="s">
        <v>158</v>
      </c>
      <c r="C69" s="22">
        <f t="shared" si="3"/>
        <v>1</v>
      </c>
      <c r="D69" s="42">
        <f t="shared" si="4"/>
        <v>1</v>
      </c>
      <c r="E69" s="22">
        <f t="shared" si="5"/>
        <v>2</v>
      </c>
      <c r="F69" s="22">
        <f t="shared" si="6"/>
        <v>0</v>
      </c>
      <c r="G69" s="41">
        <v>0.35</v>
      </c>
      <c r="H69" s="41">
        <v>0.5</v>
      </c>
      <c r="I69" s="6" t="str">
        <f t="shared" si="0"/>
        <v>Доля утилизации и обезвреживания ТКО в 1пг 2024 г. 35%</v>
      </c>
      <c r="J69" s="6" t="str">
        <f t="shared" si="1"/>
        <v>План по утилизации и обезвреживания ТКО в 2028 г. 50%</v>
      </c>
      <c r="K69" s="44" t="s">
        <v>654</v>
      </c>
      <c r="L69" s="9" t="str">
        <f t="shared" si="2"/>
        <v>50/35  (15)</v>
      </c>
    </row>
    <row r="70" spans="2:12">
      <c r="B70" s="25" t="s">
        <v>120</v>
      </c>
      <c r="C70" s="22">
        <f t="shared" si="3"/>
        <v>2</v>
      </c>
      <c r="D70" s="42">
        <f t="shared" si="4"/>
        <v>1.5</v>
      </c>
      <c r="E70" s="22">
        <f t="shared" si="5"/>
        <v>2</v>
      </c>
      <c r="F70" s="22">
        <f t="shared" si="6"/>
        <v>1</v>
      </c>
      <c r="G70" s="41">
        <v>0</v>
      </c>
      <c r="H70" s="41">
        <v>0.25</v>
      </c>
      <c r="I70" s="6" t="str">
        <f t="shared" si="0"/>
        <v>Доля утилизации и обезвреживания ТКО в 1пг 2024 г. 0%</v>
      </c>
      <c r="J70" s="6" t="str">
        <f t="shared" si="1"/>
        <v>План по утилизации и обезвреживания ТКО в 2028 г. 25%</v>
      </c>
      <c r="K70" s="44"/>
      <c r="L70" s="9" t="str">
        <f t="shared" si="2"/>
        <v>25/0  (25)</v>
      </c>
    </row>
    <row r="71" spans="2:12">
      <c r="B71" s="25" t="s">
        <v>112</v>
      </c>
      <c r="C71" s="22">
        <f t="shared" si="3"/>
        <v>2</v>
      </c>
      <c r="D71" s="42">
        <f t="shared" si="4"/>
        <v>2</v>
      </c>
      <c r="E71" s="22">
        <f t="shared" si="5"/>
        <v>2</v>
      </c>
      <c r="F71" s="22">
        <f t="shared" si="6"/>
        <v>2</v>
      </c>
      <c r="G71" s="41">
        <v>0.008</v>
      </c>
      <c r="H71" s="41">
        <v>0.063</v>
      </c>
      <c r="I71" s="6" t="str">
        <f t="shared" si="0"/>
        <v>Доля утилизации и обезвреживания ТКО в 1пг 2024 г. 1%</v>
      </c>
      <c r="J71" s="6" t="str">
        <f t="shared" si="1"/>
        <v>План по утилизации и обезвреживания ТКО в 2028 г. 6%</v>
      </c>
      <c r="K71" s="44"/>
      <c r="L71" s="9" t="str">
        <f t="shared" si="2"/>
        <v>6/1  (6)</v>
      </c>
    </row>
    <row r="72" spans="2:12">
      <c r="B72" s="25" t="s">
        <v>97</v>
      </c>
      <c r="C72" s="22">
        <f t="shared" si="3"/>
        <v>2</v>
      </c>
      <c r="D72" s="42">
        <f t="shared" si="4"/>
        <v>2</v>
      </c>
      <c r="E72" s="22">
        <f t="shared" si="5"/>
        <v>2</v>
      </c>
      <c r="F72" s="22">
        <f t="shared" si="6"/>
        <v>2</v>
      </c>
      <c r="G72" s="41">
        <v>0</v>
      </c>
      <c r="H72" s="41">
        <v>0.1</v>
      </c>
      <c r="I72" s="6" t="str">
        <f t="shared" si="0"/>
        <v>Доля утилизации и обезвреживания ТКО в 1пг 2024 г. 0%</v>
      </c>
      <c r="J72" s="6" t="str">
        <f t="shared" si="1"/>
        <v>План по утилизации и обезвреживания ТКО в 2028 г. 10%</v>
      </c>
      <c r="K72" s="44"/>
      <c r="L72" s="9" t="str">
        <f t="shared" si="2"/>
        <v>10/0  (10)</v>
      </c>
    </row>
    <row r="73" spans="2:12">
      <c r="B73" s="25" t="s">
        <v>98</v>
      </c>
      <c r="C73" s="22">
        <f t="shared" si="3"/>
        <v>1</v>
      </c>
      <c r="D73" s="42">
        <f t="shared" si="4"/>
        <v>1</v>
      </c>
      <c r="E73" s="22">
        <f t="shared" si="5"/>
        <v>2</v>
      </c>
      <c r="F73" s="22">
        <f t="shared" si="6"/>
        <v>0</v>
      </c>
      <c r="G73" s="41">
        <v>0.018</v>
      </c>
      <c r="H73" s="41">
        <v>0.5</v>
      </c>
      <c r="I73" s="6" t="str">
        <f t="shared" si="0"/>
        <v>Доля утилизации и обезвреживания ТКО в 1пг 2024 г. 2%</v>
      </c>
      <c r="J73" s="6" t="str">
        <f t="shared" si="1"/>
        <v>План по утилизации и обезвреживания ТКО в 2028 г. 50%</v>
      </c>
      <c r="K73" s="44"/>
      <c r="L73" s="9" t="str">
        <f t="shared" si="2"/>
        <v>50/2  (48)</v>
      </c>
    </row>
    <row r="74" spans="2:12">
      <c r="B74" s="25" t="s">
        <v>110</v>
      </c>
      <c r="C74" s="22">
        <f t="shared" si="3"/>
        <v>2</v>
      </c>
      <c r="D74" s="42">
        <f t="shared" si="4"/>
        <v>2</v>
      </c>
      <c r="E74" s="22">
        <f t="shared" si="5"/>
        <v>2</v>
      </c>
      <c r="F74" s="22">
        <f t="shared" si="6"/>
        <v>2</v>
      </c>
      <c r="G74" s="41">
        <v>0.009</v>
      </c>
      <c r="H74" s="41">
        <v>0.08</v>
      </c>
      <c r="I74" s="6" t="str">
        <f t="shared" si="0"/>
        <v>Доля утилизации и обезвреживания ТКО в 1пг 2024 г. 1%</v>
      </c>
      <c r="J74" s="6" t="str">
        <f t="shared" si="1"/>
        <v>План по утилизации и обезвреживания ТКО в 2028 г. 8%</v>
      </c>
      <c r="K74" s="44"/>
      <c r="L74" s="9" t="str">
        <f t="shared" si="2"/>
        <v>8/1  (7)</v>
      </c>
    </row>
    <row r="75" spans="2:12">
      <c r="B75" s="25" t="s">
        <v>115</v>
      </c>
      <c r="C75" s="22">
        <f t="shared" si="3"/>
        <v>1</v>
      </c>
      <c r="D75" s="42">
        <f t="shared" si="4"/>
        <v>1</v>
      </c>
      <c r="E75" s="22">
        <f t="shared" si="5"/>
        <v>2</v>
      </c>
      <c r="F75" s="22">
        <f t="shared" si="6"/>
        <v>0</v>
      </c>
      <c r="G75" s="41">
        <v>0.007</v>
      </c>
      <c r="H75" s="41">
        <v>0.5</v>
      </c>
      <c r="I75" s="6" t="str">
        <f t="shared" si="0"/>
        <v>Доля утилизации и обезвреживания ТКО в 1пг 2024 г. 1%</v>
      </c>
      <c r="J75" s="6" t="str">
        <f t="shared" si="1"/>
        <v>План по утилизации и обезвреживания ТКО в 2028 г. 50%</v>
      </c>
      <c r="K75" s="44"/>
      <c r="L75" s="9" t="str">
        <f t="shared" si="2"/>
        <v>50/1  (49)</v>
      </c>
    </row>
    <row r="76" spans="2:12">
      <c r="B76" s="25" t="s">
        <v>159</v>
      </c>
      <c r="C76" s="22">
        <f t="shared" si="3"/>
        <v>2</v>
      </c>
      <c r="D76" s="42">
        <f t="shared" si="4"/>
        <v>2</v>
      </c>
      <c r="E76" s="22">
        <f t="shared" si="5"/>
        <v>2</v>
      </c>
      <c r="F76" s="22">
        <f t="shared" si="6"/>
        <v>2</v>
      </c>
      <c r="G76" s="41">
        <v>0.007</v>
      </c>
      <c r="H76" s="41">
        <v>0.1</v>
      </c>
      <c r="I76" s="6" t="str">
        <f t="shared" si="0"/>
        <v>Доля утилизации и обезвреживания ТКО в 1пг 2024 г. 1%</v>
      </c>
      <c r="J76" s="6" t="str">
        <f t="shared" si="1"/>
        <v>План по утилизации и обезвреживания ТКО в 2028 г. 10%</v>
      </c>
      <c r="K76" s="44"/>
      <c r="L76" s="9" t="str">
        <f t="shared" si="2"/>
        <v>10/1  (9)</v>
      </c>
    </row>
    <row r="77" spans="2:12">
      <c r="B77" s="25" t="s">
        <v>151</v>
      </c>
      <c r="C77" s="22">
        <f t="shared" si="3"/>
        <v>2</v>
      </c>
      <c r="D77" s="42">
        <f t="shared" si="4"/>
        <v>2</v>
      </c>
      <c r="E77" s="22">
        <f t="shared" si="5"/>
        <v>2</v>
      </c>
      <c r="F77" s="22">
        <f t="shared" si="6"/>
        <v>2</v>
      </c>
      <c r="G77" s="41">
        <v>0.001</v>
      </c>
      <c r="H77" s="41">
        <v>0.09</v>
      </c>
      <c r="I77" s="6" t="str">
        <f t="shared" si="0"/>
        <v>Доля утилизации и обезвреживания ТКО в 1пг 2024 г. 0%</v>
      </c>
      <c r="J77" s="6" t="str">
        <f t="shared" si="1"/>
        <v>План по утилизации и обезвреживания ТКО в 2028 г. 9%</v>
      </c>
      <c r="K77" s="44"/>
      <c r="L77" s="9" t="str">
        <f t="shared" si="2"/>
        <v>9/0  (9)</v>
      </c>
    </row>
    <row r="78" spans="2:12">
      <c r="B78" s="25" t="s">
        <v>75</v>
      </c>
      <c r="C78" s="22">
        <f t="shared" si="3"/>
        <v>0</v>
      </c>
      <c r="D78" s="42">
        <f t="shared" si="4"/>
        <v>0.5</v>
      </c>
      <c r="E78" s="22">
        <f t="shared" si="5"/>
        <v>1</v>
      </c>
      <c r="F78" s="22">
        <f t="shared" si="6"/>
        <v>0</v>
      </c>
      <c r="G78" s="41">
        <v>0.118</v>
      </c>
      <c r="H78" s="41">
        <v>0.327198</v>
      </c>
      <c r="I78" s="6" t="str">
        <f t="shared" si="0"/>
        <v>Доля утилизации и обезвреживания ТКО в 1пг 2024 г. 12%</v>
      </c>
      <c r="J78" s="6" t="str">
        <f t="shared" si="1"/>
        <v>План по утилизации и обезвреживания ТКО в 2028 г. 33%</v>
      </c>
      <c r="K78" s="44"/>
      <c r="L78" s="9" t="str">
        <f t="shared" si="2"/>
        <v>33/12  (21)</v>
      </c>
    </row>
    <row r="79" spans="2:12">
      <c r="B79" s="25" t="s">
        <v>154</v>
      </c>
      <c r="C79" s="22">
        <f t="shared" si="3"/>
        <v>1</v>
      </c>
      <c r="D79" s="42">
        <f t="shared" si="4"/>
        <v>1</v>
      </c>
      <c r="E79" s="22">
        <f t="shared" si="5"/>
        <v>2</v>
      </c>
      <c r="F79" s="22">
        <f t="shared" si="6"/>
        <v>0</v>
      </c>
      <c r="G79" s="41">
        <v>0</v>
      </c>
      <c r="H79" s="41">
        <v>0.3</v>
      </c>
      <c r="I79" s="6" t="str">
        <f t="shared" si="0"/>
        <v>Доля утилизации и обезвреживания ТКО в 1пг 2024 г. 0%</v>
      </c>
      <c r="J79" s="6" t="str">
        <f t="shared" si="1"/>
        <v>План по утилизации и обезвреживания ТКО в 2028 г. 30%</v>
      </c>
      <c r="K79" s="44"/>
      <c r="L79" s="9" t="str">
        <f t="shared" si="2"/>
        <v>30/0  (30)</v>
      </c>
    </row>
    <row r="80" spans="2:12">
      <c r="B80" s="25" t="s">
        <v>152</v>
      </c>
      <c r="C80" s="22">
        <f t="shared" si="3"/>
        <v>1</v>
      </c>
      <c r="D80" s="42">
        <f t="shared" si="4"/>
        <v>1</v>
      </c>
      <c r="E80" s="22">
        <f t="shared" si="5"/>
        <v>2</v>
      </c>
      <c r="F80" s="22">
        <f t="shared" si="6"/>
        <v>0</v>
      </c>
      <c r="G80" s="41">
        <v>0</v>
      </c>
      <c r="H80" s="41">
        <v>0.35</v>
      </c>
      <c r="I80" s="6" t="str">
        <f t="shared" ref="I80:I104" si="7">_xlfn.TEXTJOIN(,0,"Доля утилизации и обезвреживания ТКО в 1пг 2024 г. ",TEXT(G80,"0%"),)</f>
        <v>Доля утилизации и обезвреживания ТКО в 1пг 2024 г. 0%</v>
      </c>
      <c r="J80" s="6" t="str">
        <f t="shared" ref="J80:J104" si="8">_xlfn.TEXTJOIN(,0,"План по утилизации и обезвреживания ТКО в 2028 г. ",TEXT(H80,"0%"))</f>
        <v>План по утилизации и обезвреживания ТКО в 2028 г. 35%</v>
      </c>
      <c r="K80" s="44"/>
      <c r="L80" s="9" t="str">
        <f t="shared" ref="L80:L104" si="9">_xlfn.TEXTJOIN(,0,TEXT(H80*100,"0"),"/",TEXT(G80*100,"0"),"  (",TEXT((H80-G80)*100,"0"),")")</f>
        <v>35/0  (35)</v>
      </c>
    </row>
    <row r="81" spans="2:12">
      <c r="B81" s="25" t="s">
        <v>140</v>
      </c>
      <c r="C81" s="22">
        <f t="shared" ref="C81:C104" si="10">IF(D81&gt;$D$8,2,IF(D81&gt;$D$9,1,0))</f>
        <v>1</v>
      </c>
      <c r="D81" s="42">
        <f t="shared" ref="D81:D104" si="11">E81*$E$11+F81*$F$11</f>
        <v>1</v>
      </c>
      <c r="E81" s="22">
        <f t="shared" ref="E81:E104" si="12">IF(OR(G81&lt;$G$7,K81&lt;&gt;""),2,IF(G81&lt;$G$9,1,0))</f>
        <v>1</v>
      </c>
      <c r="F81" s="22">
        <f t="shared" ref="F81:F104" si="13">IF(H81&lt;$H$7,2,IF(H81&lt;$H$9,1,0))</f>
        <v>1</v>
      </c>
      <c r="G81" s="41">
        <v>0.1</v>
      </c>
      <c r="H81" s="41">
        <v>0.178</v>
      </c>
      <c r="I81" s="6" t="str">
        <f t="shared" si="7"/>
        <v>Доля утилизации и обезвреживания ТКО в 1пг 2024 г. 10%</v>
      </c>
      <c r="J81" s="6" t="str">
        <f t="shared" si="8"/>
        <v>План по утилизации и обезвреживания ТКО в 2028 г. 18%</v>
      </c>
      <c r="K81" s="44"/>
      <c r="L81" s="9" t="str">
        <f t="shared" si="9"/>
        <v>18/10  (8)</v>
      </c>
    </row>
    <row r="82" spans="2:12">
      <c r="B82" s="25" t="s">
        <v>135</v>
      </c>
      <c r="C82" s="22">
        <f t="shared" si="10"/>
        <v>2</v>
      </c>
      <c r="D82" s="42">
        <f t="shared" si="11"/>
        <v>2</v>
      </c>
      <c r="E82" s="22">
        <f t="shared" si="12"/>
        <v>2</v>
      </c>
      <c r="F82" s="22">
        <f t="shared" si="13"/>
        <v>2</v>
      </c>
      <c r="G82" s="41">
        <v>0.062</v>
      </c>
      <c r="H82" s="41">
        <v>0.103</v>
      </c>
      <c r="I82" s="6" t="str">
        <f t="shared" si="7"/>
        <v>Доля утилизации и обезвреживания ТКО в 1пг 2024 г. 6%</v>
      </c>
      <c r="J82" s="6" t="str">
        <f t="shared" si="8"/>
        <v>План по утилизации и обезвреживания ТКО в 2028 г. 10%</v>
      </c>
      <c r="K82" s="44"/>
      <c r="L82" s="9" t="str">
        <f t="shared" si="9"/>
        <v>10/6  (4)</v>
      </c>
    </row>
    <row r="83" spans="2:12">
      <c r="B83" s="25" t="s">
        <v>100</v>
      </c>
      <c r="C83" s="22">
        <f t="shared" si="10"/>
        <v>2</v>
      </c>
      <c r="D83" s="42">
        <f t="shared" si="11"/>
        <v>1.5</v>
      </c>
      <c r="E83" s="22">
        <f t="shared" si="12"/>
        <v>2</v>
      </c>
      <c r="F83" s="22">
        <f t="shared" si="13"/>
        <v>1</v>
      </c>
      <c r="G83" s="41">
        <v>0.033</v>
      </c>
      <c r="H83" s="41">
        <v>0.161</v>
      </c>
      <c r="I83" s="6" t="str">
        <f t="shared" si="7"/>
        <v>Доля утилизации и обезвреживания ТКО в 1пг 2024 г. 3%</v>
      </c>
      <c r="J83" s="6" t="str">
        <f t="shared" si="8"/>
        <v>План по утилизации и обезвреживания ТКО в 2028 г. 16%</v>
      </c>
      <c r="K83" s="44"/>
      <c r="L83" s="9" t="str">
        <f t="shared" si="9"/>
        <v>16/3  (13)</v>
      </c>
    </row>
    <row r="84" spans="2:12">
      <c r="B84" s="25" t="s">
        <v>102</v>
      </c>
      <c r="C84" s="22">
        <f t="shared" si="10"/>
        <v>2</v>
      </c>
      <c r="D84" s="42">
        <f t="shared" si="11"/>
        <v>2</v>
      </c>
      <c r="E84" s="22">
        <f t="shared" si="12"/>
        <v>2</v>
      </c>
      <c r="F84" s="22">
        <f t="shared" si="13"/>
        <v>2</v>
      </c>
      <c r="G84" s="41">
        <v>0.05</v>
      </c>
      <c r="H84" s="41">
        <v>0.045</v>
      </c>
      <c r="I84" s="6" t="str">
        <f t="shared" si="7"/>
        <v>Доля утилизации и обезвреживания ТКО в 1пг 2024 г. 5%</v>
      </c>
      <c r="J84" s="6" t="str">
        <f t="shared" si="8"/>
        <v>План по утилизации и обезвреживания ТКО в 2028 г. 5%</v>
      </c>
      <c r="K84" s="44"/>
      <c r="L84" s="9" t="str">
        <f t="shared" si="9"/>
        <v>5/5  (-1)</v>
      </c>
    </row>
    <row r="85" spans="2:12">
      <c r="B85" s="25" t="s">
        <v>130</v>
      </c>
      <c r="C85" s="22">
        <f t="shared" si="10"/>
        <v>2</v>
      </c>
      <c r="D85" s="42">
        <f t="shared" si="11"/>
        <v>2</v>
      </c>
      <c r="E85" s="22">
        <f t="shared" si="12"/>
        <v>2</v>
      </c>
      <c r="F85" s="22">
        <f t="shared" si="13"/>
        <v>2</v>
      </c>
      <c r="G85" s="41">
        <v>0.019</v>
      </c>
      <c r="H85" s="41">
        <v>0.13</v>
      </c>
      <c r="I85" s="6" t="str">
        <f t="shared" si="7"/>
        <v>Доля утилизации и обезвреживания ТКО в 1пг 2024 г. 2%</v>
      </c>
      <c r="J85" s="6" t="str">
        <f t="shared" si="8"/>
        <v>План по утилизации и обезвреживания ТКО в 2028 г. 13%</v>
      </c>
      <c r="K85" s="44"/>
      <c r="L85" s="9" t="str">
        <f t="shared" si="9"/>
        <v>13/2  (11)</v>
      </c>
    </row>
    <row r="86" spans="2:12">
      <c r="B86" s="25" t="s">
        <v>122</v>
      </c>
      <c r="C86" s="22">
        <f t="shared" si="10"/>
        <v>2</v>
      </c>
      <c r="D86" s="42">
        <f t="shared" si="11"/>
        <v>1.5</v>
      </c>
      <c r="E86" s="22">
        <f t="shared" si="12"/>
        <v>2</v>
      </c>
      <c r="F86" s="22">
        <f t="shared" si="13"/>
        <v>1</v>
      </c>
      <c r="G86" s="41">
        <v>0.011</v>
      </c>
      <c r="H86" s="41">
        <v>0.2</v>
      </c>
      <c r="I86" s="6" t="str">
        <f t="shared" si="7"/>
        <v>Доля утилизации и обезвреживания ТКО в 1пг 2024 г. 1%</v>
      </c>
      <c r="J86" s="6" t="str">
        <f t="shared" si="8"/>
        <v>План по утилизации и обезвреживания ТКО в 2028 г. 20%</v>
      </c>
      <c r="K86" s="44"/>
      <c r="L86" s="9" t="str">
        <f t="shared" si="9"/>
        <v>20/1  (19)</v>
      </c>
    </row>
    <row r="87" spans="2:12">
      <c r="B87" s="25" t="s">
        <v>103</v>
      </c>
      <c r="C87" s="22">
        <f t="shared" si="10"/>
        <v>2</v>
      </c>
      <c r="D87" s="42">
        <f t="shared" si="11"/>
        <v>2</v>
      </c>
      <c r="E87" s="22">
        <f t="shared" si="12"/>
        <v>2</v>
      </c>
      <c r="F87" s="22">
        <f t="shared" si="13"/>
        <v>2</v>
      </c>
      <c r="G87" s="41">
        <v>0.014</v>
      </c>
      <c r="H87" s="41">
        <v>0.014</v>
      </c>
      <c r="I87" s="6" t="str">
        <f t="shared" si="7"/>
        <v>Доля утилизации и обезвреживания ТКО в 1пг 2024 г. 1%</v>
      </c>
      <c r="J87" s="6" t="str">
        <f t="shared" si="8"/>
        <v>План по утилизации и обезвреживания ТКО в 2028 г. 1%</v>
      </c>
      <c r="K87" s="44"/>
      <c r="L87" s="9" t="str">
        <f t="shared" si="9"/>
        <v>1/1  (0)</v>
      </c>
    </row>
    <row r="88" spans="2:12">
      <c r="B88" s="25" t="s">
        <v>105</v>
      </c>
      <c r="C88" s="22">
        <f t="shared" si="10"/>
        <v>0</v>
      </c>
      <c r="D88" s="42">
        <f t="shared" si="11"/>
        <v>0.5</v>
      </c>
      <c r="E88" s="22">
        <f t="shared" si="12"/>
        <v>0</v>
      </c>
      <c r="F88" s="22">
        <f t="shared" si="13"/>
        <v>1</v>
      </c>
      <c r="G88" s="41">
        <v>0.385</v>
      </c>
      <c r="H88" s="41">
        <v>0.15</v>
      </c>
      <c r="I88" s="6" t="str">
        <f t="shared" si="7"/>
        <v>Доля утилизации и обезвреживания ТКО в 1пг 2024 г. 39%</v>
      </c>
      <c r="J88" s="6" t="str">
        <f t="shared" si="8"/>
        <v>План по утилизации и обезвреживания ТКО в 2028 г. 15%</v>
      </c>
      <c r="K88" s="44"/>
      <c r="L88" s="9" t="str">
        <f t="shared" si="9"/>
        <v>15/39  (-24)</v>
      </c>
    </row>
    <row r="89" spans="2:12">
      <c r="B89" s="25" t="s">
        <v>125</v>
      </c>
      <c r="C89" s="22">
        <f t="shared" si="10"/>
        <v>1</v>
      </c>
      <c r="D89" s="42">
        <f t="shared" si="11"/>
        <v>1</v>
      </c>
      <c r="E89" s="22">
        <f t="shared" si="12"/>
        <v>2</v>
      </c>
      <c r="F89" s="22">
        <f t="shared" si="13"/>
        <v>0</v>
      </c>
      <c r="G89" s="41">
        <v>0.023</v>
      </c>
      <c r="H89" s="41">
        <v>0.5</v>
      </c>
      <c r="I89" s="6" t="str">
        <f t="shared" si="7"/>
        <v>Доля утилизации и обезвреживания ТКО в 1пг 2024 г. 2%</v>
      </c>
      <c r="J89" s="6" t="str">
        <f t="shared" si="8"/>
        <v>План по утилизации и обезвреживания ТКО в 2028 г. 50%</v>
      </c>
      <c r="K89" s="44"/>
      <c r="L89" s="9" t="str">
        <f t="shared" si="9"/>
        <v>50/2  (48)</v>
      </c>
    </row>
    <row r="90" spans="2:12">
      <c r="B90" s="25" t="s">
        <v>156</v>
      </c>
      <c r="C90" s="22">
        <f t="shared" si="10"/>
        <v>2</v>
      </c>
      <c r="D90" s="42">
        <f t="shared" si="11"/>
        <v>2</v>
      </c>
      <c r="E90" s="22">
        <f t="shared" si="12"/>
        <v>2</v>
      </c>
      <c r="F90" s="22">
        <f t="shared" si="13"/>
        <v>2</v>
      </c>
      <c r="G90" s="41">
        <v>0.025</v>
      </c>
      <c r="H90" s="41">
        <v>0.025</v>
      </c>
      <c r="I90" s="6" t="str">
        <f t="shared" si="7"/>
        <v>Доля утилизации и обезвреживания ТКО в 1пг 2024 г. 3%</v>
      </c>
      <c r="J90" s="6" t="str">
        <f t="shared" si="8"/>
        <v>План по утилизации и обезвреживания ТКО в 2028 г. 3%</v>
      </c>
      <c r="K90" s="44"/>
      <c r="L90" s="9" t="str">
        <f t="shared" si="9"/>
        <v>3/3  (0)</v>
      </c>
    </row>
    <row r="91" spans="2:12">
      <c r="B91" s="25" t="s">
        <v>116</v>
      </c>
      <c r="C91" s="22">
        <f t="shared" si="10"/>
        <v>1</v>
      </c>
      <c r="D91" s="42">
        <f t="shared" si="11"/>
        <v>1</v>
      </c>
      <c r="E91" s="22">
        <f t="shared" si="12"/>
        <v>2</v>
      </c>
      <c r="F91" s="22">
        <f t="shared" si="13"/>
        <v>0</v>
      </c>
      <c r="G91" s="41">
        <v>0.005</v>
      </c>
      <c r="H91" s="41">
        <v>0.348</v>
      </c>
      <c r="I91" s="6" t="str">
        <f t="shared" si="7"/>
        <v>Доля утилизации и обезвреживания ТКО в 1пг 2024 г. 1%</v>
      </c>
      <c r="J91" s="6" t="str">
        <f t="shared" si="8"/>
        <v>План по утилизации и обезвреживания ТКО в 2028 г. 35%</v>
      </c>
      <c r="K91" s="44"/>
      <c r="L91" s="9" t="str">
        <f t="shared" si="9"/>
        <v>35/1  (34)</v>
      </c>
    </row>
    <row r="92" spans="2:12">
      <c r="B92" s="25" t="s">
        <v>73</v>
      </c>
      <c r="C92" s="22">
        <f t="shared" si="10"/>
        <v>1</v>
      </c>
      <c r="D92" s="42">
        <f t="shared" si="11"/>
        <v>1</v>
      </c>
      <c r="E92" s="22">
        <f t="shared" si="12"/>
        <v>1</v>
      </c>
      <c r="F92" s="22">
        <f t="shared" si="13"/>
        <v>1</v>
      </c>
      <c r="G92" s="41">
        <v>0.124</v>
      </c>
      <c r="H92" s="41">
        <v>0.259</v>
      </c>
      <c r="I92" s="6" t="str">
        <f t="shared" si="7"/>
        <v>Доля утилизации и обезвреживания ТКО в 1пг 2024 г. 12%</v>
      </c>
      <c r="J92" s="6" t="str">
        <f t="shared" si="8"/>
        <v>План по утилизации и обезвреживания ТКО в 2028 г. 26%</v>
      </c>
      <c r="K92" s="44"/>
      <c r="L92" s="9" t="str">
        <f t="shared" si="9"/>
        <v>26/12  (14)</v>
      </c>
    </row>
    <row r="93" spans="2:12">
      <c r="B93" s="25" t="s">
        <v>83</v>
      </c>
      <c r="C93" s="22">
        <f t="shared" si="10"/>
        <v>2</v>
      </c>
      <c r="D93" s="42">
        <f t="shared" si="11"/>
        <v>2</v>
      </c>
      <c r="E93" s="22">
        <f t="shared" si="12"/>
        <v>2</v>
      </c>
      <c r="F93" s="22">
        <f t="shared" si="13"/>
        <v>2</v>
      </c>
      <c r="G93" s="41">
        <v>0.04</v>
      </c>
      <c r="H93" s="41">
        <v>0.1</v>
      </c>
      <c r="I93" s="6" t="str">
        <f t="shared" si="7"/>
        <v>Доля утилизации и обезвреживания ТКО в 1пг 2024 г. 4%</v>
      </c>
      <c r="J93" s="6" t="str">
        <f t="shared" si="8"/>
        <v>План по утилизации и обезвреживания ТКО в 2028 г. 10%</v>
      </c>
      <c r="K93" s="44"/>
      <c r="L93" s="9" t="str">
        <f t="shared" si="9"/>
        <v>10/4  (6)</v>
      </c>
    </row>
    <row r="94" spans="2:12">
      <c r="B94" s="25" t="s">
        <v>99</v>
      </c>
      <c r="C94" s="22">
        <f t="shared" si="10"/>
        <v>2</v>
      </c>
      <c r="D94" s="42">
        <f t="shared" si="11"/>
        <v>1.5</v>
      </c>
      <c r="E94" s="22">
        <f t="shared" si="12"/>
        <v>1</v>
      </c>
      <c r="F94" s="22">
        <f t="shared" si="13"/>
        <v>2</v>
      </c>
      <c r="G94" s="41">
        <v>0.092</v>
      </c>
      <c r="H94" s="41">
        <v>0.065</v>
      </c>
      <c r="I94" s="6" t="str">
        <f t="shared" si="7"/>
        <v>Доля утилизации и обезвреживания ТКО в 1пг 2024 г. 9%</v>
      </c>
      <c r="J94" s="6" t="str">
        <f t="shared" si="8"/>
        <v>План по утилизации и обезвреживания ТКО в 2028 г. 7%</v>
      </c>
      <c r="K94" s="44"/>
      <c r="L94" s="9" t="str">
        <f t="shared" si="9"/>
        <v>7/9  (-3)</v>
      </c>
    </row>
    <row r="95" spans="2:12">
      <c r="B95" s="25" t="s">
        <v>128</v>
      </c>
      <c r="C95" s="22">
        <f t="shared" si="10"/>
        <v>2</v>
      </c>
      <c r="D95" s="42">
        <f t="shared" si="11"/>
        <v>2</v>
      </c>
      <c r="E95" s="22">
        <f t="shared" si="12"/>
        <v>2</v>
      </c>
      <c r="F95" s="22">
        <f t="shared" si="13"/>
        <v>2</v>
      </c>
      <c r="G95" s="41">
        <v>0.342</v>
      </c>
      <c r="H95" s="41">
        <v>0.1</v>
      </c>
      <c r="I95" s="6" t="str">
        <f t="shared" si="7"/>
        <v>Доля утилизации и обезвреживания ТКО в 1пг 2024 г. 34%</v>
      </c>
      <c r="J95" s="6" t="str">
        <f t="shared" si="8"/>
        <v>План по утилизации и обезвреживания ТКО в 2028 г. 10%</v>
      </c>
      <c r="K95" s="44" t="s">
        <v>654</v>
      </c>
      <c r="L95" s="9" t="str">
        <f t="shared" si="9"/>
        <v>10/34  (-24)</v>
      </c>
    </row>
    <row r="96" spans="2:12">
      <c r="B96" s="25" t="s">
        <v>145</v>
      </c>
      <c r="C96" s="22">
        <f t="shared" si="10"/>
        <v>0</v>
      </c>
      <c r="D96" s="42">
        <f t="shared" si="11"/>
        <v>0.5</v>
      </c>
      <c r="E96" s="22">
        <f t="shared" si="12"/>
        <v>1</v>
      </c>
      <c r="F96" s="22">
        <f t="shared" si="13"/>
        <v>0</v>
      </c>
      <c r="G96" s="41">
        <v>0.117</v>
      </c>
      <c r="H96" s="41">
        <v>0.296</v>
      </c>
      <c r="I96" s="6" t="str">
        <f t="shared" si="7"/>
        <v>Доля утилизации и обезвреживания ТКО в 1пг 2024 г. 12%</v>
      </c>
      <c r="J96" s="6" t="str">
        <f t="shared" si="8"/>
        <v>План по утилизации и обезвреживания ТКО в 2028 г. 30%</v>
      </c>
      <c r="K96" s="44"/>
      <c r="L96" s="9" t="str">
        <f t="shared" si="9"/>
        <v>30/12  (18)</v>
      </c>
    </row>
    <row r="97" spans="2:12">
      <c r="B97" s="25" t="s">
        <v>84</v>
      </c>
      <c r="C97" s="22">
        <f t="shared" si="10"/>
        <v>2</v>
      </c>
      <c r="D97" s="42">
        <f t="shared" si="11"/>
        <v>2</v>
      </c>
      <c r="E97" s="22">
        <f t="shared" si="12"/>
        <v>2</v>
      </c>
      <c r="F97" s="22">
        <f t="shared" si="13"/>
        <v>2</v>
      </c>
      <c r="G97" s="41">
        <v>0.017</v>
      </c>
      <c r="H97" s="41">
        <v>0.091</v>
      </c>
      <c r="I97" s="6" t="str">
        <f t="shared" si="7"/>
        <v>Доля утилизации и обезвреживания ТКО в 1пг 2024 г. 2%</v>
      </c>
      <c r="J97" s="6" t="str">
        <f t="shared" si="8"/>
        <v>План по утилизации и обезвреживания ТКО в 2028 г. 9%</v>
      </c>
      <c r="K97" s="44"/>
      <c r="L97" s="9" t="str">
        <f t="shared" si="9"/>
        <v>9/2  (7)</v>
      </c>
    </row>
    <row r="98" spans="2:12">
      <c r="B98" s="25" t="s">
        <v>163</v>
      </c>
      <c r="C98" s="22">
        <f t="shared" si="10"/>
        <v>0</v>
      </c>
      <c r="D98" s="42">
        <f t="shared" si="11"/>
        <v>0</v>
      </c>
      <c r="E98" s="43">
        <v>0</v>
      </c>
      <c r="F98" s="43">
        <v>0</v>
      </c>
      <c r="G98" s="41"/>
      <c r="H98" s="41"/>
      <c r="I98" s="6" t="str">
        <f t="shared" si="7"/>
        <v>Доля утилизации и обезвреживания ТКО в 1пг 2024 г. 0%</v>
      </c>
      <c r="J98" s="6" t="str">
        <f t="shared" si="8"/>
        <v>План по утилизации и обезвреживания ТКО в 2028 г. 0%</v>
      </c>
      <c r="K98" s="44"/>
      <c r="L98" s="9" t="str">
        <f t="shared" si="9"/>
        <v>0/0  (0)</v>
      </c>
    </row>
    <row r="99" spans="2:12">
      <c r="B99" s="25" t="s">
        <v>79</v>
      </c>
      <c r="C99" s="22">
        <f t="shared" si="10"/>
        <v>1</v>
      </c>
      <c r="D99" s="42">
        <f t="shared" si="11"/>
        <v>1</v>
      </c>
      <c r="E99" s="22">
        <f t="shared" si="12"/>
        <v>1</v>
      </c>
      <c r="F99" s="22">
        <f t="shared" si="13"/>
        <v>1</v>
      </c>
      <c r="G99" s="41">
        <v>0.137</v>
      </c>
      <c r="H99" s="41">
        <v>0.233</v>
      </c>
      <c r="I99" s="6" t="str">
        <f t="shared" si="7"/>
        <v>Доля утилизации и обезвреживания ТКО в 1пг 2024 г. 14%</v>
      </c>
      <c r="J99" s="6" t="str">
        <f t="shared" si="8"/>
        <v>План по утилизации и обезвреживания ТКО в 2028 г. 23%</v>
      </c>
      <c r="K99" s="44"/>
      <c r="L99" s="9" t="str">
        <f t="shared" si="9"/>
        <v>23/14  (10)</v>
      </c>
    </row>
    <row r="100" spans="2:12">
      <c r="B100" s="25" t="s">
        <v>117</v>
      </c>
      <c r="C100" s="22">
        <f t="shared" si="10"/>
        <v>2</v>
      </c>
      <c r="D100" s="42">
        <f t="shared" si="11"/>
        <v>2</v>
      </c>
      <c r="E100" s="22">
        <f t="shared" si="12"/>
        <v>2</v>
      </c>
      <c r="F100" s="22">
        <f t="shared" si="13"/>
        <v>2</v>
      </c>
      <c r="G100" s="41">
        <v>0.04</v>
      </c>
      <c r="H100" s="41">
        <v>0.1</v>
      </c>
      <c r="I100" s="6" t="str">
        <f t="shared" si="7"/>
        <v>Доля утилизации и обезвреживания ТКО в 1пг 2024 г. 4%</v>
      </c>
      <c r="J100" s="6" t="str">
        <f t="shared" si="8"/>
        <v>План по утилизации и обезвреживания ТКО в 2028 г. 10%</v>
      </c>
      <c r="K100" s="44"/>
      <c r="L100" s="9" t="str">
        <f t="shared" si="9"/>
        <v>10/4  (6)</v>
      </c>
    </row>
    <row r="101" spans="2:12">
      <c r="B101" s="25" t="s">
        <v>82</v>
      </c>
      <c r="C101" s="22">
        <f t="shared" si="10"/>
        <v>2</v>
      </c>
      <c r="D101" s="42">
        <f t="shared" si="11"/>
        <v>1.5</v>
      </c>
      <c r="E101" s="22">
        <f t="shared" si="12"/>
        <v>1</v>
      </c>
      <c r="F101" s="22">
        <f t="shared" si="13"/>
        <v>2</v>
      </c>
      <c r="G101" s="41">
        <v>0.094</v>
      </c>
      <c r="H101" s="41">
        <v>0.047</v>
      </c>
      <c r="I101" s="6" t="str">
        <f t="shared" si="7"/>
        <v>Доля утилизации и обезвреживания ТКО в 1пг 2024 г. 9%</v>
      </c>
      <c r="J101" s="6" t="str">
        <f t="shared" si="8"/>
        <v>План по утилизации и обезвреживания ТКО в 2028 г. 5%</v>
      </c>
      <c r="K101" s="44"/>
      <c r="L101" s="9" t="str">
        <f t="shared" si="9"/>
        <v>5/9  (-5)</v>
      </c>
    </row>
    <row r="102" spans="2:12">
      <c r="B102" s="25" t="s">
        <v>149</v>
      </c>
      <c r="C102" s="22">
        <f t="shared" si="10"/>
        <v>2</v>
      </c>
      <c r="D102" s="42">
        <f t="shared" si="11"/>
        <v>1.5</v>
      </c>
      <c r="E102" s="22">
        <f t="shared" si="12"/>
        <v>2</v>
      </c>
      <c r="F102" s="22">
        <f t="shared" si="13"/>
        <v>1</v>
      </c>
      <c r="G102" s="41">
        <v>0.231</v>
      </c>
      <c r="H102" s="41">
        <v>0.25</v>
      </c>
      <c r="I102" s="6" t="str">
        <f t="shared" si="7"/>
        <v>Доля утилизации и обезвреживания ТКО в 1пг 2024 г. 23%</v>
      </c>
      <c r="J102" s="6" t="str">
        <f t="shared" si="8"/>
        <v>План по утилизации и обезвреживания ТКО в 2028 г. 25%</v>
      </c>
      <c r="K102" s="44" t="s">
        <v>654</v>
      </c>
      <c r="L102" s="9" t="str">
        <f t="shared" si="9"/>
        <v>25/23  (2)</v>
      </c>
    </row>
    <row r="103" spans="2:12">
      <c r="B103" s="25" t="s">
        <v>114</v>
      </c>
      <c r="C103" s="22">
        <f t="shared" si="10"/>
        <v>1</v>
      </c>
      <c r="D103" s="42">
        <f t="shared" si="11"/>
        <v>1</v>
      </c>
      <c r="E103" s="22">
        <f t="shared" si="12"/>
        <v>2</v>
      </c>
      <c r="F103" s="22">
        <f t="shared" si="13"/>
        <v>0</v>
      </c>
      <c r="G103" s="41">
        <v>0.016</v>
      </c>
      <c r="H103" s="41">
        <v>0.35</v>
      </c>
      <c r="I103" s="6" t="str">
        <f t="shared" si="7"/>
        <v>Доля утилизации и обезвреживания ТКО в 1пг 2024 г. 2%</v>
      </c>
      <c r="J103" s="6" t="str">
        <f t="shared" si="8"/>
        <v>План по утилизации и обезвреживания ТКО в 2028 г. 35%</v>
      </c>
      <c r="K103" s="44"/>
      <c r="L103" s="9" t="str">
        <f t="shared" si="9"/>
        <v>35/2  (33)</v>
      </c>
    </row>
    <row r="104" spans="2:12">
      <c r="B104" s="25" t="s">
        <v>80</v>
      </c>
      <c r="C104" s="22">
        <f t="shared" si="10"/>
        <v>2</v>
      </c>
      <c r="D104" s="42">
        <f t="shared" si="11"/>
        <v>1.5</v>
      </c>
      <c r="E104" s="22">
        <f t="shared" si="12"/>
        <v>1</v>
      </c>
      <c r="F104" s="22">
        <f t="shared" si="13"/>
        <v>2</v>
      </c>
      <c r="G104" s="41">
        <v>0.089</v>
      </c>
      <c r="H104" s="41">
        <v>0.082</v>
      </c>
      <c r="I104" s="6" t="str">
        <f t="shared" si="7"/>
        <v>Доля утилизации и обезвреживания ТКО в 1пг 2024 г. 9%</v>
      </c>
      <c r="J104" s="6" t="str">
        <f t="shared" si="8"/>
        <v>План по утилизации и обезвреживания ТКО в 2028 г. 8%</v>
      </c>
      <c r="K104" s="44"/>
      <c r="L104" s="9" t="str">
        <f t="shared" si="9"/>
        <v>8/9  (-1)</v>
      </c>
    </row>
    <row r="107" spans="2:2">
      <c r="B107" s="25"/>
    </row>
  </sheetData>
  <pageMargins left="0.7" right="0.7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6"/>
  <dimension ref="B1:N113"/>
  <sheetViews>
    <sheetView workbookViewId="0">
      <selection activeCell="B6" sqref="B6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4" width="13.5" style="7" customWidth="1"/>
    <col min="5" max="6" width="13.5" style="9" customWidth="1"/>
    <col min="7" max="7" width="13.5" style="17" customWidth="1"/>
    <col min="8" max="9" width="13.5" style="9" customWidth="1"/>
    <col min="10" max="16384" width="10.8583333333333" style="6"/>
  </cols>
  <sheetData>
    <row r="1" spans="5:9">
      <c r="E1" s="6"/>
      <c r="F1" s="6"/>
      <c r="H1" s="6"/>
      <c r="I1" s="6"/>
    </row>
    <row r="2" ht="15.6" spans="2:2">
      <c r="B2" s="4" t="s">
        <v>664</v>
      </c>
    </row>
    <row r="4" s="4" customFormat="1" ht="15.6" spans="2:14">
      <c r="B4" s="4" t="s">
        <v>170</v>
      </c>
      <c r="C4" s="12" t="s">
        <v>171</v>
      </c>
      <c r="D4" s="12"/>
      <c r="E4" s="12"/>
      <c r="F4" s="12"/>
      <c r="G4" s="12"/>
      <c r="H4" s="12"/>
      <c r="I4" s="12"/>
      <c r="J4" s="28"/>
      <c r="K4" s="28"/>
      <c r="L4" s="28"/>
      <c r="M4" s="28"/>
      <c r="N4" s="28"/>
    </row>
    <row r="5" spans="2:14">
      <c r="B5" s="6" t="s">
        <v>665</v>
      </c>
      <c r="C5" s="15">
        <v>45574</v>
      </c>
      <c r="E5" s="7"/>
      <c r="F5" s="7"/>
      <c r="G5" s="7"/>
      <c r="H5" s="7"/>
      <c r="I5" s="7"/>
      <c r="J5" s="11"/>
      <c r="K5" s="11"/>
      <c r="L5" s="11"/>
      <c r="M5" s="11"/>
      <c r="N5" s="11"/>
    </row>
    <row r="7" spans="2:7">
      <c r="B7" s="6" t="s">
        <v>173</v>
      </c>
      <c r="G7" s="36">
        <f>G9*2</f>
        <v>0.207758029961781</v>
      </c>
    </row>
    <row r="8" spans="2:7">
      <c r="B8" s="6" t="s">
        <v>174</v>
      </c>
      <c r="D8" s="11">
        <v>1</v>
      </c>
      <c r="G8" s="36"/>
    </row>
    <row r="9" spans="2:7">
      <c r="B9" s="6" t="s">
        <v>175</v>
      </c>
      <c r="D9" s="11">
        <v>0.5</v>
      </c>
      <c r="G9" s="36">
        <f>G15</f>
        <v>0.103879014980891</v>
      </c>
    </row>
    <row r="10" spans="2:2">
      <c r="B10" s="6" t="s">
        <v>176</v>
      </c>
    </row>
    <row r="11" spans="2:3">
      <c r="B11" s="6" t="s">
        <v>177</v>
      </c>
      <c r="C11" s="17"/>
    </row>
    <row r="12" spans="3:3">
      <c r="C12" s="17"/>
    </row>
    <row r="14" s="5" customFormat="1" ht="45" spans="2:9">
      <c r="B14" s="5" t="s">
        <v>2</v>
      </c>
      <c r="C14" s="19" t="s">
        <v>178</v>
      </c>
      <c r="D14" s="19" t="s">
        <v>179</v>
      </c>
      <c r="E14" s="21" t="s">
        <v>191</v>
      </c>
      <c r="F14" s="21" t="s">
        <v>666</v>
      </c>
      <c r="G14" s="21" t="s">
        <v>667</v>
      </c>
      <c r="H14" s="21"/>
      <c r="I14" s="21"/>
    </row>
    <row r="15" s="5" customFormat="1" spans="2:9">
      <c r="B15" s="5" t="s">
        <v>182</v>
      </c>
      <c r="C15" s="22"/>
      <c r="D15" s="22"/>
      <c r="E15" s="24">
        <f t="shared" ref="E15" si="0">SUM(E16:E104)</f>
        <v>146150789</v>
      </c>
      <c r="F15" s="37">
        <f>SUM(F16:F108)</f>
        <v>15182</v>
      </c>
      <c r="G15" s="38">
        <f>IF(F15&gt;0,F15/E15*1000,"")</f>
        <v>0.103879014980891</v>
      </c>
      <c r="H15" s="24"/>
      <c r="I15" s="24"/>
    </row>
    <row r="16" spans="2:9">
      <c r="B16" s="25" t="s">
        <v>146</v>
      </c>
      <c r="C16" s="22">
        <f>IF(D16&gt;$D$8,2,IF(D16&gt;$D$9,1,0))</f>
        <v>0</v>
      </c>
      <c r="D16" s="22">
        <f>IF(G16&gt;G7,2,IF(G16&gt;G9,1,0))</f>
        <v>0</v>
      </c>
      <c r="E16" s="24">
        <v>2115308</v>
      </c>
      <c r="F16" s="37">
        <v>44</v>
      </c>
      <c r="G16" s="38">
        <f t="shared" ref="G16:G79" si="1">IF(F16&gt;0,F16/E16*1000,"")</f>
        <v>0.0208007533654673</v>
      </c>
      <c r="H16" s="24"/>
      <c r="I16" s="24"/>
    </row>
    <row r="17" spans="2:9">
      <c r="B17" s="25" t="s">
        <v>150</v>
      </c>
      <c r="C17" s="22">
        <f t="shared" ref="C17:C80" si="2">IF(D17&gt;$D$8,2,IF(D17&gt;$D$9,1,0))</f>
        <v>2</v>
      </c>
      <c r="D17" s="22">
        <f t="shared" ref="D17:D80" si="3">IF(G17&gt;G8,2,IF(G17&gt;G10,1,0))</f>
        <v>2</v>
      </c>
      <c r="E17" s="24">
        <v>750083</v>
      </c>
      <c r="F17" s="37">
        <v>3523</v>
      </c>
      <c r="G17" s="38">
        <f t="shared" si="1"/>
        <v>4.69681355263351</v>
      </c>
      <c r="H17" s="24"/>
      <c r="I17" s="24"/>
    </row>
    <row r="18" spans="2:9">
      <c r="B18" s="25" t="s">
        <v>133</v>
      </c>
      <c r="C18" s="22">
        <f t="shared" si="2"/>
        <v>1</v>
      </c>
      <c r="D18" s="22">
        <f t="shared" si="3"/>
        <v>1</v>
      </c>
      <c r="E18" s="24">
        <v>955848</v>
      </c>
      <c r="F18" s="37">
        <v>17</v>
      </c>
      <c r="G18" s="38">
        <f t="shared" si="1"/>
        <v>0.0177852545593023</v>
      </c>
      <c r="H18" s="24"/>
      <c r="I18" s="24"/>
    </row>
    <row r="19" spans="2:9">
      <c r="B19" s="25" t="s">
        <v>121</v>
      </c>
      <c r="C19" s="22">
        <f t="shared" si="2"/>
        <v>2</v>
      </c>
      <c r="D19" s="22">
        <f t="shared" si="3"/>
        <v>2</v>
      </c>
      <c r="E19" s="24">
        <v>946429</v>
      </c>
      <c r="F19" s="37">
        <v>141</v>
      </c>
      <c r="G19" s="38">
        <f t="shared" si="1"/>
        <v>0.148981064612348</v>
      </c>
      <c r="H19" s="24"/>
      <c r="I19" s="24"/>
    </row>
    <row r="20" spans="2:9">
      <c r="B20" s="25" t="s">
        <v>106</v>
      </c>
      <c r="C20" s="22">
        <f t="shared" si="2"/>
        <v>2</v>
      </c>
      <c r="D20" s="22">
        <f t="shared" si="3"/>
        <v>2</v>
      </c>
      <c r="E20" s="24">
        <v>1500659</v>
      </c>
      <c r="F20" s="37">
        <v>447</v>
      </c>
      <c r="G20" s="38">
        <f t="shared" si="1"/>
        <v>0.297869136159514</v>
      </c>
      <c r="H20" s="24"/>
      <c r="I20" s="24"/>
    </row>
    <row r="21" spans="2:9">
      <c r="B21" s="25" t="s">
        <v>91</v>
      </c>
      <c r="C21" s="22">
        <f t="shared" si="2"/>
        <v>2</v>
      </c>
      <c r="D21" s="22">
        <f t="shared" si="3"/>
        <v>2</v>
      </c>
      <c r="E21" s="24">
        <v>1142404</v>
      </c>
      <c r="F21" s="37">
        <v>110</v>
      </c>
      <c r="G21" s="38">
        <f t="shared" si="1"/>
        <v>0.0962881782626812</v>
      </c>
      <c r="H21" s="24"/>
      <c r="I21" s="24"/>
    </row>
    <row r="22" spans="2:9">
      <c r="B22" s="25" t="s">
        <v>113</v>
      </c>
      <c r="C22" s="22">
        <f t="shared" si="2"/>
        <v>2</v>
      </c>
      <c r="D22" s="22">
        <f t="shared" si="3"/>
        <v>2</v>
      </c>
      <c r="E22" s="24">
        <v>1309942</v>
      </c>
      <c r="F22" s="37">
        <v>407</v>
      </c>
      <c r="G22" s="38">
        <f t="shared" si="1"/>
        <v>0.310700779118465</v>
      </c>
      <c r="H22" s="24"/>
      <c r="I22" s="24"/>
    </row>
    <row r="23" spans="2:9">
      <c r="B23" s="25" t="s">
        <v>86</v>
      </c>
      <c r="C23" s="22">
        <f t="shared" si="2"/>
        <v>1</v>
      </c>
      <c r="D23" s="22">
        <f t="shared" si="3"/>
        <v>1</v>
      </c>
      <c r="E23" s="24">
        <v>2453898</v>
      </c>
      <c r="F23" s="37">
        <v>177</v>
      </c>
      <c r="G23" s="38">
        <f t="shared" si="1"/>
        <v>0.0721301374384754</v>
      </c>
      <c r="H23" s="24"/>
      <c r="I23" s="24"/>
    </row>
    <row r="24" spans="2:9">
      <c r="B24" s="25" t="s">
        <v>107</v>
      </c>
      <c r="C24" s="22">
        <f t="shared" si="2"/>
        <v>0</v>
      </c>
      <c r="D24" s="22">
        <f t="shared" si="3"/>
        <v>0</v>
      </c>
      <c r="E24" s="24">
        <v>1121343</v>
      </c>
      <c r="F24" s="37">
        <v>58</v>
      </c>
      <c r="G24" s="38">
        <f t="shared" si="1"/>
        <v>0.0517236920371376</v>
      </c>
      <c r="H24" s="24"/>
      <c r="I24" s="24"/>
    </row>
    <row r="25" spans="2:9">
      <c r="B25" s="25" t="s">
        <v>137</v>
      </c>
      <c r="C25" s="22">
        <f t="shared" si="2"/>
        <v>2</v>
      </c>
      <c r="D25" s="22">
        <f t="shared" si="3"/>
        <v>2</v>
      </c>
      <c r="E25" s="24">
        <v>2273417</v>
      </c>
      <c r="F25" s="37">
        <v>178</v>
      </c>
      <c r="G25" s="38">
        <f t="shared" si="1"/>
        <v>0.0782962386574922</v>
      </c>
      <c r="H25" s="24"/>
      <c r="I25" s="24"/>
    </row>
    <row r="26" spans="2:9">
      <c r="B26" s="25" t="s">
        <v>68</v>
      </c>
      <c r="C26" s="22">
        <f t="shared" si="2"/>
        <v>0</v>
      </c>
      <c r="D26" s="22">
        <f t="shared" si="3"/>
        <v>0</v>
      </c>
      <c r="E26" s="24">
        <v>13149803</v>
      </c>
      <c r="F26" s="37">
        <v>415</v>
      </c>
      <c r="G26" s="38">
        <f t="shared" si="1"/>
        <v>0.0315594081523503</v>
      </c>
      <c r="H26" s="24"/>
      <c r="I26" s="24"/>
    </row>
    <row r="27" spans="2:9">
      <c r="B27" s="25" t="s">
        <v>71</v>
      </c>
      <c r="C27" s="22">
        <f t="shared" si="2"/>
        <v>2</v>
      </c>
      <c r="D27" s="22">
        <f t="shared" si="3"/>
        <v>2</v>
      </c>
      <c r="E27" s="24">
        <v>5597763</v>
      </c>
      <c r="F27" s="37">
        <v>579</v>
      </c>
      <c r="G27" s="38">
        <f t="shared" si="1"/>
        <v>0.103434175401852</v>
      </c>
      <c r="H27" s="24"/>
      <c r="I27" s="24"/>
    </row>
    <row r="28" spans="2:9">
      <c r="B28" s="25" t="s">
        <v>118</v>
      </c>
      <c r="C28" s="22">
        <f t="shared" si="2"/>
        <v>0</v>
      </c>
      <c r="D28" s="22">
        <f t="shared" si="3"/>
        <v>0</v>
      </c>
      <c r="E28" s="24">
        <v>561374</v>
      </c>
      <c r="F28" s="37">
        <v>20</v>
      </c>
      <c r="G28" s="38">
        <f t="shared" si="1"/>
        <v>0.035626872637493</v>
      </c>
      <c r="H28" s="24"/>
      <c r="I28" s="24"/>
    </row>
    <row r="29" spans="2:9">
      <c r="B29" s="25" t="s">
        <v>160</v>
      </c>
      <c r="C29" s="22">
        <f t="shared" si="2"/>
        <v>2</v>
      </c>
      <c r="D29" s="22">
        <f t="shared" si="3"/>
        <v>2</v>
      </c>
      <c r="E29" s="24"/>
      <c r="F29" s="37"/>
      <c r="G29" s="38" t="str">
        <f t="shared" si="1"/>
        <v/>
      </c>
      <c r="H29" s="24"/>
      <c r="I29" s="24"/>
    </row>
    <row r="30" spans="2:9">
      <c r="B30" s="25" t="s">
        <v>131</v>
      </c>
      <c r="C30" s="22">
        <f t="shared" si="2"/>
        <v>0</v>
      </c>
      <c r="D30" s="22">
        <f t="shared" si="3"/>
        <v>0</v>
      </c>
      <c r="E30" s="24">
        <v>145802</v>
      </c>
      <c r="F30" s="37">
        <v>3</v>
      </c>
      <c r="G30" s="38">
        <f t="shared" si="1"/>
        <v>0.020575849439651</v>
      </c>
      <c r="H30" s="24"/>
      <c r="I30" s="24"/>
    </row>
    <row r="31" spans="2:9">
      <c r="B31" s="25" t="s">
        <v>155</v>
      </c>
      <c r="C31" s="22">
        <f t="shared" si="2"/>
        <v>0</v>
      </c>
      <c r="D31" s="22">
        <f t="shared" si="3"/>
        <v>0</v>
      </c>
      <c r="E31" s="24">
        <v>984395</v>
      </c>
      <c r="F31" s="37">
        <v>19</v>
      </c>
      <c r="G31" s="38">
        <f t="shared" si="1"/>
        <v>0.0193011951503208</v>
      </c>
      <c r="H31" s="24"/>
      <c r="I31" s="24"/>
    </row>
    <row r="32" spans="2:9">
      <c r="B32" s="25" t="s">
        <v>161</v>
      </c>
      <c r="C32" s="22">
        <f t="shared" si="2"/>
        <v>2</v>
      </c>
      <c r="D32" s="22">
        <f t="shared" si="3"/>
        <v>2</v>
      </c>
      <c r="E32" s="24"/>
      <c r="F32" s="37"/>
      <c r="G32" s="38" t="str">
        <f t="shared" si="1"/>
        <v/>
      </c>
      <c r="H32" s="24"/>
      <c r="I32" s="24"/>
    </row>
    <row r="33" spans="2:9">
      <c r="B33" s="25" t="s">
        <v>81</v>
      </c>
      <c r="C33" s="22">
        <f t="shared" si="2"/>
        <v>2</v>
      </c>
      <c r="D33" s="22">
        <f t="shared" si="3"/>
        <v>2</v>
      </c>
      <c r="E33" s="24">
        <v>905900</v>
      </c>
      <c r="F33" s="37">
        <v>127</v>
      </c>
      <c r="G33" s="38">
        <f t="shared" si="1"/>
        <v>0.140192074180373</v>
      </c>
      <c r="H33" s="24"/>
      <c r="I33" s="24"/>
    </row>
    <row r="34" spans="2:9">
      <c r="B34" s="25" t="s">
        <v>148</v>
      </c>
      <c r="C34" s="22">
        <f t="shared" si="2"/>
        <v>0</v>
      </c>
      <c r="D34" s="22">
        <f t="shared" si="3"/>
        <v>0</v>
      </c>
      <c r="E34" s="24">
        <v>2330537</v>
      </c>
      <c r="F34" s="37">
        <v>49</v>
      </c>
      <c r="G34" s="38">
        <f t="shared" si="1"/>
        <v>0.0210251971970409</v>
      </c>
      <c r="H34" s="24"/>
      <c r="I34" s="24"/>
    </row>
    <row r="35" spans="2:9">
      <c r="B35" s="25" t="s">
        <v>126</v>
      </c>
      <c r="C35" s="22">
        <f t="shared" si="2"/>
        <v>0</v>
      </c>
      <c r="D35" s="22">
        <f t="shared" si="3"/>
        <v>0</v>
      </c>
      <c r="E35" s="24">
        <v>905464</v>
      </c>
      <c r="F35" s="37">
        <v>19</v>
      </c>
      <c r="G35" s="38">
        <f t="shared" si="1"/>
        <v>0.0209837166358905</v>
      </c>
      <c r="H35" s="24"/>
      <c r="I35" s="24"/>
    </row>
    <row r="36" spans="2:9">
      <c r="B36" s="25" t="s">
        <v>119</v>
      </c>
      <c r="C36" s="22">
        <f t="shared" si="2"/>
        <v>0</v>
      </c>
      <c r="D36" s="22">
        <f t="shared" si="3"/>
        <v>0</v>
      </c>
      <c r="E36" s="24">
        <v>1033914</v>
      </c>
      <c r="F36" s="37">
        <v>69</v>
      </c>
      <c r="G36" s="38">
        <f t="shared" si="1"/>
        <v>0.0667366918331699</v>
      </c>
      <c r="H36" s="24"/>
      <c r="I36" s="24"/>
    </row>
    <row r="37" spans="2:9">
      <c r="B37" s="25" t="s">
        <v>87</v>
      </c>
      <c r="C37" s="22">
        <f t="shared" si="2"/>
        <v>2</v>
      </c>
      <c r="D37" s="22">
        <f t="shared" si="3"/>
        <v>2</v>
      </c>
      <c r="E37" s="24">
        <v>1068410</v>
      </c>
      <c r="F37" s="37">
        <v>169</v>
      </c>
      <c r="G37" s="38">
        <f t="shared" si="1"/>
        <v>0.158178976235715</v>
      </c>
      <c r="H37" s="24"/>
      <c r="I37" s="24"/>
    </row>
    <row r="38" spans="2:9">
      <c r="B38" s="25" t="s">
        <v>134</v>
      </c>
      <c r="C38" s="22">
        <f t="shared" si="2"/>
        <v>1</v>
      </c>
      <c r="D38" s="22">
        <f t="shared" si="3"/>
        <v>1</v>
      </c>
      <c r="E38" s="24">
        <v>288947</v>
      </c>
      <c r="F38" s="37">
        <v>22</v>
      </c>
      <c r="G38" s="38">
        <f t="shared" si="1"/>
        <v>0.0761385305955763</v>
      </c>
      <c r="H38" s="24"/>
      <c r="I38" s="24"/>
    </row>
    <row r="39" spans="2:9">
      <c r="B39" s="25" t="s">
        <v>138</v>
      </c>
      <c r="C39" s="22">
        <f t="shared" si="2"/>
        <v>2</v>
      </c>
      <c r="D39" s="22">
        <f t="shared" si="3"/>
        <v>2</v>
      </c>
      <c r="E39" s="24">
        <v>468322</v>
      </c>
      <c r="F39" s="37">
        <v>26</v>
      </c>
      <c r="G39" s="38">
        <f t="shared" si="1"/>
        <v>0.055517357715418</v>
      </c>
      <c r="H39" s="24"/>
      <c r="I39" s="24"/>
    </row>
    <row r="40" spans="2:9">
      <c r="B40" s="25" t="s">
        <v>109</v>
      </c>
      <c r="C40" s="22">
        <f t="shared" si="2"/>
        <v>2</v>
      </c>
      <c r="D40" s="22">
        <f t="shared" si="3"/>
        <v>2</v>
      </c>
      <c r="E40" s="24">
        <v>2547684</v>
      </c>
      <c r="F40" s="37">
        <v>94</v>
      </c>
      <c r="G40" s="38">
        <f t="shared" si="1"/>
        <v>0.0368962555795774</v>
      </c>
      <c r="H40" s="24"/>
      <c r="I40" s="24"/>
    </row>
    <row r="41" spans="2:9">
      <c r="B41" s="25" t="s">
        <v>76</v>
      </c>
      <c r="C41" s="22">
        <f t="shared" si="2"/>
        <v>1</v>
      </c>
      <c r="D41" s="22">
        <f t="shared" si="3"/>
        <v>1</v>
      </c>
      <c r="E41" s="24">
        <v>1129935</v>
      </c>
      <c r="F41" s="37">
        <v>37</v>
      </c>
      <c r="G41" s="38">
        <f t="shared" si="1"/>
        <v>0.0327452464079792</v>
      </c>
      <c r="H41" s="24"/>
      <c r="I41" s="24"/>
    </row>
    <row r="42" spans="2:9">
      <c r="B42" s="25" t="s">
        <v>89</v>
      </c>
      <c r="C42" s="22">
        <f t="shared" si="2"/>
        <v>1</v>
      </c>
      <c r="D42" s="22">
        <f t="shared" si="3"/>
        <v>1</v>
      </c>
      <c r="E42" s="24">
        <v>566266</v>
      </c>
      <c r="F42" s="37">
        <v>33</v>
      </c>
      <c r="G42" s="38">
        <f t="shared" si="1"/>
        <v>0.058276499030491</v>
      </c>
      <c r="H42" s="24"/>
      <c r="I42" s="24"/>
    </row>
    <row r="43" spans="2:9">
      <c r="B43" s="25" t="s">
        <v>141</v>
      </c>
      <c r="C43" s="22">
        <f t="shared" si="2"/>
        <v>2</v>
      </c>
      <c r="D43" s="22">
        <f t="shared" si="3"/>
        <v>2</v>
      </c>
      <c r="E43" s="24">
        <v>5833002</v>
      </c>
      <c r="F43" s="37">
        <v>634</v>
      </c>
      <c r="G43" s="38">
        <f t="shared" si="1"/>
        <v>0.108691887984952</v>
      </c>
      <c r="H43" s="24"/>
      <c r="I43" s="24"/>
    </row>
    <row r="44" spans="2:9">
      <c r="B44" s="25" t="s">
        <v>142</v>
      </c>
      <c r="C44" s="22">
        <f t="shared" si="2"/>
        <v>2</v>
      </c>
      <c r="D44" s="22">
        <f t="shared" si="3"/>
        <v>2</v>
      </c>
      <c r="E44" s="24">
        <v>2846120</v>
      </c>
      <c r="F44" s="37">
        <v>90</v>
      </c>
      <c r="G44" s="38">
        <f t="shared" si="1"/>
        <v>0.0316219976669993</v>
      </c>
      <c r="H44" s="24"/>
      <c r="I44" s="24"/>
    </row>
    <row r="45" spans="2:9">
      <c r="B45" s="25" t="s">
        <v>132</v>
      </c>
      <c r="C45" s="22">
        <f t="shared" si="2"/>
        <v>0</v>
      </c>
      <c r="D45" s="22">
        <f t="shared" si="3"/>
        <v>0</v>
      </c>
      <c r="E45" s="24">
        <v>753002</v>
      </c>
      <c r="F45" s="37">
        <v>34</v>
      </c>
      <c r="G45" s="38">
        <f t="shared" si="1"/>
        <v>0.045152602516328</v>
      </c>
      <c r="H45" s="24"/>
      <c r="I45" s="24"/>
    </row>
    <row r="46" spans="2:9">
      <c r="B46" s="25" t="s">
        <v>77</v>
      </c>
      <c r="C46" s="22">
        <f t="shared" si="2"/>
        <v>0</v>
      </c>
      <c r="D46" s="22">
        <f t="shared" si="3"/>
        <v>0</v>
      </c>
      <c r="E46" s="24">
        <v>1060892</v>
      </c>
      <c r="F46" s="37">
        <v>53</v>
      </c>
      <c r="G46" s="38">
        <f t="shared" si="1"/>
        <v>0.0499579599054381</v>
      </c>
      <c r="H46" s="24"/>
      <c r="I46" s="24"/>
    </row>
    <row r="47" spans="2:9">
      <c r="B47" s="25" t="s">
        <v>92</v>
      </c>
      <c r="C47" s="22">
        <f t="shared" si="2"/>
        <v>2</v>
      </c>
      <c r="D47" s="22">
        <f t="shared" si="3"/>
        <v>2</v>
      </c>
      <c r="E47" s="24">
        <v>2035762</v>
      </c>
      <c r="F47" s="37">
        <v>409</v>
      </c>
      <c r="G47" s="38">
        <f t="shared" si="1"/>
        <v>0.200907571710249</v>
      </c>
      <c r="H47" s="24"/>
      <c r="I47" s="24"/>
    </row>
    <row r="48" spans="2:9">
      <c r="B48" s="25" t="s">
        <v>101</v>
      </c>
      <c r="C48" s="22">
        <f t="shared" si="2"/>
        <v>2</v>
      </c>
      <c r="D48" s="22">
        <f t="shared" si="3"/>
        <v>2</v>
      </c>
      <c r="E48" s="24">
        <v>1116265</v>
      </c>
      <c r="F48" s="37">
        <v>94</v>
      </c>
      <c r="G48" s="38">
        <f t="shared" si="1"/>
        <v>0.0842093947225793</v>
      </c>
      <c r="H48" s="24"/>
      <c r="I48" s="24"/>
    </row>
    <row r="49" spans="2:9">
      <c r="B49" s="25" t="s">
        <v>162</v>
      </c>
      <c r="C49" s="22">
        <f t="shared" si="2"/>
        <v>2</v>
      </c>
      <c r="D49" s="22">
        <f t="shared" si="3"/>
        <v>2</v>
      </c>
      <c r="E49" s="24"/>
      <c r="F49" s="37"/>
      <c r="G49" s="38" t="str">
        <f t="shared" si="1"/>
        <v/>
      </c>
      <c r="H49" s="24"/>
      <c r="I49" s="24"/>
    </row>
    <row r="50" spans="2:9">
      <c r="B50" s="25" t="s">
        <v>153</v>
      </c>
      <c r="C50" s="22">
        <f t="shared" si="2"/>
        <v>0</v>
      </c>
      <c r="D50" s="22">
        <f t="shared" si="3"/>
        <v>0</v>
      </c>
      <c r="E50" s="24">
        <v>133387</v>
      </c>
      <c r="F50" s="37">
        <v>3</v>
      </c>
      <c r="G50" s="38">
        <f t="shared" si="1"/>
        <v>0.022490947393674</v>
      </c>
      <c r="H50" s="24"/>
      <c r="I50" s="24"/>
    </row>
    <row r="51" spans="2:9">
      <c r="B51" s="25" t="s">
        <v>69</v>
      </c>
      <c r="C51" s="22">
        <f t="shared" si="2"/>
        <v>2</v>
      </c>
      <c r="D51" s="22">
        <f t="shared" si="3"/>
        <v>2</v>
      </c>
      <c r="E51" s="24">
        <v>8651260</v>
      </c>
      <c r="F51" s="37">
        <v>943</v>
      </c>
      <c r="G51" s="38">
        <f t="shared" si="1"/>
        <v>0.109001463370654</v>
      </c>
      <c r="H51" s="24"/>
      <c r="I51" s="24"/>
    </row>
    <row r="52" spans="2:9">
      <c r="B52" s="25" t="s">
        <v>72</v>
      </c>
      <c r="C52" s="22">
        <f t="shared" si="2"/>
        <v>1</v>
      </c>
      <c r="D52" s="22">
        <f t="shared" si="3"/>
        <v>1</v>
      </c>
      <c r="E52" s="24">
        <v>656438</v>
      </c>
      <c r="F52" s="37">
        <v>43</v>
      </c>
      <c r="G52" s="38">
        <f t="shared" si="1"/>
        <v>0.0655050438883794</v>
      </c>
      <c r="H52" s="24"/>
      <c r="I52" s="24"/>
    </row>
    <row r="53" spans="2:9">
      <c r="B53" s="25" t="s">
        <v>127</v>
      </c>
      <c r="C53" s="22">
        <f t="shared" si="2"/>
        <v>2</v>
      </c>
      <c r="D53" s="22">
        <f t="shared" si="3"/>
        <v>2</v>
      </c>
      <c r="E53" s="24">
        <v>42224</v>
      </c>
      <c r="F53" s="37">
        <v>306</v>
      </c>
      <c r="G53" s="38">
        <f t="shared" si="1"/>
        <v>7.24706328154604</v>
      </c>
      <c r="H53" s="24"/>
      <c r="I53" s="24"/>
    </row>
    <row r="54" spans="2:9">
      <c r="B54" s="25" t="s">
        <v>93</v>
      </c>
      <c r="C54" s="22">
        <f t="shared" si="2"/>
        <v>0</v>
      </c>
      <c r="D54" s="22">
        <f t="shared" si="3"/>
        <v>0</v>
      </c>
      <c r="E54" s="24">
        <v>3060335</v>
      </c>
      <c r="F54" s="37">
        <v>26</v>
      </c>
      <c r="G54" s="38">
        <f t="shared" si="1"/>
        <v>0.00849580193018085</v>
      </c>
      <c r="H54" s="24"/>
      <c r="I54" s="24"/>
    </row>
    <row r="55" spans="2:9">
      <c r="B55" s="25" t="s">
        <v>90</v>
      </c>
      <c r="C55" s="22">
        <f t="shared" si="2"/>
        <v>2</v>
      </c>
      <c r="D55" s="22">
        <f t="shared" si="3"/>
        <v>2</v>
      </c>
      <c r="E55" s="24">
        <v>571447</v>
      </c>
      <c r="F55" s="37">
        <v>115</v>
      </c>
      <c r="G55" s="38">
        <f t="shared" si="1"/>
        <v>0.201243509896806</v>
      </c>
      <c r="H55" s="24"/>
      <c r="I55" s="24"/>
    </row>
    <row r="56" spans="2:9">
      <c r="B56" s="25" t="s">
        <v>123</v>
      </c>
      <c r="C56" s="22">
        <f t="shared" si="2"/>
        <v>0</v>
      </c>
      <c r="D56" s="22">
        <f t="shared" si="3"/>
        <v>0</v>
      </c>
      <c r="E56" s="24">
        <v>2789532</v>
      </c>
      <c r="F56" s="37">
        <v>91</v>
      </c>
      <c r="G56" s="38">
        <f t="shared" si="1"/>
        <v>0.0326219595258273</v>
      </c>
      <c r="H56" s="24"/>
      <c r="I56" s="24"/>
    </row>
    <row r="57" spans="2:9">
      <c r="B57" s="25" t="s">
        <v>139</v>
      </c>
      <c r="C57" s="22">
        <f t="shared" si="2"/>
        <v>2</v>
      </c>
      <c r="D57" s="22">
        <f t="shared" si="3"/>
        <v>2</v>
      </c>
      <c r="E57" s="24">
        <v>1818093</v>
      </c>
      <c r="F57" s="37">
        <v>302</v>
      </c>
      <c r="G57" s="38">
        <f t="shared" si="1"/>
        <v>0.166108114381388</v>
      </c>
      <c r="H57" s="24"/>
      <c r="I57" s="24"/>
    </row>
    <row r="58" spans="2:9">
      <c r="B58" s="25" t="s">
        <v>94</v>
      </c>
      <c r="C58" s="22">
        <f t="shared" si="2"/>
        <v>1</v>
      </c>
      <c r="D58" s="22">
        <f t="shared" si="3"/>
        <v>1</v>
      </c>
      <c r="E58" s="24">
        <v>1828656</v>
      </c>
      <c r="F58" s="37">
        <v>201</v>
      </c>
      <c r="G58" s="38">
        <f t="shared" si="1"/>
        <v>0.1099167913484</v>
      </c>
      <c r="H58" s="24"/>
      <c r="I58" s="24"/>
    </row>
    <row r="59" spans="2:9">
      <c r="B59" s="25" t="s">
        <v>111</v>
      </c>
      <c r="C59" s="22">
        <f t="shared" si="2"/>
        <v>2</v>
      </c>
      <c r="D59" s="22">
        <f t="shared" si="3"/>
        <v>2</v>
      </c>
      <c r="E59" s="24">
        <v>692486</v>
      </c>
      <c r="F59" s="37">
        <v>75</v>
      </c>
      <c r="G59" s="38">
        <f t="shared" si="1"/>
        <v>0.108305438665908</v>
      </c>
      <c r="H59" s="24"/>
      <c r="I59" s="24"/>
    </row>
    <row r="60" spans="2:9">
      <c r="B60" s="25" t="s">
        <v>124</v>
      </c>
      <c r="C60" s="22">
        <f t="shared" si="2"/>
        <v>0</v>
      </c>
      <c r="D60" s="22">
        <f t="shared" si="3"/>
        <v>0</v>
      </c>
      <c r="E60" s="24">
        <v>1236113</v>
      </c>
      <c r="F60" s="37">
        <v>111</v>
      </c>
      <c r="G60" s="38">
        <f t="shared" si="1"/>
        <v>0.0897976155901604</v>
      </c>
      <c r="H60" s="24"/>
      <c r="I60" s="24"/>
    </row>
    <row r="61" spans="2:9">
      <c r="B61" s="25" t="s">
        <v>143</v>
      </c>
      <c r="C61" s="22">
        <f t="shared" si="2"/>
        <v>2</v>
      </c>
      <c r="D61" s="22">
        <f t="shared" si="3"/>
        <v>2</v>
      </c>
      <c r="E61" s="24">
        <v>2495266</v>
      </c>
      <c r="F61" s="37">
        <v>181</v>
      </c>
      <c r="G61" s="38">
        <f t="shared" si="1"/>
        <v>0.0725373567387204</v>
      </c>
      <c r="H61" s="24"/>
      <c r="I61" s="24"/>
    </row>
    <row r="62" spans="2:9">
      <c r="B62" s="25" t="s">
        <v>144</v>
      </c>
      <c r="C62" s="22">
        <f t="shared" si="2"/>
        <v>0</v>
      </c>
      <c r="D62" s="22">
        <f t="shared" si="3"/>
        <v>0</v>
      </c>
      <c r="E62" s="24">
        <v>1806393</v>
      </c>
      <c r="F62" s="37">
        <v>99</v>
      </c>
      <c r="G62" s="38">
        <f t="shared" si="1"/>
        <v>0.0548053496664347</v>
      </c>
      <c r="H62" s="24"/>
      <c r="I62" s="24"/>
    </row>
    <row r="63" spans="2:9">
      <c r="B63" s="25" t="s">
        <v>95</v>
      </c>
      <c r="C63" s="22">
        <f t="shared" si="2"/>
        <v>2</v>
      </c>
      <c r="D63" s="22">
        <f t="shared" si="3"/>
        <v>2</v>
      </c>
      <c r="E63" s="24">
        <v>581147</v>
      </c>
      <c r="F63" s="37">
        <v>15</v>
      </c>
      <c r="G63" s="38">
        <f t="shared" si="1"/>
        <v>0.0258110254376259</v>
      </c>
      <c r="H63" s="24"/>
      <c r="I63" s="24"/>
    </row>
    <row r="64" spans="2:9">
      <c r="B64" s="25" t="s">
        <v>96</v>
      </c>
      <c r="C64" s="22">
        <f t="shared" si="2"/>
        <v>0</v>
      </c>
      <c r="D64" s="22">
        <f t="shared" si="3"/>
        <v>0</v>
      </c>
      <c r="E64" s="24">
        <v>500591</v>
      </c>
      <c r="F64" s="37">
        <v>46</v>
      </c>
      <c r="G64" s="38">
        <f t="shared" si="1"/>
        <v>0.0918913843836585</v>
      </c>
      <c r="H64" s="24"/>
      <c r="I64" s="24"/>
    </row>
    <row r="65" spans="2:9">
      <c r="B65" s="25" t="s">
        <v>147</v>
      </c>
      <c r="C65" s="22">
        <f t="shared" si="2"/>
        <v>2</v>
      </c>
      <c r="D65" s="22">
        <f t="shared" si="3"/>
        <v>2</v>
      </c>
      <c r="E65" s="24">
        <v>210765</v>
      </c>
      <c r="F65" s="37">
        <v>190</v>
      </c>
      <c r="G65" s="38">
        <f t="shared" si="1"/>
        <v>0.901477949374896</v>
      </c>
      <c r="H65" s="24"/>
      <c r="I65" s="24"/>
    </row>
    <row r="66" spans="2:9">
      <c r="B66" s="25" t="s">
        <v>88</v>
      </c>
      <c r="C66" s="22">
        <f t="shared" si="2"/>
        <v>0</v>
      </c>
      <c r="D66" s="22">
        <f t="shared" si="3"/>
        <v>0</v>
      </c>
      <c r="E66" s="24">
        <v>4064361</v>
      </c>
      <c r="F66" s="37">
        <v>12</v>
      </c>
      <c r="G66" s="38">
        <f t="shared" si="1"/>
        <v>0.00295249363922152</v>
      </c>
      <c r="H66" s="24"/>
      <c r="I66" s="24"/>
    </row>
    <row r="67" spans="2:9">
      <c r="B67" s="25" t="s">
        <v>157</v>
      </c>
      <c r="C67" s="22">
        <f t="shared" si="2"/>
        <v>1</v>
      </c>
      <c r="D67" s="22">
        <f t="shared" si="3"/>
        <v>1</v>
      </c>
      <c r="E67" s="24">
        <v>971922</v>
      </c>
      <c r="F67" s="37">
        <v>89</v>
      </c>
      <c r="G67" s="38">
        <f t="shared" si="1"/>
        <v>0.0915711343091318</v>
      </c>
      <c r="H67" s="24"/>
      <c r="I67" s="24"/>
    </row>
    <row r="68" spans="2:9">
      <c r="B68" s="25" t="s">
        <v>136</v>
      </c>
      <c r="C68" s="22">
        <f t="shared" si="2"/>
        <v>0</v>
      </c>
      <c r="D68" s="22">
        <f t="shared" si="3"/>
        <v>0</v>
      </c>
      <c r="E68" s="24">
        <v>3232224</v>
      </c>
      <c r="F68" s="37">
        <v>2</v>
      </c>
      <c r="G68" s="38">
        <f t="shared" si="1"/>
        <v>0.000618768996208184</v>
      </c>
      <c r="H68" s="24"/>
      <c r="I68" s="24"/>
    </row>
    <row r="69" spans="2:9">
      <c r="B69" s="25" t="s">
        <v>158</v>
      </c>
      <c r="C69" s="22">
        <f t="shared" si="2"/>
        <v>0</v>
      </c>
      <c r="D69" s="22">
        <f t="shared" si="3"/>
        <v>0</v>
      </c>
      <c r="E69" s="24">
        <v>527220</v>
      </c>
      <c r="F69" s="37">
        <v>26</v>
      </c>
      <c r="G69" s="38">
        <f t="shared" si="1"/>
        <v>0.0493152763552217</v>
      </c>
      <c r="H69" s="24"/>
      <c r="I69" s="24"/>
    </row>
    <row r="70" spans="2:9">
      <c r="B70" s="25" t="s">
        <v>120</v>
      </c>
      <c r="C70" s="22">
        <f t="shared" si="2"/>
        <v>2</v>
      </c>
      <c r="D70" s="22">
        <f t="shared" si="3"/>
        <v>2</v>
      </c>
      <c r="E70" s="24">
        <v>266770</v>
      </c>
      <c r="F70" s="37">
        <v>79</v>
      </c>
      <c r="G70" s="38">
        <f t="shared" si="1"/>
        <v>0.296135247591558</v>
      </c>
      <c r="H70" s="24"/>
      <c r="I70" s="24"/>
    </row>
    <row r="71" spans="2:9">
      <c r="B71" s="25" t="s">
        <v>112</v>
      </c>
      <c r="C71" s="22">
        <f t="shared" si="2"/>
        <v>2</v>
      </c>
      <c r="D71" s="22">
        <f t="shared" si="3"/>
        <v>2</v>
      </c>
      <c r="E71" s="24">
        <v>523856</v>
      </c>
      <c r="F71" s="37">
        <v>44</v>
      </c>
      <c r="G71" s="38">
        <f t="shared" si="1"/>
        <v>0.0839925475703247</v>
      </c>
      <c r="H71" s="24"/>
      <c r="I71" s="24"/>
    </row>
    <row r="72" spans="2:9">
      <c r="B72" s="25" t="s">
        <v>97</v>
      </c>
      <c r="C72" s="22">
        <f t="shared" si="2"/>
        <v>2</v>
      </c>
      <c r="D72" s="22">
        <f t="shared" si="3"/>
        <v>2</v>
      </c>
      <c r="E72" s="24">
        <v>720610</v>
      </c>
      <c r="F72" s="37">
        <v>47</v>
      </c>
      <c r="G72" s="38">
        <f t="shared" si="1"/>
        <v>0.0652225198096057</v>
      </c>
      <c r="H72" s="24"/>
      <c r="I72" s="24"/>
    </row>
    <row r="73" spans="2:9">
      <c r="B73" s="25" t="s">
        <v>98</v>
      </c>
      <c r="C73" s="22">
        <f t="shared" si="2"/>
        <v>1</v>
      </c>
      <c r="D73" s="22">
        <f t="shared" si="3"/>
        <v>1</v>
      </c>
      <c r="E73" s="24">
        <v>1909499</v>
      </c>
      <c r="F73" s="37">
        <v>63</v>
      </c>
      <c r="G73" s="38">
        <f t="shared" si="1"/>
        <v>0.0329929473647276</v>
      </c>
      <c r="H73" s="24"/>
      <c r="I73" s="24"/>
    </row>
    <row r="74" spans="2:9">
      <c r="B74" s="25" t="s">
        <v>110</v>
      </c>
      <c r="C74" s="22">
        <f t="shared" si="2"/>
        <v>0</v>
      </c>
      <c r="D74" s="22">
        <f t="shared" si="3"/>
        <v>0</v>
      </c>
      <c r="E74" s="24">
        <v>669854</v>
      </c>
      <c r="F74" s="37">
        <v>16</v>
      </c>
      <c r="G74" s="38">
        <f t="shared" si="1"/>
        <v>0.0238858019807301</v>
      </c>
      <c r="H74" s="24"/>
      <c r="I74" s="24"/>
    </row>
    <row r="75" spans="2:9">
      <c r="B75" s="25" t="s">
        <v>115</v>
      </c>
      <c r="C75" s="22">
        <f t="shared" si="2"/>
        <v>2</v>
      </c>
      <c r="D75" s="22">
        <f t="shared" si="3"/>
        <v>2</v>
      </c>
      <c r="E75" s="24">
        <v>765891</v>
      </c>
      <c r="F75" s="37">
        <v>16</v>
      </c>
      <c r="G75" s="38">
        <f t="shared" si="1"/>
        <v>0.0208907011572143</v>
      </c>
      <c r="H75" s="24"/>
      <c r="I75" s="24"/>
    </row>
    <row r="76" spans="2:9">
      <c r="B76" s="25" t="s">
        <v>159</v>
      </c>
      <c r="C76" s="22">
        <f t="shared" si="2"/>
        <v>0</v>
      </c>
      <c r="D76" s="22">
        <f t="shared" si="3"/>
        <v>0</v>
      </c>
      <c r="E76" s="24">
        <v>1001664</v>
      </c>
      <c r="F76" s="37">
        <v>10</v>
      </c>
      <c r="G76" s="38">
        <f t="shared" si="1"/>
        <v>0.00998338764296211</v>
      </c>
      <c r="H76" s="24"/>
      <c r="I76" s="24"/>
    </row>
    <row r="77" spans="2:9">
      <c r="B77" s="25" t="s">
        <v>151</v>
      </c>
      <c r="C77" s="22">
        <f t="shared" si="2"/>
        <v>2</v>
      </c>
      <c r="D77" s="22">
        <f t="shared" si="3"/>
        <v>2</v>
      </c>
      <c r="E77" s="24">
        <v>678879</v>
      </c>
      <c r="F77" s="37">
        <v>463</v>
      </c>
      <c r="G77" s="38">
        <f t="shared" si="1"/>
        <v>0.682006660980823</v>
      </c>
      <c r="H77" s="24"/>
      <c r="I77" s="24"/>
    </row>
    <row r="78" spans="2:9">
      <c r="B78" s="25" t="s">
        <v>75</v>
      </c>
      <c r="C78" s="22">
        <f t="shared" si="2"/>
        <v>0</v>
      </c>
      <c r="D78" s="22">
        <f t="shared" si="3"/>
        <v>0</v>
      </c>
      <c r="E78" s="24">
        <v>4003016</v>
      </c>
      <c r="F78" s="37">
        <v>8</v>
      </c>
      <c r="G78" s="38">
        <f t="shared" si="1"/>
        <v>0.00199849313617532</v>
      </c>
      <c r="H78" s="24"/>
      <c r="I78" s="24"/>
    </row>
    <row r="79" spans="2:9">
      <c r="B79" s="25" t="s">
        <v>154</v>
      </c>
      <c r="C79" s="22">
        <f t="shared" si="2"/>
        <v>2</v>
      </c>
      <c r="D79" s="22">
        <f t="shared" si="3"/>
        <v>2</v>
      </c>
      <c r="E79" s="24">
        <v>337544</v>
      </c>
      <c r="F79" s="37">
        <v>187</v>
      </c>
      <c r="G79" s="38">
        <f t="shared" si="1"/>
        <v>0.55400184864788</v>
      </c>
      <c r="H79" s="24"/>
      <c r="I79" s="24"/>
    </row>
    <row r="80" spans="2:9">
      <c r="B80" s="25" t="s">
        <v>152</v>
      </c>
      <c r="C80" s="22">
        <f t="shared" si="2"/>
        <v>2</v>
      </c>
      <c r="D80" s="22">
        <f t="shared" si="3"/>
        <v>2</v>
      </c>
      <c r="E80" s="24">
        <v>528175</v>
      </c>
      <c r="F80" s="37">
        <v>387</v>
      </c>
      <c r="G80" s="38">
        <f t="shared" ref="G80:G104" si="4">IF(F80&gt;0,F80/E80*1000,"")</f>
        <v>0.732711695934113</v>
      </c>
      <c r="H80" s="24"/>
      <c r="I80" s="24"/>
    </row>
    <row r="81" spans="2:9">
      <c r="B81" s="25" t="s">
        <v>140</v>
      </c>
      <c r="C81" s="22">
        <f t="shared" ref="C81:C104" si="5">IF(D81&gt;$D$8,2,IF(D81&gt;$D$9,1,0))</f>
        <v>1</v>
      </c>
      <c r="D81" s="22">
        <f t="shared" ref="D81:D104" si="6">IF(G81&gt;G72,2,IF(G81&gt;G74,1,0))</f>
        <v>1</v>
      </c>
      <c r="E81" s="24">
        <v>4152518</v>
      </c>
      <c r="F81" s="37">
        <v>107</v>
      </c>
      <c r="G81" s="38">
        <f t="shared" si="4"/>
        <v>0.0257674981782138</v>
      </c>
      <c r="H81" s="24"/>
      <c r="I81" s="24"/>
    </row>
    <row r="82" spans="2:9">
      <c r="B82" s="25" t="s">
        <v>135</v>
      </c>
      <c r="C82" s="22">
        <f t="shared" si="5"/>
        <v>2</v>
      </c>
      <c r="D82" s="22">
        <f t="shared" si="6"/>
        <v>2</v>
      </c>
      <c r="E82" s="24">
        <v>1082231</v>
      </c>
      <c r="F82" s="37">
        <v>560</v>
      </c>
      <c r="G82" s="38">
        <f t="shared" si="4"/>
        <v>0.517449601794811</v>
      </c>
      <c r="H82" s="24"/>
      <c r="I82" s="24"/>
    </row>
    <row r="83" spans="2:9">
      <c r="B83" s="25" t="s">
        <v>100</v>
      </c>
      <c r="C83" s="22">
        <f t="shared" si="5"/>
        <v>0</v>
      </c>
      <c r="D83" s="22">
        <f t="shared" si="6"/>
        <v>0</v>
      </c>
      <c r="E83" s="24">
        <v>3127842</v>
      </c>
      <c r="F83" s="37">
        <v>1</v>
      </c>
      <c r="G83" s="38">
        <f t="shared" si="4"/>
        <v>0.000319709243625477</v>
      </c>
      <c r="H83" s="24"/>
      <c r="I83" s="24"/>
    </row>
    <row r="84" spans="2:9">
      <c r="B84" s="25" t="s">
        <v>102</v>
      </c>
      <c r="C84" s="22">
        <f t="shared" si="5"/>
        <v>2</v>
      </c>
      <c r="D84" s="22">
        <f t="shared" si="6"/>
        <v>2</v>
      </c>
      <c r="E84" s="24">
        <v>2385163</v>
      </c>
      <c r="F84" s="37">
        <v>169</v>
      </c>
      <c r="G84" s="38">
        <f t="shared" si="4"/>
        <v>0.0708546963037746</v>
      </c>
      <c r="H84" s="24"/>
      <c r="I84" s="24"/>
    </row>
    <row r="85" spans="2:9">
      <c r="B85" s="25" t="s">
        <v>130</v>
      </c>
      <c r="C85" s="22">
        <f t="shared" si="5"/>
        <v>2</v>
      </c>
      <c r="D85" s="22">
        <f t="shared" si="6"/>
        <v>2</v>
      </c>
      <c r="E85" s="24">
        <v>457590</v>
      </c>
      <c r="F85" s="37">
        <v>8</v>
      </c>
      <c r="G85" s="38">
        <f t="shared" si="4"/>
        <v>0.0174828995388885</v>
      </c>
      <c r="H85" s="24"/>
      <c r="I85" s="24"/>
    </row>
    <row r="86" spans="2:9">
      <c r="B86" s="25" t="s">
        <v>122</v>
      </c>
      <c r="C86" s="22">
        <f t="shared" si="5"/>
        <v>0</v>
      </c>
      <c r="D86" s="22">
        <f t="shared" si="6"/>
        <v>0</v>
      </c>
      <c r="E86" s="24">
        <v>4222695</v>
      </c>
      <c r="F86" s="37">
        <v>10</v>
      </c>
      <c r="G86" s="38">
        <f t="shared" si="4"/>
        <v>0.00236815588149274</v>
      </c>
      <c r="H86" s="24"/>
      <c r="I86" s="24"/>
    </row>
    <row r="87" spans="2:9">
      <c r="B87" s="25" t="s">
        <v>103</v>
      </c>
      <c r="C87" s="22">
        <f t="shared" si="5"/>
        <v>2</v>
      </c>
      <c r="D87" s="22">
        <f t="shared" si="6"/>
        <v>2</v>
      </c>
      <c r="E87" s="24">
        <v>863987</v>
      </c>
      <c r="F87" s="37">
        <v>541</v>
      </c>
      <c r="G87" s="38">
        <f t="shared" si="4"/>
        <v>0.626166828899046</v>
      </c>
      <c r="H87" s="24"/>
      <c r="I87" s="24"/>
    </row>
    <row r="88" spans="2:9">
      <c r="B88" s="25" t="s">
        <v>105</v>
      </c>
      <c r="C88" s="22">
        <f t="shared" si="5"/>
        <v>0</v>
      </c>
      <c r="D88" s="22">
        <f t="shared" si="6"/>
        <v>0</v>
      </c>
      <c r="E88" s="24">
        <v>2886108</v>
      </c>
      <c r="F88" s="37">
        <v>51</v>
      </c>
      <c r="G88" s="38">
        <f t="shared" si="4"/>
        <v>0.0176708563920685</v>
      </c>
      <c r="H88" s="24"/>
      <c r="I88" s="24"/>
    </row>
    <row r="89" spans="2:9">
      <c r="B89" s="25" t="s">
        <v>125</v>
      </c>
      <c r="C89" s="22">
        <f t="shared" si="5"/>
        <v>0</v>
      </c>
      <c r="D89" s="22">
        <f t="shared" si="6"/>
        <v>0</v>
      </c>
      <c r="E89" s="24">
        <v>956292</v>
      </c>
      <c r="F89" s="37">
        <v>51</v>
      </c>
      <c r="G89" s="38">
        <f t="shared" si="4"/>
        <v>0.0533309909525542</v>
      </c>
      <c r="H89" s="24"/>
      <c r="I89" s="24"/>
    </row>
    <row r="90" spans="2:9">
      <c r="B90" s="25" t="s">
        <v>156</v>
      </c>
      <c r="C90" s="22">
        <f t="shared" si="5"/>
        <v>2</v>
      </c>
      <c r="D90" s="22">
        <f t="shared" si="6"/>
        <v>2</v>
      </c>
      <c r="E90" s="24">
        <v>1199747</v>
      </c>
      <c r="F90" s="37">
        <v>109</v>
      </c>
      <c r="G90" s="38">
        <f t="shared" si="4"/>
        <v>0.090852488066234</v>
      </c>
      <c r="H90" s="24"/>
      <c r="I90" s="24"/>
    </row>
    <row r="91" spans="2:9">
      <c r="B91" s="25" t="s">
        <v>116</v>
      </c>
      <c r="C91" s="22">
        <f t="shared" si="5"/>
        <v>1</v>
      </c>
      <c r="D91" s="22">
        <f t="shared" si="6"/>
        <v>1</v>
      </c>
      <c r="E91" s="24">
        <v>1043385</v>
      </c>
      <c r="F91" s="37">
        <v>196</v>
      </c>
      <c r="G91" s="38">
        <f t="shared" si="4"/>
        <v>0.187850122438026</v>
      </c>
      <c r="H91" s="24"/>
      <c r="I91" s="24"/>
    </row>
    <row r="92" spans="2:9">
      <c r="B92" s="25" t="s">
        <v>73</v>
      </c>
      <c r="C92" s="22">
        <f t="shared" si="5"/>
        <v>2</v>
      </c>
      <c r="D92" s="22">
        <f t="shared" si="6"/>
        <v>2</v>
      </c>
      <c r="E92" s="24">
        <v>1471140</v>
      </c>
      <c r="F92" s="37">
        <v>45</v>
      </c>
      <c r="G92" s="38">
        <f t="shared" si="4"/>
        <v>0.0305885231861006</v>
      </c>
      <c r="H92" s="24"/>
      <c r="I92" s="24"/>
    </row>
    <row r="93" spans="2:9">
      <c r="B93" s="25" t="s">
        <v>83</v>
      </c>
      <c r="C93" s="22">
        <f t="shared" si="5"/>
        <v>1</v>
      </c>
      <c r="D93" s="22">
        <f t="shared" si="6"/>
        <v>1</v>
      </c>
      <c r="E93" s="24">
        <v>1615454</v>
      </c>
      <c r="F93" s="37">
        <v>89</v>
      </c>
      <c r="G93" s="38">
        <f t="shared" si="4"/>
        <v>0.055092871725224</v>
      </c>
      <c r="H93" s="24"/>
      <c r="I93" s="24"/>
    </row>
    <row r="94" spans="2:9">
      <c r="B94" s="25" t="s">
        <v>99</v>
      </c>
      <c r="C94" s="22">
        <f t="shared" si="5"/>
        <v>2</v>
      </c>
      <c r="D94" s="22">
        <f t="shared" si="6"/>
        <v>2</v>
      </c>
      <c r="E94" s="24">
        <v>1434557</v>
      </c>
      <c r="F94" s="37">
        <v>50</v>
      </c>
      <c r="G94" s="38">
        <f t="shared" si="4"/>
        <v>0.0348539653704942</v>
      </c>
      <c r="H94" s="24"/>
      <c r="I94" s="24"/>
    </row>
    <row r="95" spans="2:9">
      <c r="B95" s="25" t="s">
        <v>128</v>
      </c>
      <c r="C95" s="22">
        <f t="shared" si="5"/>
        <v>2</v>
      </c>
      <c r="D95" s="22">
        <f t="shared" si="6"/>
        <v>2</v>
      </c>
      <c r="E95" s="24">
        <v>1172782</v>
      </c>
      <c r="F95" s="37">
        <v>107</v>
      </c>
      <c r="G95" s="38">
        <f t="shared" si="4"/>
        <v>0.0912360523950743</v>
      </c>
      <c r="H95" s="24"/>
      <c r="I95" s="24"/>
    </row>
    <row r="96" spans="2:9">
      <c r="B96" s="25" t="s">
        <v>145</v>
      </c>
      <c r="C96" s="22">
        <f t="shared" si="5"/>
        <v>0</v>
      </c>
      <c r="D96" s="22">
        <f t="shared" si="6"/>
        <v>0</v>
      </c>
      <c r="E96" s="24">
        <v>1278132</v>
      </c>
      <c r="F96" s="37">
        <v>63</v>
      </c>
      <c r="G96" s="38">
        <f t="shared" si="4"/>
        <v>0.0492906835913661</v>
      </c>
      <c r="H96" s="24"/>
      <c r="I96" s="24"/>
    </row>
    <row r="97" spans="2:9">
      <c r="B97" s="25" t="s">
        <v>84</v>
      </c>
      <c r="C97" s="22">
        <f t="shared" si="5"/>
        <v>0</v>
      </c>
      <c r="D97" s="22">
        <f t="shared" si="6"/>
        <v>0</v>
      </c>
      <c r="E97" s="24">
        <v>1759386</v>
      </c>
      <c r="F97" s="37">
        <v>11</v>
      </c>
      <c r="G97" s="38">
        <f t="shared" si="4"/>
        <v>0.00625218115865421</v>
      </c>
      <c r="H97" s="24"/>
      <c r="I97" s="24"/>
    </row>
    <row r="98" spans="2:9">
      <c r="B98" s="25" t="s">
        <v>163</v>
      </c>
      <c r="C98" s="22">
        <f t="shared" si="5"/>
        <v>2</v>
      </c>
      <c r="D98" s="22">
        <f t="shared" si="6"/>
        <v>2</v>
      </c>
      <c r="E98" s="24"/>
      <c r="F98" s="37"/>
      <c r="G98" s="38" t="str">
        <f t="shared" si="4"/>
        <v/>
      </c>
      <c r="H98" s="24"/>
      <c r="I98" s="24"/>
    </row>
    <row r="99" spans="2:9">
      <c r="B99" s="25" t="s">
        <v>79</v>
      </c>
      <c r="C99" s="22">
        <f t="shared" si="5"/>
        <v>0</v>
      </c>
      <c r="D99" s="22">
        <f t="shared" si="6"/>
        <v>0</v>
      </c>
      <c r="E99" s="24">
        <v>3395798</v>
      </c>
      <c r="F99" s="37">
        <v>54</v>
      </c>
      <c r="G99" s="38">
        <f t="shared" si="4"/>
        <v>0.0159020059497061</v>
      </c>
      <c r="H99" s="24"/>
      <c r="I99" s="24"/>
    </row>
    <row r="100" spans="2:9">
      <c r="B100" s="25" t="s">
        <v>117</v>
      </c>
      <c r="C100" s="22">
        <f t="shared" si="5"/>
        <v>2</v>
      </c>
      <c r="D100" s="22">
        <f t="shared" si="6"/>
        <v>2</v>
      </c>
      <c r="E100" s="24">
        <v>1552866</v>
      </c>
      <c r="F100" s="37">
        <v>345</v>
      </c>
      <c r="G100" s="38">
        <f t="shared" si="4"/>
        <v>0.222169845949361</v>
      </c>
      <c r="H100" s="24"/>
      <c r="I100" s="24"/>
    </row>
    <row r="101" spans="2:9">
      <c r="B101" s="25" t="s">
        <v>82</v>
      </c>
      <c r="C101" s="22">
        <f t="shared" si="5"/>
        <v>0</v>
      </c>
      <c r="D101" s="22">
        <f t="shared" si="6"/>
        <v>0</v>
      </c>
      <c r="E101" s="24">
        <v>1167061</v>
      </c>
      <c r="F101" s="37">
        <v>1</v>
      </c>
      <c r="G101" s="38">
        <f t="shared" si="4"/>
        <v>0.000856853240747484</v>
      </c>
      <c r="H101" s="24"/>
      <c r="I101" s="24"/>
    </row>
    <row r="102" spans="2:9">
      <c r="B102" s="25" t="s">
        <v>149</v>
      </c>
      <c r="C102" s="22">
        <f t="shared" si="5"/>
        <v>2</v>
      </c>
      <c r="D102" s="22">
        <f t="shared" si="6"/>
        <v>2</v>
      </c>
      <c r="E102" s="24">
        <v>48029</v>
      </c>
      <c r="F102" s="37">
        <v>142</v>
      </c>
      <c r="G102" s="38">
        <f t="shared" si="4"/>
        <v>2.95654708613546</v>
      </c>
      <c r="H102" s="24"/>
      <c r="I102" s="24"/>
    </row>
    <row r="103" spans="2:9">
      <c r="B103" s="25" t="s">
        <v>114</v>
      </c>
      <c r="C103" s="22">
        <f t="shared" si="5"/>
        <v>2</v>
      </c>
      <c r="D103" s="22">
        <f t="shared" si="6"/>
        <v>2</v>
      </c>
      <c r="E103" s="24">
        <v>515960</v>
      </c>
      <c r="F103" s="37">
        <v>19</v>
      </c>
      <c r="G103" s="38">
        <f t="shared" si="4"/>
        <v>0.0368245600434142</v>
      </c>
      <c r="H103" s="24"/>
      <c r="I103" s="24"/>
    </row>
    <row r="104" spans="2:9">
      <c r="B104" s="25" t="s">
        <v>80</v>
      </c>
      <c r="C104" s="22">
        <f t="shared" si="5"/>
        <v>2</v>
      </c>
      <c r="D104" s="22">
        <f t="shared" si="6"/>
        <v>2</v>
      </c>
      <c r="E104" s="24">
        <v>1187558</v>
      </c>
      <c r="F104" s="37">
        <v>160</v>
      </c>
      <c r="G104" s="38">
        <f t="shared" si="4"/>
        <v>0.134730261595644</v>
      </c>
      <c r="H104" s="24"/>
      <c r="I104" s="24"/>
    </row>
    <row r="105" spans="6:6">
      <c r="F105" s="24"/>
    </row>
    <row r="106" spans="6:6">
      <c r="F106" s="24"/>
    </row>
    <row r="107" spans="2:6">
      <c r="B107" s="25"/>
      <c r="F107" s="24"/>
    </row>
    <row r="108" spans="6:6">
      <c r="F108" s="24"/>
    </row>
    <row r="109" spans="5:9">
      <c r="E109" s="16"/>
      <c r="H109" s="16"/>
      <c r="I109" s="16"/>
    </row>
    <row r="113" spans="6:6">
      <c r="F113" s="16"/>
    </row>
  </sheetData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3"/>
  <dimension ref="B2:AK110"/>
  <sheetViews>
    <sheetView workbookViewId="0">
      <pane xSplit="2" ySplit="15" topLeftCell="C91" activePane="bottomRight" state="frozen"/>
      <selection/>
      <selection pane="topRight"/>
      <selection pane="bottomLeft"/>
      <selection pane="bottomRight" activeCell="J116" sqref="J116"/>
    </sheetView>
  </sheetViews>
  <sheetFormatPr defaultColWidth="10.8583333333333" defaultRowHeight="15"/>
  <cols>
    <col min="1" max="1" width="10.8583333333333" style="6"/>
    <col min="2" max="2" width="30.6416666666667" style="6" customWidth="1"/>
    <col min="3" max="4" width="13.5" style="7" customWidth="1"/>
    <col min="5" max="6" width="15.1416666666667" style="8" customWidth="1"/>
    <col min="7" max="7" width="47.8583333333333" style="7" customWidth="1"/>
    <col min="8" max="16" width="13.5" style="9" customWidth="1"/>
    <col min="17" max="19" width="13.5" style="10" customWidth="1"/>
    <col min="20" max="22" width="13.5" style="9" customWidth="1"/>
    <col min="23" max="28" width="13.5" style="11" customWidth="1"/>
    <col min="29" max="29" width="58.5" style="11" customWidth="1"/>
    <col min="30" max="30" width="32" style="6" customWidth="1"/>
    <col min="31" max="31" width="42.8583333333333" style="6" customWidth="1"/>
    <col min="32" max="32" width="61.6416666666667" style="6" customWidth="1"/>
    <col min="33" max="33" width="12.1416666666667" style="6" customWidth="1"/>
    <col min="34" max="34" width="12" style="6" customWidth="1"/>
    <col min="35" max="35" width="48.5" style="6" customWidth="1"/>
    <col min="36" max="36" width="56.3583333333333" style="6" customWidth="1"/>
    <col min="37" max="16384" width="10.8583333333333" style="6"/>
  </cols>
  <sheetData>
    <row r="2" ht="15.6" spans="2:2">
      <c r="B2" s="4" t="s">
        <v>668</v>
      </c>
    </row>
    <row r="4" s="4" customFormat="1" ht="15.6" spans="2:29">
      <c r="B4" s="4" t="s">
        <v>170</v>
      </c>
      <c r="C4" s="12" t="s">
        <v>171</v>
      </c>
      <c r="D4" s="12"/>
      <c r="E4" s="13"/>
      <c r="F4" s="13"/>
      <c r="G4" s="12"/>
      <c r="H4" s="14"/>
      <c r="I4" s="14"/>
      <c r="J4" s="14"/>
      <c r="K4" s="14"/>
      <c r="L4" s="14"/>
      <c r="M4" s="14"/>
      <c r="N4" s="14"/>
      <c r="O4" s="14"/>
      <c r="P4" s="14"/>
      <c r="Q4" s="27"/>
      <c r="R4" s="27"/>
      <c r="S4" s="27"/>
      <c r="T4" s="14"/>
      <c r="U4" s="14"/>
      <c r="V4" s="14"/>
      <c r="W4" s="28"/>
      <c r="X4" s="28"/>
      <c r="Y4" s="28"/>
      <c r="Z4" s="28"/>
      <c r="AA4" s="28"/>
      <c r="AB4" s="28"/>
      <c r="AC4" s="28"/>
    </row>
    <row r="5" spans="2:3">
      <c r="B5" s="6" t="s">
        <v>669</v>
      </c>
      <c r="C5" s="15">
        <v>45566</v>
      </c>
    </row>
    <row r="7" spans="2:28">
      <c r="B7" s="6" t="s">
        <v>173</v>
      </c>
      <c r="AA7" s="17"/>
      <c r="AB7" s="17"/>
    </row>
    <row r="8" spans="2:27">
      <c r="B8" s="6" t="s">
        <v>174</v>
      </c>
      <c r="D8" s="11">
        <v>1.5</v>
      </c>
      <c r="H8" s="6"/>
      <c r="I8" s="6"/>
      <c r="J8" s="6"/>
      <c r="K8" s="6"/>
      <c r="L8" s="6"/>
      <c r="M8" s="6"/>
      <c r="N8" s="6"/>
      <c r="O8" s="6"/>
      <c r="P8" s="6"/>
      <c r="T8" s="6"/>
      <c r="X8" s="29"/>
      <c r="Z8" s="6"/>
      <c r="AA8" s="17"/>
    </row>
    <row r="9" spans="2:28">
      <c r="B9" s="6" t="s">
        <v>175</v>
      </c>
      <c r="D9" s="11">
        <v>0.5</v>
      </c>
      <c r="AB9" s="17"/>
    </row>
    <row r="10" spans="2:27">
      <c r="B10" s="6" t="s">
        <v>176</v>
      </c>
      <c r="H10" s="16"/>
      <c r="I10" s="16"/>
      <c r="J10" s="16"/>
      <c r="K10" s="16"/>
      <c r="L10" s="16"/>
      <c r="M10" s="16"/>
      <c r="N10" s="16"/>
      <c r="O10" s="16"/>
      <c r="P10" s="16"/>
      <c r="T10" s="16"/>
      <c r="AA10" s="17"/>
    </row>
    <row r="11" spans="2:7">
      <c r="B11" s="6" t="s">
        <v>177</v>
      </c>
      <c r="C11" s="17"/>
      <c r="E11" s="18"/>
      <c r="F11" s="18"/>
      <c r="G11" s="17"/>
    </row>
    <row r="12" spans="3:26">
      <c r="C12" s="17"/>
      <c r="E12" s="18"/>
      <c r="F12" s="18"/>
      <c r="G12" s="17"/>
      <c r="H12" s="6"/>
      <c r="I12" s="6"/>
      <c r="J12" s="6"/>
      <c r="K12" s="6"/>
      <c r="L12" s="6"/>
      <c r="M12" s="6"/>
      <c r="N12" s="6"/>
      <c r="O12" s="6"/>
      <c r="P12" s="6"/>
      <c r="T12" s="6"/>
      <c r="X12" s="6"/>
      <c r="Z12" s="6"/>
    </row>
    <row r="14" s="5" customFormat="1" ht="60" spans="2:37">
      <c r="B14" s="5" t="s">
        <v>2</v>
      </c>
      <c r="C14" s="19" t="s">
        <v>178</v>
      </c>
      <c r="D14" s="19" t="s">
        <v>179</v>
      </c>
      <c r="E14" s="20" t="s">
        <v>670</v>
      </c>
      <c r="F14" s="20" t="s">
        <v>671</v>
      </c>
      <c r="G14" s="19" t="s">
        <v>181</v>
      </c>
      <c r="H14" s="21"/>
      <c r="I14" s="21"/>
      <c r="J14" s="21"/>
      <c r="K14" s="21"/>
      <c r="L14" s="21"/>
      <c r="M14" s="21"/>
      <c r="N14" s="21"/>
      <c r="O14" s="21"/>
      <c r="P14" s="21"/>
      <c r="Q14" s="20" t="s">
        <v>672</v>
      </c>
      <c r="R14" s="20" t="s">
        <v>673</v>
      </c>
      <c r="S14" s="20" t="s">
        <v>674</v>
      </c>
      <c r="T14" s="21"/>
      <c r="U14" s="21"/>
      <c r="V14" s="21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</row>
    <row r="15" s="5" customFormat="1" spans="2:37">
      <c r="B15" s="5" t="s">
        <v>182</v>
      </c>
      <c r="C15" s="22"/>
      <c r="D15" s="22"/>
      <c r="E15" s="23"/>
      <c r="F15" s="23" t="str">
        <f>_xlfn.TEXTJOIN(,0,COUNTIF($F$16:$F$104,$F$106)," / ",COUNTIF($F$16:$F$104,$F$107)," / ",COUNTIF($F$16:$F$104,$F$110))</f>
        <v>14 / 19 / 13</v>
      </c>
      <c r="G15" s="22"/>
      <c r="H15" s="24"/>
      <c r="I15" s="24"/>
      <c r="J15" s="24"/>
      <c r="K15" s="24"/>
      <c r="L15" s="24"/>
      <c r="M15" s="24"/>
      <c r="N15" s="24"/>
      <c r="O15" s="24"/>
      <c r="P15" s="24"/>
      <c r="Q15" s="31"/>
      <c r="R15" s="31"/>
      <c r="S15" s="31"/>
      <c r="T15" s="24"/>
      <c r="U15" s="24"/>
      <c r="V15" s="24"/>
      <c r="W15" s="32"/>
      <c r="X15" s="32"/>
      <c r="Y15" s="32"/>
      <c r="Z15" s="32"/>
      <c r="AA15" s="33"/>
      <c r="AB15" s="33"/>
      <c r="AC15" s="33"/>
      <c r="AK15" s="6"/>
    </row>
    <row r="16" spans="2:31">
      <c r="B16" s="25" t="s">
        <v>146</v>
      </c>
      <c r="C16" s="22">
        <f>IF(D16&gt;$D$8,2,IF(D16&gt;$D$9,1,0))</f>
        <v>0</v>
      </c>
      <c r="D16" s="22">
        <f t="shared" ref="D16:D79" si="0">IF(F16=$F$106,2,IF(F16=$F$107,1,0))</f>
        <v>0</v>
      </c>
      <c r="E16" s="26" t="s">
        <v>257</v>
      </c>
      <c r="F16" s="26" t="s">
        <v>675</v>
      </c>
      <c r="G16" s="22" t="str">
        <f t="shared" ref="G16:G79" si="1">IF(F16=$F$106,"Существенное отствание по дорожной карте",IF(F16=$F$107,"Среднее отставание по дорожной карте",IF(E16=$E$108,"Дорожная карта не требуется","Дорожная карта исполняется")))</f>
        <v>Дорожная карта исполняется</v>
      </c>
      <c r="H16" s="24"/>
      <c r="I16" s="24"/>
      <c r="J16" s="24"/>
      <c r="K16" s="24"/>
      <c r="L16" s="24"/>
      <c r="M16" s="24"/>
      <c r="N16" s="24"/>
      <c r="O16" s="24"/>
      <c r="P16" s="24"/>
      <c r="Q16" s="23">
        <v>6</v>
      </c>
      <c r="R16" s="23">
        <v>9</v>
      </c>
      <c r="S16" s="23">
        <f>AVERAGE(Q16:R16)</f>
        <v>7.5</v>
      </c>
      <c r="T16" s="24"/>
      <c r="U16" s="24"/>
      <c r="V16" s="24"/>
      <c r="W16" s="32"/>
      <c r="X16" s="32"/>
      <c r="Y16" s="32"/>
      <c r="Z16" s="32"/>
      <c r="AA16" s="33"/>
      <c r="AB16" s="33"/>
      <c r="AC16" s="6"/>
      <c r="AE16" s="34"/>
    </row>
    <row r="17" spans="2:31">
      <c r="B17" s="25" t="s">
        <v>150</v>
      </c>
      <c r="C17" s="22">
        <f t="shared" ref="C17:C80" si="2">IF(D17&gt;$D$8,2,IF(D17&gt;$D$9,1,0))</f>
        <v>1</v>
      </c>
      <c r="D17" s="22">
        <f t="shared" si="0"/>
        <v>1</v>
      </c>
      <c r="E17" s="26" t="s">
        <v>257</v>
      </c>
      <c r="F17" s="26" t="s">
        <v>676</v>
      </c>
      <c r="G17" s="22" t="str">
        <f t="shared" si="1"/>
        <v>Среднее отставание по дорожной карте</v>
      </c>
      <c r="H17" s="24"/>
      <c r="I17" s="24"/>
      <c r="J17" s="24"/>
      <c r="K17" s="24"/>
      <c r="L17" s="24"/>
      <c r="M17" s="24"/>
      <c r="N17" s="24"/>
      <c r="O17" s="24"/>
      <c r="P17" s="24"/>
      <c r="Q17" s="23">
        <v>12</v>
      </c>
      <c r="R17" s="23">
        <v>26</v>
      </c>
      <c r="S17" s="23">
        <f>AVERAGE(Q17:R17)</f>
        <v>19</v>
      </c>
      <c r="T17" s="24"/>
      <c r="U17" s="24"/>
      <c r="V17" s="24"/>
      <c r="W17" s="32"/>
      <c r="X17" s="32"/>
      <c r="Y17" s="32"/>
      <c r="Z17" s="32"/>
      <c r="AA17" s="33"/>
      <c r="AB17" s="33"/>
      <c r="AC17" s="6"/>
      <c r="AE17" s="34"/>
    </row>
    <row r="18" spans="2:31">
      <c r="B18" s="25" t="s">
        <v>133</v>
      </c>
      <c r="C18" s="22">
        <f t="shared" si="2"/>
        <v>0</v>
      </c>
      <c r="D18" s="22">
        <f t="shared" si="0"/>
        <v>0</v>
      </c>
      <c r="E18" s="26" t="s">
        <v>257</v>
      </c>
      <c r="F18" s="26" t="s">
        <v>675</v>
      </c>
      <c r="G18" s="22" t="str">
        <f t="shared" si="1"/>
        <v>Дорожная карта исполняется</v>
      </c>
      <c r="H18" s="24"/>
      <c r="I18" s="24"/>
      <c r="J18" s="24"/>
      <c r="K18" s="24"/>
      <c r="L18" s="24"/>
      <c r="M18" s="24"/>
      <c r="N18" s="24"/>
      <c r="O18" s="24"/>
      <c r="P18" s="24"/>
      <c r="Q18" s="23">
        <v>4.6</v>
      </c>
      <c r="R18" s="23">
        <v>19</v>
      </c>
      <c r="S18" s="23">
        <f>AVERAGE(Q18:R18)</f>
        <v>11.8</v>
      </c>
      <c r="T18" s="24"/>
      <c r="U18" s="24"/>
      <c r="V18" s="24"/>
      <c r="W18" s="32"/>
      <c r="X18" s="32"/>
      <c r="Y18" s="32"/>
      <c r="Z18" s="32"/>
      <c r="AA18" s="33"/>
      <c r="AB18" s="33"/>
      <c r="AC18" s="6"/>
      <c r="AE18" s="34"/>
    </row>
    <row r="19" spans="2:31">
      <c r="B19" s="25" t="s">
        <v>121</v>
      </c>
      <c r="C19" s="22">
        <f t="shared" si="2"/>
        <v>2</v>
      </c>
      <c r="D19" s="22">
        <f t="shared" si="0"/>
        <v>2</v>
      </c>
      <c r="E19" s="26" t="s">
        <v>257</v>
      </c>
      <c r="F19" s="26" t="s">
        <v>677</v>
      </c>
      <c r="G19" s="22" t="str">
        <f t="shared" si="1"/>
        <v>Существенное отствание по дорожной карте</v>
      </c>
      <c r="H19" s="24"/>
      <c r="I19" s="24"/>
      <c r="J19" s="24"/>
      <c r="K19" s="24"/>
      <c r="L19" s="24"/>
      <c r="M19" s="24"/>
      <c r="N19" s="24"/>
      <c r="O19" s="24"/>
      <c r="P19" s="24"/>
      <c r="Q19" s="23">
        <v>14</v>
      </c>
      <c r="R19" s="23">
        <v>16</v>
      </c>
      <c r="S19" s="23">
        <f>AVERAGE(Q19:R19)</f>
        <v>15</v>
      </c>
      <c r="T19" s="24"/>
      <c r="U19" s="24"/>
      <c r="V19" s="24"/>
      <c r="W19" s="32"/>
      <c r="X19" s="32"/>
      <c r="Y19" s="32"/>
      <c r="Z19" s="32"/>
      <c r="AA19" s="33"/>
      <c r="AB19" s="33"/>
      <c r="AC19" s="6"/>
      <c r="AE19" s="34"/>
    </row>
    <row r="20" spans="2:31">
      <c r="B20" s="25" t="s">
        <v>106</v>
      </c>
      <c r="C20" s="22">
        <f t="shared" si="2"/>
        <v>0</v>
      </c>
      <c r="D20" s="22">
        <f t="shared" si="0"/>
        <v>0</v>
      </c>
      <c r="E20" s="26" t="s">
        <v>678</v>
      </c>
      <c r="F20" s="26" t="s">
        <v>678</v>
      </c>
      <c r="G20" s="22" t="str">
        <f t="shared" si="1"/>
        <v>Дорожная карта исполняется</v>
      </c>
      <c r="H20" s="24"/>
      <c r="I20" s="24"/>
      <c r="J20" s="24"/>
      <c r="K20" s="24"/>
      <c r="L20" s="24"/>
      <c r="M20" s="24"/>
      <c r="N20" s="24"/>
      <c r="O20" s="24"/>
      <c r="P20" s="24"/>
      <c r="Q20" s="23" t="s">
        <v>678</v>
      </c>
      <c r="R20" s="23" t="s">
        <v>678</v>
      </c>
      <c r="S20" s="23" t="s">
        <v>678</v>
      </c>
      <c r="T20" s="24"/>
      <c r="U20" s="24"/>
      <c r="V20" s="24"/>
      <c r="W20" s="32"/>
      <c r="X20" s="32"/>
      <c r="Y20" s="32"/>
      <c r="Z20" s="32"/>
      <c r="AA20" s="33"/>
      <c r="AB20" s="33"/>
      <c r="AC20" s="6"/>
      <c r="AE20" s="34"/>
    </row>
    <row r="21" spans="2:31">
      <c r="B21" s="25" t="s">
        <v>91</v>
      </c>
      <c r="C21" s="22">
        <f t="shared" si="2"/>
        <v>0</v>
      </c>
      <c r="D21" s="22">
        <f t="shared" si="0"/>
        <v>0</v>
      </c>
      <c r="E21" s="26" t="s">
        <v>257</v>
      </c>
      <c r="F21" s="26" t="s">
        <v>675</v>
      </c>
      <c r="G21" s="22" t="str">
        <f t="shared" si="1"/>
        <v>Дорожная карта исполняется</v>
      </c>
      <c r="H21" s="24"/>
      <c r="I21" s="24"/>
      <c r="J21" s="24"/>
      <c r="K21" s="24"/>
      <c r="L21" s="24"/>
      <c r="M21" s="24"/>
      <c r="N21" s="24"/>
      <c r="O21" s="24"/>
      <c r="P21" s="24"/>
      <c r="Q21" s="23">
        <v>22</v>
      </c>
      <c r="R21" s="23">
        <v>24</v>
      </c>
      <c r="S21" s="23">
        <f>AVERAGE(Q21:R21)</f>
        <v>23</v>
      </c>
      <c r="T21" s="24"/>
      <c r="U21" s="24"/>
      <c r="V21" s="24"/>
      <c r="W21" s="32"/>
      <c r="X21" s="32"/>
      <c r="Y21" s="32"/>
      <c r="Z21" s="32"/>
      <c r="AA21" s="33"/>
      <c r="AB21" s="33"/>
      <c r="AC21" s="6"/>
      <c r="AE21" s="34"/>
    </row>
    <row r="22" spans="2:31">
      <c r="B22" s="25" t="s">
        <v>113</v>
      </c>
      <c r="C22" s="22">
        <f t="shared" si="2"/>
        <v>1</v>
      </c>
      <c r="D22" s="22">
        <f t="shared" si="0"/>
        <v>1</v>
      </c>
      <c r="E22" s="26" t="s">
        <v>257</v>
      </c>
      <c r="F22" s="26" t="s">
        <v>676</v>
      </c>
      <c r="G22" s="22" t="str">
        <f t="shared" si="1"/>
        <v>Среднее отставание по дорожной карте</v>
      </c>
      <c r="H22" s="24"/>
      <c r="I22" s="24"/>
      <c r="J22" s="24"/>
      <c r="K22" s="24"/>
      <c r="L22" s="24"/>
      <c r="M22" s="24"/>
      <c r="N22" s="24"/>
      <c r="O22" s="24"/>
      <c r="P22" s="24"/>
      <c r="Q22" s="23">
        <v>11</v>
      </c>
      <c r="R22" s="23">
        <v>22</v>
      </c>
      <c r="S22" s="23">
        <f>AVERAGE(Q22:R22)</f>
        <v>16.5</v>
      </c>
      <c r="T22" s="24"/>
      <c r="U22" s="24"/>
      <c r="V22" s="24"/>
      <c r="W22" s="32"/>
      <c r="X22" s="32"/>
      <c r="Y22" s="32"/>
      <c r="Z22" s="32"/>
      <c r="AA22" s="33"/>
      <c r="AB22" s="33"/>
      <c r="AC22" s="6"/>
      <c r="AE22" s="34"/>
    </row>
    <row r="23" spans="2:31">
      <c r="B23" s="25" t="s">
        <v>86</v>
      </c>
      <c r="C23" s="22">
        <f t="shared" si="2"/>
        <v>0</v>
      </c>
      <c r="D23" s="22">
        <f t="shared" si="0"/>
        <v>0</v>
      </c>
      <c r="E23" s="26" t="s">
        <v>678</v>
      </c>
      <c r="F23" s="26" t="s">
        <v>678</v>
      </c>
      <c r="G23" s="22" t="str">
        <f t="shared" si="1"/>
        <v>Дорожная карта исполняется</v>
      </c>
      <c r="H23" s="24"/>
      <c r="I23" s="24"/>
      <c r="J23" s="24"/>
      <c r="K23" s="24"/>
      <c r="L23" s="24"/>
      <c r="M23" s="24"/>
      <c r="N23" s="24"/>
      <c r="O23" s="24"/>
      <c r="P23" s="24"/>
      <c r="Q23" s="23" t="s">
        <v>678</v>
      </c>
      <c r="R23" s="23" t="s">
        <v>678</v>
      </c>
      <c r="S23" s="23" t="s">
        <v>678</v>
      </c>
      <c r="T23" s="24"/>
      <c r="U23" s="24"/>
      <c r="V23" s="24"/>
      <c r="W23" s="32"/>
      <c r="X23" s="32"/>
      <c r="Y23" s="32"/>
      <c r="Z23" s="32"/>
      <c r="AA23" s="33"/>
      <c r="AB23" s="33"/>
      <c r="AC23" s="6"/>
      <c r="AE23" s="34"/>
    </row>
    <row r="24" spans="2:31">
      <c r="B24" s="25" t="s">
        <v>107</v>
      </c>
      <c r="C24" s="22">
        <f t="shared" si="2"/>
        <v>1</v>
      </c>
      <c r="D24" s="22">
        <f t="shared" si="0"/>
        <v>1</v>
      </c>
      <c r="E24" s="26" t="s">
        <v>257</v>
      </c>
      <c r="F24" s="26" t="s">
        <v>676</v>
      </c>
      <c r="G24" s="22" t="str">
        <f t="shared" si="1"/>
        <v>Среднее отставание по дорожной карте</v>
      </c>
      <c r="H24" s="24"/>
      <c r="I24" s="24"/>
      <c r="J24" s="24"/>
      <c r="K24" s="24"/>
      <c r="L24" s="24"/>
      <c r="M24" s="24"/>
      <c r="N24" s="24"/>
      <c r="O24" s="24"/>
      <c r="P24" s="24"/>
      <c r="Q24" s="23">
        <v>7</v>
      </c>
      <c r="R24" s="23">
        <v>22</v>
      </c>
      <c r="S24" s="23">
        <f>AVERAGE(Q24:R24)</f>
        <v>14.5</v>
      </c>
      <c r="T24" s="24"/>
      <c r="U24" s="24"/>
      <c r="V24" s="24"/>
      <c r="W24" s="32"/>
      <c r="X24" s="32"/>
      <c r="Y24" s="32"/>
      <c r="Z24" s="32"/>
      <c r="AA24" s="33"/>
      <c r="AB24" s="33"/>
      <c r="AC24" s="6"/>
      <c r="AE24" s="34"/>
    </row>
    <row r="25" spans="2:31">
      <c r="B25" s="25" t="s">
        <v>137</v>
      </c>
      <c r="C25" s="22">
        <f t="shared" si="2"/>
        <v>2</v>
      </c>
      <c r="D25" s="22">
        <f t="shared" si="0"/>
        <v>2</v>
      </c>
      <c r="E25" s="26" t="s">
        <v>257</v>
      </c>
      <c r="F25" s="26" t="s">
        <v>677</v>
      </c>
      <c r="G25" s="22" t="str">
        <f t="shared" si="1"/>
        <v>Существенное отствание по дорожной карте</v>
      </c>
      <c r="H25" s="24"/>
      <c r="I25" s="24"/>
      <c r="J25" s="24"/>
      <c r="K25" s="24"/>
      <c r="L25" s="24"/>
      <c r="M25" s="24"/>
      <c r="N25" s="24"/>
      <c r="O25" s="24"/>
      <c r="P25" s="24"/>
      <c r="Q25" s="23">
        <v>7.2</v>
      </c>
      <c r="R25" s="23">
        <v>17.7</v>
      </c>
      <c r="S25" s="23">
        <f>AVERAGE(Q25:R25)</f>
        <v>12.45</v>
      </c>
      <c r="T25" s="24"/>
      <c r="U25" s="24"/>
      <c r="V25" s="24"/>
      <c r="W25" s="32"/>
      <c r="X25" s="32"/>
      <c r="Y25" s="32"/>
      <c r="Z25" s="32"/>
      <c r="AA25" s="33"/>
      <c r="AB25" s="33"/>
      <c r="AC25" s="6"/>
      <c r="AE25" s="34"/>
    </row>
    <row r="26" spans="2:31">
      <c r="B26" s="25" t="s">
        <v>68</v>
      </c>
      <c r="C26" s="22">
        <f t="shared" si="2"/>
        <v>0</v>
      </c>
      <c r="D26" s="22">
        <f t="shared" si="0"/>
        <v>0</v>
      </c>
      <c r="E26" s="26" t="s">
        <v>678</v>
      </c>
      <c r="F26" s="26" t="s">
        <v>678</v>
      </c>
      <c r="G26" s="22" t="str">
        <f t="shared" si="1"/>
        <v>Дорожная карта исполняется</v>
      </c>
      <c r="H26" s="24"/>
      <c r="I26" s="24"/>
      <c r="J26" s="24"/>
      <c r="K26" s="24"/>
      <c r="L26" s="24"/>
      <c r="M26" s="24"/>
      <c r="N26" s="24"/>
      <c r="O26" s="24"/>
      <c r="P26" s="24"/>
      <c r="Q26" s="23" t="s">
        <v>678</v>
      </c>
      <c r="R26" s="23" t="s">
        <v>678</v>
      </c>
      <c r="S26" s="23" t="s">
        <v>678</v>
      </c>
      <c r="T26" s="24"/>
      <c r="U26" s="24"/>
      <c r="V26" s="24"/>
      <c r="W26" s="32"/>
      <c r="X26" s="32"/>
      <c r="Y26" s="32"/>
      <c r="Z26" s="32"/>
      <c r="AA26" s="33"/>
      <c r="AB26" s="33"/>
      <c r="AC26" s="6"/>
      <c r="AE26" s="34"/>
    </row>
    <row r="27" spans="2:31">
      <c r="B27" s="25" t="s">
        <v>71</v>
      </c>
      <c r="C27" s="22">
        <f t="shared" si="2"/>
        <v>0</v>
      </c>
      <c r="D27" s="22">
        <f t="shared" si="0"/>
        <v>0</v>
      </c>
      <c r="E27" s="26" t="s">
        <v>257</v>
      </c>
      <c r="F27" s="26" t="s">
        <v>679</v>
      </c>
      <c r="G27" s="22" t="str">
        <f t="shared" si="1"/>
        <v>Дорожная карта исполняется</v>
      </c>
      <c r="H27" s="24"/>
      <c r="I27" s="24"/>
      <c r="J27" s="24"/>
      <c r="K27" s="24"/>
      <c r="L27" s="24"/>
      <c r="M27" s="24"/>
      <c r="N27" s="24"/>
      <c r="O27" s="24"/>
      <c r="P27" s="24"/>
      <c r="Q27" s="23">
        <v>0</v>
      </c>
      <c r="R27" s="23">
        <v>0</v>
      </c>
      <c r="S27" s="23">
        <f>AVERAGE(Q27:R27)</f>
        <v>0</v>
      </c>
      <c r="T27" s="24"/>
      <c r="U27" s="24"/>
      <c r="V27" s="24"/>
      <c r="W27" s="32"/>
      <c r="X27" s="32"/>
      <c r="Y27" s="32"/>
      <c r="Z27" s="32"/>
      <c r="AA27" s="33"/>
      <c r="AB27" s="33"/>
      <c r="AC27" s="6"/>
      <c r="AE27" s="34"/>
    </row>
    <row r="28" spans="2:31">
      <c r="B28" s="25" t="s">
        <v>118</v>
      </c>
      <c r="C28" s="22">
        <f t="shared" si="2"/>
        <v>2</v>
      </c>
      <c r="D28" s="22">
        <f t="shared" si="0"/>
        <v>2</v>
      </c>
      <c r="E28" s="26" t="s">
        <v>257</v>
      </c>
      <c r="F28" s="26" t="s">
        <v>677</v>
      </c>
      <c r="G28" s="22" t="str">
        <f t="shared" si="1"/>
        <v>Существенное отствание по дорожной карте</v>
      </c>
      <c r="H28" s="24"/>
      <c r="I28" s="24"/>
      <c r="J28" s="24"/>
      <c r="K28" s="24"/>
      <c r="L28" s="24"/>
      <c r="M28" s="24"/>
      <c r="N28" s="24"/>
      <c r="O28" s="24"/>
      <c r="P28" s="24"/>
      <c r="Q28" s="23">
        <v>18</v>
      </c>
      <c r="R28" s="23">
        <v>29</v>
      </c>
      <c r="S28" s="23">
        <f>AVERAGE(Q28:R28)</f>
        <v>23.5</v>
      </c>
      <c r="T28" s="24"/>
      <c r="U28" s="24"/>
      <c r="V28" s="24"/>
      <c r="W28" s="32"/>
      <c r="X28" s="32"/>
      <c r="Y28" s="32"/>
      <c r="Z28" s="32"/>
      <c r="AA28" s="33"/>
      <c r="AB28" s="33"/>
      <c r="AC28" s="6"/>
      <c r="AE28" s="34"/>
    </row>
    <row r="29" spans="2:31">
      <c r="B29" s="25" t="s">
        <v>160</v>
      </c>
      <c r="C29" s="22">
        <f t="shared" si="2"/>
        <v>0</v>
      </c>
      <c r="D29" s="22">
        <f t="shared" si="0"/>
        <v>0</v>
      </c>
      <c r="E29" s="26" t="s">
        <v>678</v>
      </c>
      <c r="F29" s="26" t="s">
        <v>678</v>
      </c>
      <c r="G29" s="22" t="str">
        <f t="shared" si="1"/>
        <v>Дорожная карта исполняется</v>
      </c>
      <c r="H29" s="24"/>
      <c r="I29" s="24"/>
      <c r="J29" s="24"/>
      <c r="K29" s="24"/>
      <c r="L29" s="24"/>
      <c r="M29" s="24"/>
      <c r="N29" s="24"/>
      <c r="O29" s="24"/>
      <c r="P29" s="24"/>
      <c r="Q29" s="23" t="s">
        <v>678</v>
      </c>
      <c r="R29" s="23" t="s">
        <v>678</v>
      </c>
      <c r="S29" s="23" t="s">
        <v>678</v>
      </c>
      <c r="T29" s="24"/>
      <c r="U29" s="24"/>
      <c r="V29" s="24"/>
      <c r="W29" s="32"/>
      <c r="X29" s="32"/>
      <c r="Y29" s="32"/>
      <c r="Z29" s="32"/>
      <c r="AA29" s="33"/>
      <c r="AB29" s="33"/>
      <c r="AC29" s="6"/>
      <c r="AE29" s="34"/>
    </row>
    <row r="30" spans="2:31">
      <c r="B30" s="25" t="s">
        <v>131</v>
      </c>
      <c r="C30" s="22">
        <f t="shared" si="2"/>
        <v>2</v>
      </c>
      <c r="D30" s="22">
        <f t="shared" si="0"/>
        <v>2</v>
      </c>
      <c r="E30" s="26" t="s">
        <v>257</v>
      </c>
      <c r="F30" s="26" t="s">
        <v>677</v>
      </c>
      <c r="G30" s="22" t="str">
        <f t="shared" si="1"/>
        <v>Существенное отствание по дорожной карте</v>
      </c>
      <c r="H30" s="24"/>
      <c r="I30" s="24"/>
      <c r="J30" s="24"/>
      <c r="K30" s="24"/>
      <c r="L30" s="24"/>
      <c r="M30" s="24"/>
      <c r="N30" s="24"/>
      <c r="O30" s="24"/>
      <c r="P30" s="24"/>
      <c r="Q30" s="23">
        <v>16</v>
      </c>
      <c r="R30" s="23">
        <v>27</v>
      </c>
      <c r="S30" s="23">
        <f>AVERAGE(Q30:R30)</f>
        <v>21.5</v>
      </c>
      <c r="T30" s="24"/>
      <c r="U30" s="24"/>
      <c r="V30" s="24"/>
      <c r="W30" s="32"/>
      <c r="X30" s="32"/>
      <c r="Y30" s="32"/>
      <c r="Z30" s="32"/>
      <c r="AA30" s="33"/>
      <c r="AB30" s="33"/>
      <c r="AC30" s="6"/>
      <c r="AE30" s="34"/>
    </row>
    <row r="31" spans="2:31">
      <c r="B31" s="25" t="s">
        <v>155</v>
      </c>
      <c r="C31" s="22">
        <f t="shared" si="2"/>
        <v>2</v>
      </c>
      <c r="D31" s="22">
        <f t="shared" si="0"/>
        <v>2</v>
      </c>
      <c r="E31" s="26" t="s">
        <v>257</v>
      </c>
      <c r="F31" s="26" t="s">
        <v>677</v>
      </c>
      <c r="G31" s="22" t="str">
        <f t="shared" si="1"/>
        <v>Существенное отствание по дорожной карте</v>
      </c>
      <c r="H31" s="24"/>
      <c r="I31" s="24"/>
      <c r="J31" s="24"/>
      <c r="K31" s="24"/>
      <c r="L31" s="24"/>
      <c r="M31" s="24"/>
      <c r="N31" s="24"/>
      <c r="O31" s="24"/>
      <c r="P31" s="24"/>
      <c r="Q31" s="23">
        <v>12</v>
      </c>
      <c r="R31" s="23">
        <v>16</v>
      </c>
      <c r="S31" s="23">
        <f>AVERAGE(Q31:R31)</f>
        <v>14</v>
      </c>
      <c r="T31" s="24"/>
      <c r="U31" s="24"/>
      <c r="V31" s="24"/>
      <c r="W31" s="32"/>
      <c r="X31" s="32"/>
      <c r="Y31" s="32"/>
      <c r="Z31" s="32"/>
      <c r="AA31" s="33"/>
      <c r="AB31" s="33"/>
      <c r="AC31" s="6"/>
      <c r="AE31" s="34"/>
    </row>
    <row r="32" spans="2:31">
      <c r="B32" s="25" t="s">
        <v>161</v>
      </c>
      <c r="C32" s="22">
        <f t="shared" si="2"/>
        <v>0</v>
      </c>
      <c r="D32" s="22">
        <f t="shared" si="0"/>
        <v>0</v>
      </c>
      <c r="E32" s="26" t="s">
        <v>678</v>
      </c>
      <c r="F32" s="26" t="s">
        <v>678</v>
      </c>
      <c r="G32" s="22" t="str">
        <f t="shared" si="1"/>
        <v>Дорожная карта исполняется</v>
      </c>
      <c r="H32" s="24"/>
      <c r="I32" s="24"/>
      <c r="J32" s="24"/>
      <c r="K32" s="24"/>
      <c r="L32" s="24"/>
      <c r="M32" s="24"/>
      <c r="N32" s="24"/>
      <c r="O32" s="24"/>
      <c r="P32" s="24"/>
      <c r="Q32" s="23" t="s">
        <v>678</v>
      </c>
      <c r="R32" s="23" t="s">
        <v>678</v>
      </c>
      <c r="S32" s="23" t="s">
        <v>678</v>
      </c>
      <c r="T32" s="24"/>
      <c r="U32" s="24"/>
      <c r="V32" s="24"/>
      <c r="W32" s="32"/>
      <c r="X32" s="32"/>
      <c r="Y32" s="32"/>
      <c r="Z32" s="32"/>
      <c r="AA32" s="33"/>
      <c r="AB32" s="33"/>
      <c r="AC32" s="6"/>
      <c r="AE32" s="34"/>
    </row>
    <row r="33" spans="2:31">
      <c r="B33" s="25" t="s">
        <v>81</v>
      </c>
      <c r="C33" s="22">
        <f t="shared" si="2"/>
        <v>0</v>
      </c>
      <c r="D33" s="22">
        <f t="shared" si="0"/>
        <v>0</v>
      </c>
      <c r="E33" s="26" t="s">
        <v>257</v>
      </c>
      <c r="F33" s="26" t="s">
        <v>675</v>
      </c>
      <c r="G33" s="22" t="str">
        <f t="shared" si="1"/>
        <v>Дорожная карта исполняется</v>
      </c>
      <c r="H33" s="24"/>
      <c r="I33" s="24"/>
      <c r="J33" s="24"/>
      <c r="K33" s="24"/>
      <c r="L33" s="24"/>
      <c r="M33" s="24"/>
      <c r="N33" s="24"/>
      <c r="O33" s="24"/>
      <c r="P33" s="24"/>
      <c r="Q33" s="23">
        <v>5</v>
      </c>
      <c r="R33" s="23">
        <v>16</v>
      </c>
      <c r="S33" s="23">
        <f>AVERAGE(S30:S31)</f>
        <v>17.75</v>
      </c>
      <c r="T33" s="24"/>
      <c r="U33" s="24"/>
      <c r="V33" s="24"/>
      <c r="W33" s="32"/>
      <c r="X33" s="32"/>
      <c r="Y33" s="32"/>
      <c r="Z33" s="32"/>
      <c r="AA33" s="33"/>
      <c r="AB33" s="33"/>
      <c r="AC33" s="6"/>
      <c r="AE33" s="34"/>
    </row>
    <row r="34" spans="2:31">
      <c r="B34" s="25" t="s">
        <v>148</v>
      </c>
      <c r="C34" s="22">
        <f t="shared" si="2"/>
        <v>0</v>
      </c>
      <c r="D34" s="22">
        <f t="shared" si="0"/>
        <v>0</v>
      </c>
      <c r="E34" s="26" t="s">
        <v>257</v>
      </c>
      <c r="F34" s="26" t="s">
        <v>679</v>
      </c>
      <c r="G34" s="22" t="str">
        <f t="shared" si="1"/>
        <v>Дорожная карта исполняется</v>
      </c>
      <c r="H34" s="24"/>
      <c r="I34" s="24"/>
      <c r="J34" s="24"/>
      <c r="K34" s="24"/>
      <c r="L34" s="24"/>
      <c r="M34" s="24"/>
      <c r="N34" s="24"/>
      <c r="O34" s="24"/>
      <c r="P34" s="24"/>
      <c r="Q34" s="23">
        <v>0</v>
      </c>
      <c r="R34" s="23">
        <v>12</v>
      </c>
      <c r="S34" s="23">
        <f t="shared" ref="S34:S39" si="3">AVERAGE(Q34:R34)</f>
        <v>6</v>
      </c>
      <c r="T34" s="24"/>
      <c r="U34" s="24"/>
      <c r="V34" s="24"/>
      <c r="W34" s="32"/>
      <c r="X34" s="32"/>
      <c r="Y34" s="32"/>
      <c r="Z34" s="32"/>
      <c r="AA34" s="33"/>
      <c r="AB34" s="33"/>
      <c r="AC34" s="6"/>
      <c r="AE34" s="34"/>
    </row>
    <row r="35" spans="2:31">
      <c r="B35" s="25" t="s">
        <v>126</v>
      </c>
      <c r="C35" s="22">
        <f t="shared" si="2"/>
        <v>0</v>
      </c>
      <c r="D35" s="22">
        <f t="shared" si="0"/>
        <v>0</v>
      </c>
      <c r="E35" s="26" t="s">
        <v>257</v>
      </c>
      <c r="F35" s="26" t="s">
        <v>675</v>
      </c>
      <c r="G35" s="22" t="str">
        <f t="shared" si="1"/>
        <v>Дорожная карта исполняется</v>
      </c>
      <c r="H35" s="24"/>
      <c r="I35" s="24"/>
      <c r="J35" s="24"/>
      <c r="K35" s="24"/>
      <c r="L35" s="24"/>
      <c r="M35" s="24"/>
      <c r="N35" s="24"/>
      <c r="O35" s="24"/>
      <c r="P35" s="24"/>
      <c r="Q35" s="23">
        <v>10</v>
      </c>
      <c r="R35" s="23">
        <v>14</v>
      </c>
      <c r="S35" s="23">
        <f t="shared" si="3"/>
        <v>12</v>
      </c>
      <c r="T35" s="24"/>
      <c r="U35" s="24"/>
      <c r="V35" s="24"/>
      <c r="W35" s="32"/>
      <c r="X35" s="32"/>
      <c r="Y35" s="32"/>
      <c r="Z35" s="32"/>
      <c r="AA35" s="33"/>
      <c r="AB35" s="33"/>
      <c r="AC35" s="6"/>
      <c r="AE35" s="34"/>
    </row>
    <row r="36" spans="2:31">
      <c r="B36" s="25" t="s">
        <v>119</v>
      </c>
      <c r="C36" s="22">
        <f t="shared" si="2"/>
        <v>1</v>
      </c>
      <c r="D36" s="22">
        <f t="shared" si="0"/>
        <v>1</v>
      </c>
      <c r="E36" s="26" t="s">
        <v>257</v>
      </c>
      <c r="F36" s="26" t="s">
        <v>676</v>
      </c>
      <c r="G36" s="22" t="str">
        <f t="shared" si="1"/>
        <v>Среднее отставание по дорожной карте</v>
      </c>
      <c r="H36" s="24"/>
      <c r="I36" s="24"/>
      <c r="J36" s="24"/>
      <c r="K36" s="24"/>
      <c r="L36" s="24"/>
      <c r="M36" s="24"/>
      <c r="N36" s="24"/>
      <c r="O36" s="24"/>
      <c r="P36" s="24"/>
      <c r="Q36" s="23">
        <v>0</v>
      </c>
      <c r="R36" s="23">
        <v>0</v>
      </c>
      <c r="S36" s="23">
        <f t="shared" si="3"/>
        <v>0</v>
      </c>
      <c r="T36" s="24"/>
      <c r="U36" s="24"/>
      <c r="V36" s="24"/>
      <c r="W36" s="32"/>
      <c r="X36" s="32"/>
      <c r="Y36" s="32"/>
      <c r="Z36" s="32"/>
      <c r="AA36" s="33"/>
      <c r="AB36" s="33"/>
      <c r="AC36" s="6"/>
      <c r="AE36" s="34"/>
    </row>
    <row r="37" spans="2:31">
      <c r="B37" s="25" t="s">
        <v>87</v>
      </c>
      <c r="C37" s="22">
        <f t="shared" si="2"/>
        <v>1</v>
      </c>
      <c r="D37" s="22">
        <f t="shared" si="0"/>
        <v>1</v>
      </c>
      <c r="E37" s="26" t="s">
        <v>257</v>
      </c>
      <c r="F37" s="26" t="s">
        <v>676</v>
      </c>
      <c r="G37" s="22" t="str">
        <f t="shared" si="1"/>
        <v>Среднее отставание по дорожной карте</v>
      </c>
      <c r="H37" s="24"/>
      <c r="I37" s="24"/>
      <c r="J37" s="24"/>
      <c r="K37" s="24"/>
      <c r="L37" s="24"/>
      <c r="M37" s="24"/>
      <c r="N37" s="24"/>
      <c r="O37" s="24"/>
      <c r="P37" s="24"/>
      <c r="Q37" s="23">
        <v>5</v>
      </c>
      <c r="R37" s="23">
        <v>10</v>
      </c>
      <c r="S37" s="23">
        <f t="shared" si="3"/>
        <v>7.5</v>
      </c>
      <c r="T37" s="24"/>
      <c r="U37" s="24"/>
      <c r="V37" s="24"/>
      <c r="W37" s="32"/>
      <c r="X37" s="32"/>
      <c r="Y37" s="32"/>
      <c r="Z37" s="32"/>
      <c r="AA37" s="33"/>
      <c r="AB37" s="33"/>
      <c r="AC37" s="6"/>
      <c r="AE37" s="34"/>
    </row>
    <row r="38" spans="2:31">
      <c r="B38" s="25" t="s">
        <v>134</v>
      </c>
      <c r="C38" s="22">
        <f t="shared" si="2"/>
        <v>1</v>
      </c>
      <c r="D38" s="22">
        <f t="shared" si="0"/>
        <v>1</v>
      </c>
      <c r="E38" s="26" t="s">
        <v>257</v>
      </c>
      <c r="F38" s="26" t="s">
        <v>676</v>
      </c>
      <c r="G38" s="22" t="str">
        <f t="shared" si="1"/>
        <v>Среднее отставание по дорожной карте</v>
      </c>
      <c r="H38" s="24"/>
      <c r="I38" s="24"/>
      <c r="J38" s="24"/>
      <c r="K38" s="24"/>
      <c r="L38" s="24"/>
      <c r="M38" s="24"/>
      <c r="N38" s="24"/>
      <c r="O38" s="24"/>
      <c r="P38" s="24"/>
      <c r="Q38" s="23">
        <v>9</v>
      </c>
      <c r="R38" s="23">
        <v>13</v>
      </c>
      <c r="S38" s="23">
        <f t="shared" si="3"/>
        <v>11</v>
      </c>
      <c r="T38" s="24"/>
      <c r="U38" s="24"/>
      <c r="V38" s="24"/>
      <c r="W38" s="32"/>
      <c r="X38" s="32"/>
      <c r="Y38" s="32"/>
      <c r="Z38" s="32"/>
      <c r="AA38" s="33"/>
      <c r="AB38" s="33"/>
      <c r="AC38" s="6"/>
      <c r="AE38" s="34"/>
    </row>
    <row r="39" spans="2:31">
      <c r="B39" s="25" t="s">
        <v>138</v>
      </c>
      <c r="C39" s="22">
        <f t="shared" si="2"/>
        <v>2</v>
      </c>
      <c r="D39" s="22">
        <f t="shared" si="0"/>
        <v>2</v>
      </c>
      <c r="E39" s="26" t="s">
        <v>257</v>
      </c>
      <c r="F39" s="26" t="s">
        <v>677</v>
      </c>
      <c r="G39" s="22" t="str">
        <f t="shared" si="1"/>
        <v>Существенное отствание по дорожной карте</v>
      </c>
      <c r="H39" s="24"/>
      <c r="I39" s="24"/>
      <c r="J39" s="24"/>
      <c r="K39" s="24"/>
      <c r="L39" s="24"/>
      <c r="M39" s="24"/>
      <c r="N39" s="24"/>
      <c r="O39" s="24"/>
      <c r="P39" s="24"/>
      <c r="Q39" s="23">
        <v>11</v>
      </c>
      <c r="R39" s="23">
        <v>26</v>
      </c>
      <c r="S39" s="23">
        <f t="shared" si="3"/>
        <v>18.5</v>
      </c>
      <c r="T39" s="24"/>
      <c r="U39" s="24"/>
      <c r="V39" s="24"/>
      <c r="W39" s="32"/>
      <c r="X39" s="32"/>
      <c r="Y39" s="32"/>
      <c r="Z39" s="32"/>
      <c r="AA39" s="33"/>
      <c r="AB39" s="33"/>
      <c r="AC39" s="6"/>
      <c r="AE39" s="34"/>
    </row>
    <row r="40" spans="2:31">
      <c r="B40" s="25" t="s">
        <v>109</v>
      </c>
      <c r="C40" s="22">
        <f t="shared" si="2"/>
        <v>0</v>
      </c>
      <c r="D40" s="22">
        <f t="shared" si="0"/>
        <v>0</v>
      </c>
      <c r="E40" s="26" t="s">
        <v>257</v>
      </c>
      <c r="F40" s="26" t="s">
        <v>679</v>
      </c>
      <c r="G40" s="22" t="str">
        <f t="shared" si="1"/>
        <v>Дорожная карта исполняется</v>
      </c>
      <c r="H40" s="24"/>
      <c r="I40" s="24"/>
      <c r="J40" s="24"/>
      <c r="K40" s="24"/>
      <c r="L40" s="24"/>
      <c r="M40" s="24"/>
      <c r="N40" s="24"/>
      <c r="O40" s="24"/>
      <c r="P40" s="24"/>
      <c r="Q40" s="23">
        <v>0</v>
      </c>
      <c r="R40" s="23">
        <v>0</v>
      </c>
      <c r="S40" s="23">
        <v>0</v>
      </c>
      <c r="T40" s="24"/>
      <c r="U40" s="24"/>
      <c r="V40" s="24"/>
      <c r="W40" s="32"/>
      <c r="X40" s="32"/>
      <c r="Y40" s="32"/>
      <c r="Z40" s="32"/>
      <c r="AA40" s="33"/>
      <c r="AB40" s="33"/>
      <c r="AC40" s="6"/>
      <c r="AE40" s="34"/>
    </row>
    <row r="41" spans="2:31">
      <c r="B41" s="25" t="s">
        <v>76</v>
      </c>
      <c r="C41" s="22">
        <f t="shared" si="2"/>
        <v>0</v>
      </c>
      <c r="D41" s="22">
        <f t="shared" si="0"/>
        <v>0</v>
      </c>
      <c r="E41" s="26" t="s">
        <v>257</v>
      </c>
      <c r="F41" s="26" t="s">
        <v>675</v>
      </c>
      <c r="G41" s="22" t="str">
        <f t="shared" si="1"/>
        <v>Дорожная карта исполняется</v>
      </c>
      <c r="H41" s="24"/>
      <c r="I41" s="24"/>
      <c r="J41" s="24"/>
      <c r="K41" s="24"/>
      <c r="L41" s="24"/>
      <c r="M41" s="24"/>
      <c r="N41" s="24"/>
      <c r="O41" s="24"/>
      <c r="P41" s="24"/>
      <c r="Q41" s="23">
        <v>0</v>
      </c>
      <c r="R41" s="23">
        <v>13</v>
      </c>
      <c r="S41" s="23">
        <f t="shared" ref="S41:S46" si="4">AVERAGE(Q41:R41)</f>
        <v>6.5</v>
      </c>
      <c r="T41" s="24"/>
      <c r="U41" s="24"/>
      <c r="V41" s="24"/>
      <c r="W41" s="32"/>
      <c r="X41" s="32"/>
      <c r="Y41" s="32"/>
      <c r="Z41" s="32"/>
      <c r="AA41" s="33"/>
      <c r="AB41" s="33"/>
      <c r="AC41" s="6"/>
      <c r="AE41" s="34"/>
    </row>
    <row r="42" spans="2:31">
      <c r="B42" s="25" t="s">
        <v>89</v>
      </c>
      <c r="C42" s="22">
        <f t="shared" si="2"/>
        <v>0</v>
      </c>
      <c r="D42" s="22">
        <f t="shared" si="0"/>
        <v>0</v>
      </c>
      <c r="E42" s="26" t="s">
        <v>257</v>
      </c>
      <c r="F42" s="26" t="s">
        <v>675</v>
      </c>
      <c r="G42" s="22" t="str">
        <f t="shared" si="1"/>
        <v>Дорожная карта исполняется</v>
      </c>
      <c r="H42" s="24"/>
      <c r="I42" s="24"/>
      <c r="J42" s="24"/>
      <c r="K42" s="24"/>
      <c r="L42" s="24"/>
      <c r="M42" s="24"/>
      <c r="N42" s="24"/>
      <c r="O42" s="24"/>
      <c r="P42" s="24"/>
      <c r="Q42" s="23">
        <v>16</v>
      </c>
      <c r="R42" s="23">
        <v>16</v>
      </c>
      <c r="S42" s="23">
        <f t="shared" si="4"/>
        <v>16</v>
      </c>
      <c r="T42" s="24"/>
      <c r="U42" s="24"/>
      <c r="V42" s="24"/>
      <c r="W42" s="32"/>
      <c r="X42" s="32"/>
      <c r="Y42" s="32"/>
      <c r="Z42" s="32"/>
      <c r="AA42" s="33"/>
      <c r="AB42" s="33"/>
      <c r="AC42" s="6"/>
      <c r="AE42" s="34"/>
    </row>
    <row r="43" spans="2:31">
      <c r="B43" s="25" t="s">
        <v>141</v>
      </c>
      <c r="C43" s="22">
        <f t="shared" si="2"/>
        <v>0</v>
      </c>
      <c r="D43" s="22">
        <f t="shared" si="0"/>
        <v>0</v>
      </c>
      <c r="E43" s="26" t="s">
        <v>257</v>
      </c>
      <c r="F43" s="26" t="s">
        <v>675</v>
      </c>
      <c r="G43" s="22" t="str">
        <f t="shared" si="1"/>
        <v>Дорожная карта исполняется</v>
      </c>
      <c r="H43" s="24"/>
      <c r="I43" s="24"/>
      <c r="J43" s="24"/>
      <c r="K43" s="24"/>
      <c r="L43" s="24"/>
      <c r="M43" s="24"/>
      <c r="N43" s="24"/>
      <c r="O43" s="24"/>
      <c r="P43" s="24"/>
      <c r="Q43" s="23">
        <v>4</v>
      </c>
      <c r="R43" s="23">
        <v>14</v>
      </c>
      <c r="S43" s="23">
        <f t="shared" si="4"/>
        <v>9</v>
      </c>
      <c r="T43" s="24"/>
      <c r="U43" s="24"/>
      <c r="V43" s="24"/>
      <c r="W43" s="32"/>
      <c r="X43" s="32"/>
      <c r="Y43" s="32"/>
      <c r="Z43" s="32"/>
      <c r="AA43" s="33"/>
      <c r="AB43" s="33"/>
      <c r="AC43" s="6"/>
      <c r="AE43" s="34"/>
    </row>
    <row r="44" spans="2:31">
      <c r="B44" s="25" t="s">
        <v>142</v>
      </c>
      <c r="C44" s="22">
        <f t="shared" si="2"/>
        <v>1</v>
      </c>
      <c r="D44" s="22">
        <f t="shared" si="0"/>
        <v>1</v>
      </c>
      <c r="E44" s="26" t="s">
        <v>257</v>
      </c>
      <c r="F44" s="26" t="s">
        <v>676</v>
      </c>
      <c r="G44" s="22" t="str">
        <f t="shared" si="1"/>
        <v>Среднее отставание по дорожной карте</v>
      </c>
      <c r="H44" s="24"/>
      <c r="I44" s="24"/>
      <c r="J44" s="24"/>
      <c r="K44" s="24"/>
      <c r="L44" s="24"/>
      <c r="M44" s="24"/>
      <c r="N44" s="24"/>
      <c r="O44" s="24"/>
      <c r="P44" s="24"/>
      <c r="Q44" s="23">
        <v>12</v>
      </c>
      <c r="R44" s="23">
        <v>23</v>
      </c>
      <c r="S44" s="23">
        <f t="shared" si="4"/>
        <v>17.5</v>
      </c>
      <c r="T44" s="24"/>
      <c r="U44" s="24"/>
      <c r="V44" s="24"/>
      <c r="W44" s="32"/>
      <c r="X44" s="32"/>
      <c r="Y44" s="32"/>
      <c r="Z44" s="32"/>
      <c r="AA44" s="33"/>
      <c r="AB44" s="33"/>
      <c r="AC44" s="6"/>
      <c r="AE44" s="34"/>
    </row>
    <row r="45" spans="2:31">
      <c r="B45" s="25" t="s">
        <v>132</v>
      </c>
      <c r="C45" s="22">
        <f t="shared" si="2"/>
        <v>1</v>
      </c>
      <c r="D45" s="22">
        <f t="shared" si="0"/>
        <v>1</v>
      </c>
      <c r="E45" s="26" t="s">
        <v>257</v>
      </c>
      <c r="F45" s="26" t="s">
        <v>676</v>
      </c>
      <c r="G45" s="22" t="str">
        <f t="shared" si="1"/>
        <v>Среднее отставание по дорожной карте</v>
      </c>
      <c r="H45" s="24"/>
      <c r="I45" s="24"/>
      <c r="J45" s="24"/>
      <c r="K45" s="24"/>
      <c r="L45" s="24"/>
      <c r="M45" s="24"/>
      <c r="N45" s="24"/>
      <c r="O45" s="24"/>
      <c r="P45" s="24"/>
      <c r="Q45" s="23">
        <v>2</v>
      </c>
      <c r="R45" s="23">
        <v>13</v>
      </c>
      <c r="S45" s="23">
        <f t="shared" si="4"/>
        <v>7.5</v>
      </c>
      <c r="T45" s="24"/>
      <c r="U45" s="24"/>
      <c r="V45" s="24"/>
      <c r="W45" s="32"/>
      <c r="X45" s="32"/>
      <c r="Y45" s="32"/>
      <c r="Z45" s="32"/>
      <c r="AA45" s="33"/>
      <c r="AB45" s="33"/>
      <c r="AC45" s="6"/>
      <c r="AE45" s="34"/>
    </row>
    <row r="46" spans="2:31">
      <c r="B46" s="25" t="s">
        <v>77</v>
      </c>
      <c r="C46" s="22">
        <f t="shared" si="2"/>
        <v>0</v>
      </c>
      <c r="D46" s="22">
        <f t="shared" si="0"/>
        <v>0</v>
      </c>
      <c r="E46" s="26" t="s">
        <v>257</v>
      </c>
      <c r="F46" s="26" t="s">
        <v>679</v>
      </c>
      <c r="G46" s="22" t="str">
        <f t="shared" si="1"/>
        <v>Дорожная карта исполняется</v>
      </c>
      <c r="H46" s="24"/>
      <c r="I46" s="24"/>
      <c r="J46" s="24"/>
      <c r="K46" s="24"/>
      <c r="L46" s="24"/>
      <c r="M46" s="24"/>
      <c r="N46" s="24"/>
      <c r="O46" s="24"/>
      <c r="P46" s="24"/>
      <c r="Q46" s="23">
        <v>0</v>
      </c>
      <c r="R46" s="23">
        <v>4</v>
      </c>
      <c r="S46" s="23">
        <f t="shared" si="4"/>
        <v>2</v>
      </c>
      <c r="T46" s="24"/>
      <c r="U46" s="24"/>
      <c r="V46" s="24"/>
      <c r="W46" s="32"/>
      <c r="X46" s="32"/>
      <c r="Y46" s="32"/>
      <c r="Z46" s="32"/>
      <c r="AA46" s="33"/>
      <c r="AB46" s="33"/>
      <c r="AC46" s="6"/>
      <c r="AE46" s="34"/>
    </row>
    <row r="47" spans="2:31">
      <c r="B47" s="25" t="s">
        <v>92</v>
      </c>
      <c r="C47" s="22">
        <f t="shared" si="2"/>
        <v>0</v>
      </c>
      <c r="D47" s="22">
        <f t="shared" si="0"/>
        <v>0</v>
      </c>
      <c r="E47" s="26" t="s">
        <v>678</v>
      </c>
      <c r="F47" s="26" t="s">
        <v>678</v>
      </c>
      <c r="G47" s="22" t="str">
        <f t="shared" si="1"/>
        <v>Дорожная карта исполняется</v>
      </c>
      <c r="H47" s="24"/>
      <c r="I47" s="24"/>
      <c r="J47" s="24"/>
      <c r="K47" s="24"/>
      <c r="L47" s="24"/>
      <c r="M47" s="24"/>
      <c r="N47" s="24"/>
      <c r="O47" s="24"/>
      <c r="P47" s="24"/>
      <c r="Q47" s="23" t="s">
        <v>678</v>
      </c>
      <c r="R47" s="23" t="s">
        <v>678</v>
      </c>
      <c r="S47" s="23" t="s">
        <v>678</v>
      </c>
      <c r="T47" s="24"/>
      <c r="U47" s="24"/>
      <c r="V47" s="24"/>
      <c r="W47" s="32"/>
      <c r="X47" s="32"/>
      <c r="Y47" s="32"/>
      <c r="Z47" s="32"/>
      <c r="AA47" s="33"/>
      <c r="AB47" s="33"/>
      <c r="AC47" s="6"/>
      <c r="AE47" s="34"/>
    </row>
    <row r="48" spans="2:31">
      <c r="B48" s="25" t="s">
        <v>101</v>
      </c>
      <c r="C48" s="22">
        <f t="shared" si="2"/>
        <v>0</v>
      </c>
      <c r="D48" s="22">
        <f t="shared" si="0"/>
        <v>0</v>
      </c>
      <c r="E48" s="26" t="s">
        <v>257</v>
      </c>
      <c r="F48" s="26" t="s">
        <v>679</v>
      </c>
      <c r="G48" s="22" t="str">
        <f t="shared" si="1"/>
        <v>Дорожная карта исполняется</v>
      </c>
      <c r="H48" s="24"/>
      <c r="I48" s="24"/>
      <c r="J48" s="24"/>
      <c r="K48" s="24"/>
      <c r="L48" s="24"/>
      <c r="M48" s="24"/>
      <c r="N48" s="24"/>
      <c r="O48" s="24"/>
      <c r="P48" s="24"/>
      <c r="Q48" s="23">
        <v>0</v>
      </c>
      <c r="R48" s="23">
        <v>0</v>
      </c>
      <c r="S48" s="23">
        <v>0</v>
      </c>
      <c r="T48" s="24"/>
      <c r="U48" s="24"/>
      <c r="V48" s="24"/>
      <c r="W48" s="32"/>
      <c r="X48" s="32"/>
      <c r="Y48" s="32"/>
      <c r="Z48" s="32"/>
      <c r="AA48" s="33"/>
      <c r="AB48" s="33"/>
      <c r="AC48" s="6"/>
      <c r="AE48" s="34"/>
    </row>
    <row r="49" spans="2:31">
      <c r="B49" s="25" t="s">
        <v>162</v>
      </c>
      <c r="C49" s="22">
        <f t="shared" si="2"/>
        <v>0</v>
      </c>
      <c r="D49" s="22">
        <f t="shared" si="0"/>
        <v>0</v>
      </c>
      <c r="E49" s="26" t="s">
        <v>678</v>
      </c>
      <c r="F49" s="26" t="s">
        <v>679</v>
      </c>
      <c r="G49" s="22" t="str">
        <f t="shared" si="1"/>
        <v>Дорожная карта исполняется</v>
      </c>
      <c r="H49" s="24"/>
      <c r="I49" s="24"/>
      <c r="J49" s="24"/>
      <c r="K49" s="24"/>
      <c r="L49" s="24"/>
      <c r="M49" s="24"/>
      <c r="N49" s="24"/>
      <c r="O49" s="24"/>
      <c r="P49" s="24"/>
      <c r="Q49" s="23" t="s">
        <v>678</v>
      </c>
      <c r="R49" s="23" t="s">
        <v>678</v>
      </c>
      <c r="S49" s="23" t="s">
        <v>678</v>
      </c>
      <c r="T49" s="24"/>
      <c r="U49" s="24"/>
      <c r="V49" s="24"/>
      <c r="W49" s="32"/>
      <c r="X49" s="32"/>
      <c r="Y49" s="32"/>
      <c r="Z49" s="32"/>
      <c r="AA49" s="33"/>
      <c r="AB49" s="33"/>
      <c r="AC49" s="6"/>
      <c r="AE49" s="34"/>
    </row>
    <row r="50" spans="2:31">
      <c r="B50" s="25" t="s">
        <v>153</v>
      </c>
      <c r="C50" s="22">
        <f t="shared" si="2"/>
        <v>0</v>
      </c>
      <c r="D50" s="22">
        <f t="shared" si="0"/>
        <v>0</v>
      </c>
      <c r="E50" s="26" t="s">
        <v>257</v>
      </c>
      <c r="F50" s="26" t="s">
        <v>679</v>
      </c>
      <c r="G50" s="22" t="str">
        <f t="shared" si="1"/>
        <v>Дорожная карта исполняется</v>
      </c>
      <c r="H50" s="24"/>
      <c r="I50" s="24"/>
      <c r="J50" s="24"/>
      <c r="K50" s="24"/>
      <c r="L50" s="24"/>
      <c r="M50" s="24"/>
      <c r="N50" s="24"/>
      <c r="O50" s="24"/>
      <c r="P50" s="24"/>
      <c r="Q50" s="23">
        <v>1</v>
      </c>
      <c r="R50" s="23">
        <v>6.1</v>
      </c>
      <c r="S50" s="23">
        <f>AVERAGE(Q50:R50)</f>
        <v>3.55</v>
      </c>
      <c r="T50" s="24"/>
      <c r="U50" s="24"/>
      <c r="V50" s="24"/>
      <c r="W50" s="32"/>
      <c r="X50" s="32"/>
      <c r="Y50" s="32"/>
      <c r="Z50" s="32"/>
      <c r="AA50" s="33"/>
      <c r="AB50" s="33"/>
      <c r="AC50" s="6"/>
      <c r="AE50" s="34"/>
    </row>
    <row r="51" spans="2:31">
      <c r="B51" s="25" t="s">
        <v>69</v>
      </c>
      <c r="C51" s="22">
        <f t="shared" si="2"/>
        <v>0</v>
      </c>
      <c r="D51" s="22">
        <f t="shared" si="0"/>
        <v>0</v>
      </c>
      <c r="E51" s="26" t="s">
        <v>678</v>
      </c>
      <c r="F51" s="26" t="s">
        <v>678</v>
      </c>
      <c r="G51" s="22" t="str">
        <f t="shared" si="1"/>
        <v>Дорожная карта исполняется</v>
      </c>
      <c r="H51" s="24"/>
      <c r="I51" s="24"/>
      <c r="J51" s="24"/>
      <c r="K51" s="24"/>
      <c r="L51" s="24"/>
      <c r="M51" s="24"/>
      <c r="N51" s="24"/>
      <c r="O51" s="24"/>
      <c r="P51" s="24"/>
      <c r="Q51" s="23" t="s">
        <v>678</v>
      </c>
      <c r="R51" s="23" t="s">
        <v>678</v>
      </c>
      <c r="S51" s="23" t="s">
        <v>678</v>
      </c>
      <c r="T51" s="24"/>
      <c r="U51" s="24"/>
      <c r="V51" s="24"/>
      <c r="W51" s="32"/>
      <c r="X51" s="32"/>
      <c r="Y51" s="32"/>
      <c r="Z51" s="32"/>
      <c r="AA51" s="33"/>
      <c r="AB51" s="33"/>
      <c r="AC51" s="6"/>
      <c r="AE51" s="34"/>
    </row>
    <row r="52" spans="2:31">
      <c r="B52" s="25" t="s">
        <v>72</v>
      </c>
      <c r="C52" s="22">
        <f t="shared" si="2"/>
        <v>0</v>
      </c>
      <c r="D52" s="22">
        <f t="shared" si="0"/>
        <v>0</v>
      </c>
      <c r="E52" s="26" t="s">
        <v>678</v>
      </c>
      <c r="F52" s="26" t="s">
        <v>678</v>
      </c>
      <c r="G52" s="22" t="str">
        <f t="shared" si="1"/>
        <v>Дорожная карта исполняется</v>
      </c>
      <c r="H52" s="24"/>
      <c r="I52" s="24"/>
      <c r="J52" s="24"/>
      <c r="K52" s="24"/>
      <c r="L52" s="24"/>
      <c r="M52" s="24"/>
      <c r="N52" s="24"/>
      <c r="O52" s="24"/>
      <c r="P52" s="24"/>
      <c r="Q52" s="23" t="s">
        <v>678</v>
      </c>
      <c r="R52" s="23" t="s">
        <v>678</v>
      </c>
      <c r="S52" s="23" t="s">
        <v>678</v>
      </c>
      <c r="T52" s="24"/>
      <c r="U52" s="24"/>
      <c r="V52" s="24"/>
      <c r="W52" s="32"/>
      <c r="X52" s="32"/>
      <c r="Y52" s="32"/>
      <c r="Z52" s="32"/>
      <c r="AA52" s="33"/>
      <c r="AB52" s="33"/>
      <c r="AC52" s="6"/>
      <c r="AE52" s="34"/>
    </row>
    <row r="53" spans="2:31">
      <c r="B53" s="25" t="s">
        <v>127</v>
      </c>
      <c r="C53" s="22">
        <f t="shared" si="2"/>
        <v>0</v>
      </c>
      <c r="D53" s="22">
        <f t="shared" si="0"/>
        <v>0</v>
      </c>
      <c r="E53" s="26" t="s">
        <v>257</v>
      </c>
      <c r="F53" s="26" t="s">
        <v>679</v>
      </c>
      <c r="G53" s="22" t="str">
        <f t="shared" si="1"/>
        <v>Дорожная карта исполняется</v>
      </c>
      <c r="H53" s="24"/>
      <c r="I53" s="24"/>
      <c r="J53" s="24"/>
      <c r="K53" s="24"/>
      <c r="L53" s="24"/>
      <c r="M53" s="24"/>
      <c r="N53" s="24"/>
      <c r="O53" s="24"/>
      <c r="P53" s="24"/>
      <c r="Q53" s="23">
        <v>0</v>
      </c>
      <c r="R53" s="23">
        <v>0</v>
      </c>
      <c r="S53" s="23">
        <f t="shared" ref="S53:S61" si="5">AVERAGE(Q53:R53)</f>
        <v>0</v>
      </c>
      <c r="T53" s="24"/>
      <c r="U53" s="24"/>
      <c r="V53" s="24"/>
      <c r="W53" s="32"/>
      <c r="X53" s="32"/>
      <c r="Y53" s="32"/>
      <c r="Z53" s="32"/>
      <c r="AA53" s="33"/>
      <c r="AB53" s="33"/>
      <c r="AC53" s="6"/>
      <c r="AE53" s="34"/>
    </row>
    <row r="54" spans="2:31">
      <c r="B54" s="25" t="s">
        <v>93</v>
      </c>
      <c r="C54" s="22">
        <f t="shared" si="2"/>
        <v>0</v>
      </c>
      <c r="D54" s="22">
        <f t="shared" si="0"/>
        <v>0</v>
      </c>
      <c r="E54" s="26" t="s">
        <v>257</v>
      </c>
      <c r="F54" s="26" t="s">
        <v>675</v>
      </c>
      <c r="G54" s="22" t="str">
        <f t="shared" si="1"/>
        <v>Дорожная карта исполняется</v>
      </c>
      <c r="H54" s="24"/>
      <c r="I54" s="24"/>
      <c r="J54" s="24"/>
      <c r="K54" s="24"/>
      <c r="L54" s="24"/>
      <c r="M54" s="24"/>
      <c r="N54" s="24"/>
      <c r="O54" s="24"/>
      <c r="P54" s="24"/>
      <c r="Q54" s="23">
        <v>0</v>
      </c>
      <c r="R54" s="23">
        <v>12</v>
      </c>
      <c r="S54" s="23">
        <f t="shared" si="5"/>
        <v>6</v>
      </c>
      <c r="T54" s="24"/>
      <c r="U54" s="24"/>
      <c r="V54" s="24"/>
      <c r="W54" s="32"/>
      <c r="X54" s="32"/>
      <c r="Y54" s="32"/>
      <c r="Z54" s="32"/>
      <c r="AA54" s="33"/>
      <c r="AB54" s="33"/>
      <c r="AC54" s="6"/>
      <c r="AE54" s="34"/>
    </row>
    <row r="55" spans="2:31">
      <c r="B55" s="25" t="s">
        <v>90</v>
      </c>
      <c r="C55" s="22">
        <f t="shared" si="2"/>
        <v>0</v>
      </c>
      <c r="D55" s="22">
        <f t="shared" si="0"/>
        <v>0</v>
      </c>
      <c r="E55" s="26" t="s">
        <v>257</v>
      </c>
      <c r="F55" s="26" t="s">
        <v>675</v>
      </c>
      <c r="G55" s="22" t="str">
        <f t="shared" si="1"/>
        <v>Дорожная карта исполняется</v>
      </c>
      <c r="H55" s="24"/>
      <c r="I55" s="24"/>
      <c r="J55" s="24"/>
      <c r="K55" s="24"/>
      <c r="L55" s="24"/>
      <c r="M55" s="24"/>
      <c r="N55" s="24"/>
      <c r="O55" s="24"/>
      <c r="P55" s="24"/>
      <c r="Q55" s="23">
        <v>9</v>
      </c>
      <c r="R55" s="23">
        <v>16</v>
      </c>
      <c r="S55" s="23">
        <f t="shared" si="5"/>
        <v>12.5</v>
      </c>
      <c r="T55" s="24"/>
      <c r="U55" s="24"/>
      <c r="V55" s="24"/>
      <c r="W55" s="32"/>
      <c r="X55" s="32"/>
      <c r="Y55" s="32"/>
      <c r="Z55" s="32"/>
      <c r="AA55" s="33"/>
      <c r="AB55" s="33"/>
      <c r="AC55" s="6"/>
      <c r="AE55" s="34"/>
    </row>
    <row r="56" spans="2:31">
      <c r="B56" s="25" t="s">
        <v>123</v>
      </c>
      <c r="C56" s="22">
        <f t="shared" si="2"/>
        <v>0</v>
      </c>
      <c r="D56" s="22">
        <f t="shared" si="0"/>
        <v>0</v>
      </c>
      <c r="E56" s="26" t="s">
        <v>257</v>
      </c>
      <c r="F56" s="26" t="s">
        <v>675</v>
      </c>
      <c r="G56" s="22" t="str">
        <f t="shared" si="1"/>
        <v>Дорожная карта исполняется</v>
      </c>
      <c r="H56" s="24"/>
      <c r="I56" s="24"/>
      <c r="J56" s="24"/>
      <c r="K56" s="24"/>
      <c r="L56" s="24"/>
      <c r="M56" s="24"/>
      <c r="N56" s="24"/>
      <c r="O56" s="24"/>
      <c r="P56" s="24"/>
      <c r="Q56" s="23">
        <v>3</v>
      </c>
      <c r="R56" s="23">
        <v>6</v>
      </c>
      <c r="S56" s="23">
        <f t="shared" si="5"/>
        <v>4.5</v>
      </c>
      <c r="T56" s="24"/>
      <c r="U56" s="24"/>
      <c r="V56" s="24"/>
      <c r="W56" s="32"/>
      <c r="X56" s="32"/>
      <c r="Y56" s="32"/>
      <c r="Z56" s="32"/>
      <c r="AA56" s="33"/>
      <c r="AB56" s="33"/>
      <c r="AC56" s="6"/>
      <c r="AE56" s="34"/>
    </row>
    <row r="57" spans="2:31">
      <c r="B57" s="25" t="s">
        <v>139</v>
      </c>
      <c r="C57" s="22">
        <f t="shared" si="2"/>
        <v>2</v>
      </c>
      <c r="D57" s="22">
        <f t="shared" si="0"/>
        <v>2</v>
      </c>
      <c r="E57" s="26" t="s">
        <v>257</v>
      </c>
      <c r="F57" s="26" t="s">
        <v>677</v>
      </c>
      <c r="G57" s="22" t="str">
        <f t="shared" si="1"/>
        <v>Существенное отствание по дорожной карте</v>
      </c>
      <c r="H57" s="24"/>
      <c r="I57" s="24"/>
      <c r="J57" s="24"/>
      <c r="K57" s="24"/>
      <c r="L57" s="24"/>
      <c r="M57" s="24"/>
      <c r="N57" s="24"/>
      <c r="O57" s="24"/>
      <c r="P57" s="24"/>
      <c r="Q57" s="23">
        <v>9.5</v>
      </c>
      <c r="R57" s="23">
        <v>20.5</v>
      </c>
      <c r="S57" s="23">
        <f t="shared" si="5"/>
        <v>15</v>
      </c>
      <c r="T57" s="24"/>
      <c r="U57" s="24"/>
      <c r="V57" s="24"/>
      <c r="W57" s="32"/>
      <c r="X57" s="32"/>
      <c r="Y57" s="32"/>
      <c r="Z57" s="32"/>
      <c r="AA57" s="33"/>
      <c r="AB57" s="33"/>
      <c r="AC57" s="6"/>
      <c r="AE57" s="34"/>
    </row>
    <row r="58" spans="2:31">
      <c r="B58" s="25" t="s">
        <v>94</v>
      </c>
      <c r="C58" s="22">
        <f t="shared" si="2"/>
        <v>1</v>
      </c>
      <c r="D58" s="22">
        <f t="shared" si="0"/>
        <v>1</v>
      </c>
      <c r="E58" s="26" t="s">
        <v>257</v>
      </c>
      <c r="F58" s="26" t="s">
        <v>676</v>
      </c>
      <c r="G58" s="22" t="str">
        <f t="shared" si="1"/>
        <v>Среднее отставание по дорожной карте</v>
      </c>
      <c r="H58" s="24"/>
      <c r="I58" s="24"/>
      <c r="J58" s="24"/>
      <c r="K58" s="24"/>
      <c r="L58" s="24"/>
      <c r="M58" s="24"/>
      <c r="N58" s="24"/>
      <c r="O58" s="24"/>
      <c r="P58" s="24"/>
      <c r="Q58" s="23">
        <v>9</v>
      </c>
      <c r="R58" s="23">
        <v>20</v>
      </c>
      <c r="S58" s="23">
        <f t="shared" si="5"/>
        <v>14.5</v>
      </c>
      <c r="T58" s="24"/>
      <c r="U58" s="24"/>
      <c r="V58" s="24"/>
      <c r="W58" s="32"/>
      <c r="X58" s="32"/>
      <c r="Y58" s="32"/>
      <c r="Z58" s="32"/>
      <c r="AA58" s="33"/>
      <c r="AB58" s="33"/>
      <c r="AC58" s="6"/>
      <c r="AE58" s="34"/>
    </row>
    <row r="59" spans="2:31">
      <c r="B59" s="25" t="s">
        <v>111</v>
      </c>
      <c r="C59" s="22">
        <f t="shared" si="2"/>
        <v>2</v>
      </c>
      <c r="D59" s="22">
        <f t="shared" si="0"/>
        <v>2</v>
      </c>
      <c r="E59" s="26" t="s">
        <v>257</v>
      </c>
      <c r="F59" s="26" t="s">
        <v>677</v>
      </c>
      <c r="G59" s="22" t="str">
        <f t="shared" si="1"/>
        <v>Существенное отствание по дорожной карте</v>
      </c>
      <c r="H59" s="24"/>
      <c r="I59" s="24"/>
      <c r="J59" s="24"/>
      <c r="K59" s="24"/>
      <c r="L59" s="24"/>
      <c r="M59" s="24"/>
      <c r="N59" s="24"/>
      <c r="O59" s="24"/>
      <c r="P59" s="24"/>
      <c r="Q59" s="23">
        <v>20.3</v>
      </c>
      <c r="R59" s="23">
        <v>27.3</v>
      </c>
      <c r="S59" s="23">
        <f t="shared" si="5"/>
        <v>23.8</v>
      </c>
      <c r="T59" s="24"/>
      <c r="U59" s="24"/>
      <c r="V59" s="24"/>
      <c r="W59" s="32"/>
      <c r="X59" s="32"/>
      <c r="Y59" s="32"/>
      <c r="Z59" s="32"/>
      <c r="AA59" s="33"/>
      <c r="AB59" s="33"/>
      <c r="AC59" s="6"/>
      <c r="AE59" s="34"/>
    </row>
    <row r="60" spans="2:31">
      <c r="B60" s="25" t="s">
        <v>124</v>
      </c>
      <c r="C60" s="22">
        <f t="shared" si="2"/>
        <v>1</v>
      </c>
      <c r="D60" s="22">
        <f t="shared" si="0"/>
        <v>1</v>
      </c>
      <c r="E60" s="26" t="s">
        <v>257</v>
      </c>
      <c r="F60" s="26" t="s">
        <v>676</v>
      </c>
      <c r="G60" s="22" t="str">
        <f t="shared" si="1"/>
        <v>Среднее отставание по дорожной карте</v>
      </c>
      <c r="H60" s="24"/>
      <c r="I60" s="24"/>
      <c r="J60" s="24"/>
      <c r="K60" s="24"/>
      <c r="L60" s="24"/>
      <c r="M60" s="24"/>
      <c r="N60" s="24"/>
      <c r="O60" s="24"/>
      <c r="P60" s="24"/>
      <c r="Q60" s="23">
        <v>9</v>
      </c>
      <c r="R60" s="23">
        <v>13</v>
      </c>
      <c r="S60" s="23">
        <f t="shared" si="5"/>
        <v>11</v>
      </c>
      <c r="T60" s="24"/>
      <c r="U60" s="24"/>
      <c r="V60" s="24"/>
      <c r="W60" s="32"/>
      <c r="X60" s="32"/>
      <c r="Y60" s="32"/>
      <c r="Z60" s="32"/>
      <c r="AA60" s="33"/>
      <c r="AB60" s="33"/>
      <c r="AC60" s="6"/>
      <c r="AE60" s="34"/>
    </row>
    <row r="61" spans="2:31">
      <c r="B61" s="25" t="s">
        <v>143</v>
      </c>
      <c r="C61" s="22">
        <f t="shared" si="2"/>
        <v>0</v>
      </c>
      <c r="D61" s="22">
        <f t="shared" si="0"/>
        <v>0</v>
      </c>
      <c r="E61" s="26" t="s">
        <v>257</v>
      </c>
      <c r="F61" s="26" t="s">
        <v>675</v>
      </c>
      <c r="G61" s="22" t="str">
        <f t="shared" si="1"/>
        <v>Дорожная карта исполняется</v>
      </c>
      <c r="H61" s="24"/>
      <c r="I61" s="24"/>
      <c r="J61" s="24"/>
      <c r="K61" s="24"/>
      <c r="L61" s="24"/>
      <c r="M61" s="24"/>
      <c r="N61" s="24"/>
      <c r="O61" s="24"/>
      <c r="P61" s="24"/>
      <c r="Q61" s="23">
        <v>0</v>
      </c>
      <c r="R61" s="23">
        <v>12</v>
      </c>
      <c r="S61" s="23">
        <f t="shared" si="5"/>
        <v>6</v>
      </c>
      <c r="T61" s="24"/>
      <c r="U61" s="24"/>
      <c r="V61" s="24"/>
      <c r="W61" s="32"/>
      <c r="X61" s="32"/>
      <c r="Y61" s="32"/>
      <c r="Z61" s="32"/>
      <c r="AA61" s="33"/>
      <c r="AB61" s="33"/>
      <c r="AC61" s="6"/>
      <c r="AE61" s="34"/>
    </row>
    <row r="62" spans="2:31">
      <c r="B62" s="25" t="s">
        <v>144</v>
      </c>
      <c r="C62" s="22">
        <f t="shared" si="2"/>
        <v>0</v>
      </c>
      <c r="D62" s="22">
        <f t="shared" si="0"/>
        <v>0</v>
      </c>
      <c r="E62" s="26" t="s">
        <v>257</v>
      </c>
      <c r="F62" s="26" t="s">
        <v>679</v>
      </c>
      <c r="G62" s="22" t="str">
        <f t="shared" si="1"/>
        <v>Дорожная карта исполняется</v>
      </c>
      <c r="H62" s="24"/>
      <c r="I62" s="24"/>
      <c r="J62" s="24"/>
      <c r="K62" s="24"/>
      <c r="L62" s="24"/>
      <c r="M62" s="24"/>
      <c r="N62" s="24"/>
      <c r="O62" s="24"/>
      <c r="P62" s="24"/>
      <c r="Q62" s="23">
        <v>0</v>
      </c>
      <c r="R62" s="23">
        <v>0</v>
      </c>
      <c r="S62" s="23">
        <v>0</v>
      </c>
      <c r="T62" s="24"/>
      <c r="U62" s="24"/>
      <c r="V62" s="24"/>
      <c r="W62" s="32"/>
      <c r="X62" s="32"/>
      <c r="Y62" s="32"/>
      <c r="Z62" s="32"/>
      <c r="AA62" s="33"/>
      <c r="AB62" s="33"/>
      <c r="AC62" s="6"/>
      <c r="AE62" s="34"/>
    </row>
    <row r="63" spans="2:31">
      <c r="B63" s="25" t="s">
        <v>95</v>
      </c>
      <c r="C63" s="22">
        <f t="shared" si="2"/>
        <v>0</v>
      </c>
      <c r="D63" s="22">
        <f t="shared" si="0"/>
        <v>0</v>
      </c>
      <c r="E63" s="26" t="s">
        <v>257</v>
      </c>
      <c r="F63" s="26" t="s">
        <v>675</v>
      </c>
      <c r="G63" s="22" t="str">
        <f t="shared" si="1"/>
        <v>Дорожная карта исполняется</v>
      </c>
      <c r="H63" s="24"/>
      <c r="I63" s="24"/>
      <c r="J63" s="24"/>
      <c r="K63" s="24"/>
      <c r="L63" s="24"/>
      <c r="M63" s="24"/>
      <c r="N63" s="24"/>
      <c r="O63" s="24"/>
      <c r="P63" s="24"/>
      <c r="Q63" s="23">
        <v>0</v>
      </c>
      <c r="R63" s="23">
        <v>9</v>
      </c>
      <c r="S63" s="23">
        <f t="shared" ref="S63:S87" si="6">AVERAGE(Q63:R63)</f>
        <v>4.5</v>
      </c>
      <c r="T63" s="24"/>
      <c r="U63" s="24"/>
      <c r="V63" s="24"/>
      <c r="W63" s="32"/>
      <c r="X63" s="32"/>
      <c r="Y63" s="32"/>
      <c r="Z63" s="32"/>
      <c r="AA63" s="33"/>
      <c r="AB63" s="33"/>
      <c r="AC63" s="6"/>
      <c r="AE63" s="34"/>
    </row>
    <row r="64" spans="2:31">
      <c r="B64" s="25" t="s">
        <v>96</v>
      </c>
      <c r="C64" s="22">
        <f t="shared" si="2"/>
        <v>1</v>
      </c>
      <c r="D64" s="22">
        <f t="shared" si="0"/>
        <v>1</v>
      </c>
      <c r="E64" s="26" t="s">
        <v>257</v>
      </c>
      <c r="F64" s="26" t="s">
        <v>676</v>
      </c>
      <c r="G64" s="22" t="str">
        <f t="shared" si="1"/>
        <v>Среднее отставание по дорожной карте</v>
      </c>
      <c r="H64" s="24"/>
      <c r="I64" s="24"/>
      <c r="J64" s="24"/>
      <c r="K64" s="24"/>
      <c r="L64" s="24"/>
      <c r="M64" s="24"/>
      <c r="N64" s="24"/>
      <c r="O64" s="24"/>
      <c r="P64" s="24"/>
      <c r="Q64" s="23">
        <v>6</v>
      </c>
      <c r="R64" s="23">
        <v>12</v>
      </c>
      <c r="S64" s="23">
        <f t="shared" si="6"/>
        <v>9</v>
      </c>
      <c r="T64" s="24"/>
      <c r="U64" s="24"/>
      <c r="V64" s="24"/>
      <c r="W64" s="32"/>
      <c r="X64" s="32"/>
      <c r="Y64" s="32"/>
      <c r="Z64" s="32"/>
      <c r="AA64" s="33"/>
      <c r="AB64" s="33"/>
      <c r="AC64" s="6"/>
      <c r="AE64" s="34"/>
    </row>
    <row r="65" spans="2:31">
      <c r="B65" s="25" t="s">
        <v>147</v>
      </c>
      <c r="C65" s="22">
        <f t="shared" si="2"/>
        <v>0</v>
      </c>
      <c r="D65" s="22">
        <f t="shared" si="0"/>
        <v>0</v>
      </c>
      <c r="E65" s="26" t="s">
        <v>257</v>
      </c>
      <c r="F65" s="26" t="s">
        <v>675</v>
      </c>
      <c r="G65" s="22" t="str">
        <f t="shared" si="1"/>
        <v>Дорожная карта исполняется</v>
      </c>
      <c r="H65" s="24"/>
      <c r="I65" s="24"/>
      <c r="J65" s="24"/>
      <c r="K65" s="24"/>
      <c r="L65" s="24"/>
      <c r="M65" s="24"/>
      <c r="N65" s="24"/>
      <c r="O65" s="24"/>
      <c r="P65" s="24"/>
      <c r="Q65" s="23">
        <v>2</v>
      </c>
      <c r="R65" s="23">
        <v>21</v>
      </c>
      <c r="S65" s="23">
        <f t="shared" si="6"/>
        <v>11.5</v>
      </c>
      <c r="T65" s="24"/>
      <c r="U65" s="24"/>
      <c r="V65" s="24"/>
      <c r="W65" s="32"/>
      <c r="X65" s="32"/>
      <c r="Y65" s="32"/>
      <c r="Z65" s="32"/>
      <c r="AA65" s="33"/>
      <c r="AB65" s="33"/>
      <c r="AC65" s="6"/>
      <c r="AE65" s="34"/>
    </row>
    <row r="66" spans="2:31">
      <c r="B66" s="25" t="s">
        <v>88</v>
      </c>
      <c r="C66" s="22">
        <f t="shared" si="2"/>
        <v>0</v>
      </c>
      <c r="D66" s="22">
        <f t="shared" si="0"/>
        <v>0</v>
      </c>
      <c r="E66" s="26" t="s">
        <v>257</v>
      </c>
      <c r="F66" s="26" t="s">
        <v>675</v>
      </c>
      <c r="G66" s="22" t="str">
        <f t="shared" si="1"/>
        <v>Дорожная карта исполняется</v>
      </c>
      <c r="H66" s="24"/>
      <c r="I66" s="24"/>
      <c r="J66" s="24"/>
      <c r="K66" s="24"/>
      <c r="L66" s="24"/>
      <c r="M66" s="24"/>
      <c r="N66" s="24"/>
      <c r="O66" s="24"/>
      <c r="P66" s="24"/>
      <c r="Q66" s="23">
        <v>0</v>
      </c>
      <c r="R66" s="23">
        <v>12</v>
      </c>
      <c r="S66" s="23">
        <f t="shared" si="6"/>
        <v>6</v>
      </c>
      <c r="T66" s="24"/>
      <c r="U66" s="24"/>
      <c r="V66" s="24"/>
      <c r="W66" s="32"/>
      <c r="X66" s="32"/>
      <c r="Y66" s="32"/>
      <c r="Z66" s="32"/>
      <c r="AA66" s="33"/>
      <c r="AB66" s="33"/>
      <c r="AC66" s="6"/>
      <c r="AE66" s="34"/>
    </row>
    <row r="67" spans="2:31">
      <c r="B67" s="25" t="s">
        <v>157</v>
      </c>
      <c r="C67" s="22">
        <f t="shared" si="2"/>
        <v>1</v>
      </c>
      <c r="D67" s="22">
        <f t="shared" si="0"/>
        <v>1</v>
      </c>
      <c r="E67" s="26" t="s">
        <v>257</v>
      </c>
      <c r="F67" s="26" t="s">
        <v>676</v>
      </c>
      <c r="G67" s="22" t="str">
        <f t="shared" si="1"/>
        <v>Среднее отставание по дорожной карте</v>
      </c>
      <c r="H67" s="24"/>
      <c r="I67" s="24"/>
      <c r="J67" s="24"/>
      <c r="K67" s="24"/>
      <c r="L67" s="24"/>
      <c r="M67" s="24"/>
      <c r="N67" s="24"/>
      <c r="O67" s="24"/>
      <c r="P67" s="24"/>
      <c r="Q67" s="23">
        <v>4</v>
      </c>
      <c r="R67" s="23">
        <v>29</v>
      </c>
      <c r="S67" s="23">
        <f t="shared" si="6"/>
        <v>16.5</v>
      </c>
      <c r="T67" s="24"/>
      <c r="U67" s="24"/>
      <c r="V67" s="24"/>
      <c r="W67" s="32"/>
      <c r="X67" s="32"/>
      <c r="Y67" s="32"/>
      <c r="Z67" s="32"/>
      <c r="AA67" s="33"/>
      <c r="AB67" s="33"/>
      <c r="AC67" s="6"/>
      <c r="AE67" s="34"/>
    </row>
    <row r="68" spans="2:31">
      <c r="B68" s="25" t="s">
        <v>136</v>
      </c>
      <c r="C68" s="22">
        <f t="shared" si="2"/>
        <v>0</v>
      </c>
      <c r="D68" s="22">
        <f t="shared" si="0"/>
        <v>0</v>
      </c>
      <c r="E68" s="26" t="s">
        <v>257</v>
      </c>
      <c r="F68" s="26" t="s">
        <v>679</v>
      </c>
      <c r="G68" s="22" t="str">
        <f t="shared" si="1"/>
        <v>Дорожная карта исполняется</v>
      </c>
      <c r="H68" s="24"/>
      <c r="I68" s="24"/>
      <c r="J68" s="24"/>
      <c r="K68" s="24"/>
      <c r="L68" s="24"/>
      <c r="M68" s="24"/>
      <c r="N68" s="24"/>
      <c r="O68" s="24"/>
      <c r="P68" s="24"/>
      <c r="Q68" s="23">
        <v>0</v>
      </c>
      <c r="R68" s="23">
        <v>3</v>
      </c>
      <c r="S68" s="23">
        <f t="shared" si="6"/>
        <v>1.5</v>
      </c>
      <c r="T68" s="24"/>
      <c r="U68" s="24"/>
      <c r="V68" s="24"/>
      <c r="W68" s="32"/>
      <c r="X68" s="32"/>
      <c r="Y68" s="32"/>
      <c r="Z68" s="32"/>
      <c r="AA68" s="33"/>
      <c r="AB68" s="33"/>
      <c r="AC68" s="6"/>
      <c r="AE68" s="34"/>
    </row>
    <row r="69" spans="2:31">
      <c r="B69" s="25" t="s">
        <v>158</v>
      </c>
      <c r="C69" s="22">
        <f t="shared" si="2"/>
        <v>2</v>
      </c>
      <c r="D69" s="22">
        <f t="shared" si="0"/>
        <v>2</v>
      </c>
      <c r="E69" s="26" t="s">
        <v>257</v>
      </c>
      <c r="F69" s="26" t="s">
        <v>677</v>
      </c>
      <c r="G69" s="22" t="str">
        <f t="shared" si="1"/>
        <v>Существенное отствание по дорожной карте</v>
      </c>
      <c r="H69" s="24"/>
      <c r="I69" s="24"/>
      <c r="J69" s="24"/>
      <c r="K69" s="24"/>
      <c r="L69" s="24"/>
      <c r="M69" s="24"/>
      <c r="N69" s="24"/>
      <c r="O69" s="24"/>
      <c r="P69" s="24"/>
      <c r="Q69" s="23">
        <v>5</v>
      </c>
      <c r="R69" s="23">
        <v>18</v>
      </c>
      <c r="S69" s="23">
        <f t="shared" si="6"/>
        <v>11.5</v>
      </c>
      <c r="T69" s="24"/>
      <c r="U69" s="24"/>
      <c r="V69" s="24"/>
      <c r="W69" s="32"/>
      <c r="X69" s="32"/>
      <c r="Y69" s="32"/>
      <c r="Z69" s="32"/>
      <c r="AA69" s="33"/>
      <c r="AB69" s="33"/>
      <c r="AC69" s="6"/>
      <c r="AE69" s="34"/>
    </row>
    <row r="70" spans="2:31">
      <c r="B70" s="25" t="s">
        <v>120</v>
      </c>
      <c r="C70" s="22">
        <f t="shared" si="2"/>
        <v>1</v>
      </c>
      <c r="D70" s="22">
        <f t="shared" si="0"/>
        <v>1</v>
      </c>
      <c r="E70" s="26" t="s">
        <v>257</v>
      </c>
      <c r="F70" s="26" t="s">
        <v>676</v>
      </c>
      <c r="G70" s="22" t="str">
        <f t="shared" si="1"/>
        <v>Среднее отставание по дорожной карте</v>
      </c>
      <c r="H70" s="24"/>
      <c r="I70" s="24"/>
      <c r="J70" s="24"/>
      <c r="K70" s="24"/>
      <c r="L70" s="24"/>
      <c r="M70" s="24"/>
      <c r="N70" s="24"/>
      <c r="O70" s="24"/>
      <c r="P70" s="24"/>
      <c r="Q70" s="23">
        <v>13</v>
      </c>
      <c r="R70" s="23">
        <v>20</v>
      </c>
      <c r="S70" s="23">
        <f t="shared" si="6"/>
        <v>16.5</v>
      </c>
      <c r="T70" s="24"/>
      <c r="U70" s="24"/>
      <c r="V70" s="24"/>
      <c r="W70" s="32"/>
      <c r="X70" s="32"/>
      <c r="Y70" s="32"/>
      <c r="Z70" s="32"/>
      <c r="AA70" s="33"/>
      <c r="AB70" s="33"/>
      <c r="AC70" s="6"/>
      <c r="AE70" s="34"/>
    </row>
    <row r="71" spans="2:31">
      <c r="B71" s="25" t="s">
        <v>112</v>
      </c>
      <c r="C71" s="22">
        <f t="shared" si="2"/>
        <v>0</v>
      </c>
      <c r="D71" s="22">
        <f t="shared" si="0"/>
        <v>0</v>
      </c>
      <c r="E71" s="26" t="s">
        <v>257</v>
      </c>
      <c r="F71" s="26" t="s">
        <v>675</v>
      </c>
      <c r="G71" s="22" t="str">
        <f t="shared" si="1"/>
        <v>Дорожная карта исполняется</v>
      </c>
      <c r="H71" s="24"/>
      <c r="I71" s="24"/>
      <c r="J71" s="24"/>
      <c r="K71" s="24"/>
      <c r="L71" s="24"/>
      <c r="M71" s="24"/>
      <c r="N71" s="24"/>
      <c r="O71" s="24"/>
      <c r="P71" s="24"/>
      <c r="Q71" s="23">
        <v>9</v>
      </c>
      <c r="R71" s="23">
        <v>23</v>
      </c>
      <c r="S71" s="23">
        <f t="shared" si="6"/>
        <v>16</v>
      </c>
      <c r="T71" s="24"/>
      <c r="U71" s="24"/>
      <c r="V71" s="24"/>
      <c r="W71" s="32"/>
      <c r="X71" s="32"/>
      <c r="Y71" s="32"/>
      <c r="Z71" s="32"/>
      <c r="AA71" s="33"/>
      <c r="AB71" s="33"/>
      <c r="AC71" s="6"/>
      <c r="AE71" s="34"/>
    </row>
    <row r="72" spans="2:31">
      <c r="B72" s="25" t="s">
        <v>97</v>
      </c>
      <c r="C72" s="22">
        <f t="shared" si="2"/>
        <v>1</v>
      </c>
      <c r="D72" s="22">
        <f t="shared" si="0"/>
        <v>1</v>
      </c>
      <c r="E72" s="26" t="s">
        <v>257</v>
      </c>
      <c r="F72" s="26" t="s">
        <v>676</v>
      </c>
      <c r="G72" s="22" t="str">
        <f t="shared" si="1"/>
        <v>Среднее отставание по дорожной карте</v>
      </c>
      <c r="H72" s="24"/>
      <c r="I72" s="24"/>
      <c r="J72" s="24"/>
      <c r="K72" s="24"/>
      <c r="L72" s="24"/>
      <c r="M72" s="24"/>
      <c r="N72" s="24"/>
      <c r="O72" s="24"/>
      <c r="P72" s="24"/>
      <c r="Q72" s="23">
        <v>9.1</v>
      </c>
      <c r="R72" s="23">
        <v>19</v>
      </c>
      <c r="S72" s="23">
        <f t="shared" si="6"/>
        <v>14.05</v>
      </c>
      <c r="T72" s="24"/>
      <c r="U72" s="24"/>
      <c r="V72" s="24"/>
      <c r="W72" s="32"/>
      <c r="X72" s="32"/>
      <c r="Y72" s="32"/>
      <c r="Z72" s="32"/>
      <c r="AA72" s="33"/>
      <c r="AB72" s="33"/>
      <c r="AC72" s="6"/>
      <c r="AE72" s="34"/>
    </row>
    <row r="73" spans="2:31">
      <c r="B73" s="25" t="s">
        <v>98</v>
      </c>
      <c r="C73" s="22">
        <f t="shared" si="2"/>
        <v>0</v>
      </c>
      <c r="D73" s="22">
        <f t="shared" si="0"/>
        <v>0</v>
      </c>
      <c r="E73" s="26" t="s">
        <v>257</v>
      </c>
      <c r="F73" s="26" t="s">
        <v>675</v>
      </c>
      <c r="G73" s="22" t="str">
        <f t="shared" si="1"/>
        <v>Дорожная карта исполняется</v>
      </c>
      <c r="H73" s="24"/>
      <c r="I73" s="24"/>
      <c r="J73" s="24"/>
      <c r="K73" s="24"/>
      <c r="L73" s="24"/>
      <c r="M73" s="24"/>
      <c r="N73" s="24"/>
      <c r="O73" s="24"/>
      <c r="P73" s="24"/>
      <c r="Q73" s="23">
        <v>0.2</v>
      </c>
      <c r="R73" s="23">
        <v>16</v>
      </c>
      <c r="S73" s="23">
        <f t="shared" si="6"/>
        <v>8.1</v>
      </c>
      <c r="T73" s="24"/>
      <c r="U73" s="24"/>
      <c r="V73" s="24"/>
      <c r="W73" s="32"/>
      <c r="X73" s="32"/>
      <c r="Y73" s="32"/>
      <c r="Z73" s="32"/>
      <c r="AA73" s="33"/>
      <c r="AB73" s="33"/>
      <c r="AC73" s="6"/>
      <c r="AE73" s="34"/>
    </row>
    <row r="74" spans="2:31">
      <c r="B74" s="25" t="s">
        <v>110</v>
      </c>
      <c r="C74" s="22">
        <f t="shared" si="2"/>
        <v>0</v>
      </c>
      <c r="D74" s="22">
        <f t="shared" si="0"/>
        <v>0</v>
      </c>
      <c r="E74" s="26" t="s">
        <v>257</v>
      </c>
      <c r="F74" s="26" t="s">
        <v>679</v>
      </c>
      <c r="G74" s="22" t="str">
        <f t="shared" si="1"/>
        <v>Дорожная карта исполняется</v>
      </c>
      <c r="H74" s="24"/>
      <c r="I74" s="24"/>
      <c r="J74" s="24"/>
      <c r="K74" s="24"/>
      <c r="L74" s="24"/>
      <c r="M74" s="24"/>
      <c r="N74" s="24"/>
      <c r="O74" s="24"/>
      <c r="P74" s="24"/>
      <c r="Q74" s="23">
        <v>0</v>
      </c>
      <c r="R74" s="23">
        <v>0</v>
      </c>
      <c r="S74" s="23">
        <f t="shared" si="6"/>
        <v>0</v>
      </c>
      <c r="T74" s="24"/>
      <c r="U74" s="24"/>
      <c r="V74" s="24"/>
      <c r="W74" s="32"/>
      <c r="X74" s="32"/>
      <c r="Y74" s="32"/>
      <c r="Z74" s="32"/>
      <c r="AA74" s="33"/>
      <c r="AB74" s="33"/>
      <c r="AC74" s="6"/>
      <c r="AE74" s="34"/>
    </row>
    <row r="75" spans="2:31">
      <c r="B75" s="25" t="s">
        <v>115</v>
      </c>
      <c r="C75" s="22">
        <f t="shared" si="2"/>
        <v>0</v>
      </c>
      <c r="D75" s="22">
        <f t="shared" si="0"/>
        <v>0</v>
      </c>
      <c r="E75" s="26" t="s">
        <v>257</v>
      </c>
      <c r="F75" s="26" t="s">
        <v>675</v>
      </c>
      <c r="G75" s="22" t="str">
        <f t="shared" si="1"/>
        <v>Дорожная карта исполняется</v>
      </c>
      <c r="H75" s="24"/>
      <c r="I75" s="24"/>
      <c r="J75" s="24"/>
      <c r="K75" s="24"/>
      <c r="L75" s="24"/>
      <c r="M75" s="24"/>
      <c r="N75" s="24"/>
      <c r="O75" s="24"/>
      <c r="P75" s="24"/>
      <c r="Q75" s="23">
        <v>0</v>
      </c>
      <c r="R75" s="23">
        <v>16</v>
      </c>
      <c r="S75" s="23">
        <f t="shared" si="6"/>
        <v>8</v>
      </c>
      <c r="T75" s="24"/>
      <c r="U75" s="24"/>
      <c r="V75" s="24"/>
      <c r="W75" s="32"/>
      <c r="X75" s="32"/>
      <c r="Y75" s="32"/>
      <c r="Z75" s="32"/>
      <c r="AA75" s="33"/>
      <c r="AB75" s="33"/>
      <c r="AC75" s="6"/>
      <c r="AE75" s="34"/>
    </row>
    <row r="76" spans="2:31">
      <c r="B76" s="25" t="s">
        <v>159</v>
      </c>
      <c r="C76" s="22">
        <f t="shared" si="2"/>
        <v>1</v>
      </c>
      <c r="D76" s="22">
        <f t="shared" si="0"/>
        <v>1</v>
      </c>
      <c r="E76" s="26" t="s">
        <v>257</v>
      </c>
      <c r="F76" s="26" t="s">
        <v>676</v>
      </c>
      <c r="G76" s="22" t="str">
        <f t="shared" si="1"/>
        <v>Среднее отставание по дорожной карте</v>
      </c>
      <c r="H76" s="24"/>
      <c r="I76" s="24"/>
      <c r="J76" s="24"/>
      <c r="K76" s="24"/>
      <c r="L76" s="24"/>
      <c r="M76" s="24"/>
      <c r="N76" s="24"/>
      <c r="O76" s="24"/>
      <c r="P76" s="24"/>
      <c r="Q76" s="23">
        <v>9</v>
      </c>
      <c r="R76" s="23">
        <v>16</v>
      </c>
      <c r="S76" s="23">
        <f t="shared" si="6"/>
        <v>12.5</v>
      </c>
      <c r="T76" s="24"/>
      <c r="U76" s="24"/>
      <c r="V76" s="24"/>
      <c r="W76" s="32"/>
      <c r="X76" s="32"/>
      <c r="Y76" s="32"/>
      <c r="Z76" s="32"/>
      <c r="AA76" s="33"/>
      <c r="AB76" s="33"/>
      <c r="AC76" s="6"/>
      <c r="AE76" s="34"/>
    </row>
    <row r="77" spans="2:31">
      <c r="B77" s="25" t="s">
        <v>151</v>
      </c>
      <c r="C77" s="22">
        <f t="shared" si="2"/>
        <v>1</v>
      </c>
      <c r="D77" s="22">
        <f t="shared" si="0"/>
        <v>1</v>
      </c>
      <c r="E77" s="26" t="s">
        <v>257</v>
      </c>
      <c r="F77" s="26" t="s">
        <v>676</v>
      </c>
      <c r="G77" s="22" t="str">
        <f t="shared" si="1"/>
        <v>Среднее отставание по дорожной карте</v>
      </c>
      <c r="H77" s="24"/>
      <c r="I77" s="24"/>
      <c r="J77" s="24"/>
      <c r="K77" s="24"/>
      <c r="L77" s="24"/>
      <c r="M77" s="24"/>
      <c r="N77" s="24"/>
      <c r="O77" s="24"/>
      <c r="P77" s="24"/>
      <c r="Q77" s="23">
        <v>0</v>
      </c>
      <c r="R77" s="23">
        <v>21</v>
      </c>
      <c r="S77" s="23">
        <f t="shared" si="6"/>
        <v>10.5</v>
      </c>
      <c r="T77" s="24"/>
      <c r="U77" s="24"/>
      <c r="V77" s="24"/>
      <c r="W77" s="32"/>
      <c r="X77" s="32"/>
      <c r="Y77" s="32"/>
      <c r="Z77" s="32"/>
      <c r="AA77" s="33"/>
      <c r="AB77" s="33"/>
      <c r="AC77" s="6"/>
      <c r="AE77" s="34"/>
    </row>
    <row r="78" spans="2:31">
      <c r="B78" s="25" t="s">
        <v>75</v>
      </c>
      <c r="C78" s="22">
        <f t="shared" si="2"/>
        <v>0</v>
      </c>
      <c r="D78" s="22">
        <f t="shared" si="0"/>
        <v>0</v>
      </c>
      <c r="E78" s="26" t="s">
        <v>257</v>
      </c>
      <c r="F78" s="26" t="s">
        <v>675</v>
      </c>
      <c r="G78" s="22" t="str">
        <f t="shared" si="1"/>
        <v>Дорожная карта исполняется</v>
      </c>
      <c r="H78" s="24"/>
      <c r="I78" s="24"/>
      <c r="J78" s="24"/>
      <c r="K78" s="24"/>
      <c r="L78" s="24"/>
      <c r="M78" s="24"/>
      <c r="N78" s="24"/>
      <c r="O78" s="24"/>
      <c r="P78" s="24"/>
      <c r="Q78" s="23">
        <v>7</v>
      </c>
      <c r="R78" s="23">
        <v>17</v>
      </c>
      <c r="S78" s="23">
        <f t="shared" si="6"/>
        <v>12</v>
      </c>
      <c r="T78" s="24"/>
      <c r="U78" s="24"/>
      <c r="V78" s="24"/>
      <c r="W78" s="32"/>
      <c r="X78" s="32"/>
      <c r="Y78" s="32"/>
      <c r="Z78" s="32"/>
      <c r="AA78" s="33"/>
      <c r="AB78" s="33"/>
      <c r="AC78" s="6"/>
      <c r="AE78" s="34"/>
    </row>
    <row r="79" spans="2:31">
      <c r="B79" s="25" t="s">
        <v>154</v>
      </c>
      <c r="C79" s="22">
        <f t="shared" si="2"/>
        <v>0</v>
      </c>
      <c r="D79" s="22">
        <f t="shared" si="0"/>
        <v>0</v>
      </c>
      <c r="E79" s="26" t="s">
        <v>257</v>
      </c>
      <c r="F79" s="26" t="s">
        <v>675</v>
      </c>
      <c r="G79" s="22" t="str">
        <f t="shared" si="1"/>
        <v>Дорожная карта исполняется</v>
      </c>
      <c r="H79" s="24"/>
      <c r="I79" s="24"/>
      <c r="J79" s="24"/>
      <c r="K79" s="24"/>
      <c r="L79" s="24"/>
      <c r="M79" s="24"/>
      <c r="N79" s="24"/>
      <c r="O79" s="24"/>
      <c r="P79" s="24"/>
      <c r="Q79" s="23">
        <v>2</v>
      </c>
      <c r="R79" s="23">
        <v>4</v>
      </c>
      <c r="S79" s="23">
        <f t="shared" si="6"/>
        <v>3</v>
      </c>
      <c r="T79" s="24"/>
      <c r="U79" s="24"/>
      <c r="V79" s="24"/>
      <c r="W79" s="32"/>
      <c r="X79" s="32"/>
      <c r="Y79" s="32"/>
      <c r="Z79" s="32"/>
      <c r="AA79" s="33"/>
      <c r="AB79" s="33"/>
      <c r="AC79" s="6"/>
      <c r="AE79" s="34"/>
    </row>
    <row r="80" spans="2:31">
      <c r="B80" s="25" t="s">
        <v>152</v>
      </c>
      <c r="C80" s="22">
        <f t="shared" si="2"/>
        <v>1</v>
      </c>
      <c r="D80" s="22">
        <f t="shared" ref="D80:D104" si="7">IF(F80=$F$106,2,IF(F80=$F$107,1,0))</f>
        <v>1</v>
      </c>
      <c r="E80" s="26" t="s">
        <v>257</v>
      </c>
      <c r="F80" s="26" t="s">
        <v>676</v>
      </c>
      <c r="G80" s="22" t="str">
        <f t="shared" ref="G80:G104" si="8">IF(F80=$F$106,"Существенное отствание по дорожной карте",IF(F80=$F$107,"Среднее отставание по дорожной карте",IF(E80=$E$108,"Дорожная карта не требуется","Дорожная карта исполняется")))</f>
        <v>Среднее отставание по дорожной карте</v>
      </c>
      <c r="H80" s="24"/>
      <c r="I80" s="24"/>
      <c r="J80" s="24"/>
      <c r="K80" s="24"/>
      <c r="L80" s="24"/>
      <c r="M80" s="24"/>
      <c r="N80" s="24"/>
      <c r="O80" s="24"/>
      <c r="P80" s="24"/>
      <c r="Q80" s="23">
        <v>1</v>
      </c>
      <c r="R80" s="23">
        <v>3.1</v>
      </c>
      <c r="S80" s="23">
        <f t="shared" si="6"/>
        <v>2.05</v>
      </c>
      <c r="T80" s="24"/>
      <c r="U80" s="24"/>
      <c r="V80" s="24"/>
      <c r="W80" s="32"/>
      <c r="X80" s="32"/>
      <c r="Y80" s="32"/>
      <c r="Z80" s="32"/>
      <c r="AA80" s="33"/>
      <c r="AB80" s="33"/>
      <c r="AC80" s="6"/>
      <c r="AE80" s="34"/>
    </row>
    <row r="81" spans="2:31">
      <c r="B81" s="25" t="s">
        <v>140</v>
      </c>
      <c r="C81" s="22">
        <f t="shared" ref="C81:C104" si="9">IF(D81&gt;$D$8,2,IF(D81&gt;$D$9,1,0))</f>
        <v>1</v>
      </c>
      <c r="D81" s="22">
        <f t="shared" si="7"/>
        <v>1</v>
      </c>
      <c r="E81" s="26" t="s">
        <v>257</v>
      </c>
      <c r="F81" s="26" t="s">
        <v>676</v>
      </c>
      <c r="G81" s="22" t="str">
        <f t="shared" si="8"/>
        <v>Среднее отставание по дорожной карте</v>
      </c>
      <c r="H81" s="24"/>
      <c r="I81" s="24"/>
      <c r="J81" s="24"/>
      <c r="K81" s="24"/>
      <c r="L81" s="24"/>
      <c r="M81" s="24"/>
      <c r="N81" s="24"/>
      <c r="O81" s="24"/>
      <c r="P81" s="24"/>
      <c r="Q81" s="23">
        <v>9.1</v>
      </c>
      <c r="R81" s="23">
        <v>23</v>
      </c>
      <c r="S81" s="23">
        <f t="shared" si="6"/>
        <v>16.05</v>
      </c>
      <c r="T81" s="24"/>
      <c r="U81" s="24"/>
      <c r="V81" s="24"/>
      <c r="W81" s="32"/>
      <c r="X81" s="32"/>
      <c r="Y81" s="32"/>
      <c r="Z81" s="32"/>
      <c r="AA81" s="33"/>
      <c r="AB81" s="33"/>
      <c r="AC81" s="6"/>
      <c r="AE81" s="34"/>
    </row>
    <row r="82" spans="2:31">
      <c r="B82" s="25" t="s">
        <v>135</v>
      </c>
      <c r="C82" s="22">
        <f t="shared" si="9"/>
        <v>0</v>
      </c>
      <c r="D82" s="22">
        <f t="shared" si="7"/>
        <v>0</v>
      </c>
      <c r="E82" s="26" t="s">
        <v>257</v>
      </c>
      <c r="F82" s="26" t="s">
        <v>675</v>
      </c>
      <c r="G82" s="22" t="str">
        <f t="shared" si="8"/>
        <v>Дорожная карта исполняется</v>
      </c>
      <c r="H82" s="24"/>
      <c r="I82" s="24"/>
      <c r="J82" s="24"/>
      <c r="K82" s="24"/>
      <c r="L82" s="24"/>
      <c r="M82" s="24"/>
      <c r="N82" s="24"/>
      <c r="O82" s="24"/>
      <c r="P82" s="24"/>
      <c r="Q82" s="23">
        <v>11</v>
      </c>
      <c r="R82" s="23">
        <v>15</v>
      </c>
      <c r="S82" s="23">
        <f t="shared" si="6"/>
        <v>13</v>
      </c>
      <c r="T82" s="24"/>
      <c r="U82" s="24"/>
      <c r="V82" s="24"/>
      <c r="W82" s="32"/>
      <c r="X82" s="32"/>
      <c r="Y82" s="32"/>
      <c r="Z82" s="32"/>
      <c r="AA82" s="33"/>
      <c r="AB82" s="33"/>
      <c r="AC82" s="6"/>
      <c r="AE82" s="34"/>
    </row>
    <row r="83" spans="2:31">
      <c r="B83" s="25" t="s">
        <v>100</v>
      </c>
      <c r="C83" s="22">
        <f t="shared" si="9"/>
        <v>0</v>
      </c>
      <c r="D83" s="22">
        <f t="shared" si="7"/>
        <v>0</v>
      </c>
      <c r="E83" s="26" t="s">
        <v>257</v>
      </c>
      <c r="F83" s="26" t="s">
        <v>679</v>
      </c>
      <c r="G83" s="22" t="str">
        <f t="shared" si="8"/>
        <v>Дорожная карта исполняется</v>
      </c>
      <c r="H83" s="24"/>
      <c r="I83" s="24"/>
      <c r="J83" s="24"/>
      <c r="K83" s="24"/>
      <c r="L83" s="24"/>
      <c r="M83" s="24"/>
      <c r="N83" s="24"/>
      <c r="O83" s="24"/>
      <c r="P83" s="24"/>
      <c r="Q83" s="23">
        <v>0</v>
      </c>
      <c r="R83" s="23">
        <v>0</v>
      </c>
      <c r="S83" s="23">
        <f t="shared" si="6"/>
        <v>0</v>
      </c>
      <c r="T83" s="24"/>
      <c r="U83" s="24"/>
      <c r="V83" s="24"/>
      <c r="W83" s="32"/>
      <c r="X83" s="32"/>
      <c r="Y83" s="32"/>
      <c r="Z83" s="32"/>
      <c r="AA83" s="33"/>
      <c r="AB83" s="33"/>
      <c r="AC83" s="6"/>
      <c r="AE83" s="34"/>
    </row>
    <row r="84" spans="2:31">
      <c r="B84" s="25" t="s">
        <v>102</v>
      </c>
      <c r="C84" s="22">
        <f t="shared" si="9"/>
        <v>2</v>
      </c>
      <c r="D84" s="22">
        <f t="shared" si="7"/>
        <v>2</v>
      </c>
      <c r="E84" s="26" t="s">
        <v>257</v>
      </c>
      <c r="F84" s="26" t="s">
        <v>677</v>
      </c>
      <c r="G84" s="22" t="str">
        <f t="shared" si="8"/>
        <v>Существенное отствание по дорожной карте</v>
      </c>
      <c r="H84" s="24"/>
      <c r="I84" s="24"/>
      <c r="J84" s="24"/>
      <c r="K84" s="24"/>
      <c r="L84" s="24"/>
      <c r="M84" s="24"/>
      <c r="N84" s="24"/>
      <c r="O84" s="24"/>
      <c r="P84" s="24"/>
      <c r="Q84" s="23">
        <v>12</v>
      </c>
      <c r="R84" s="23">
        <v>24</v>
      </c>
      <c r="S84" s="23">
        <f t="shared" si="6"/>
        <v>18</v>
      </c>
      <c r="T84" s="24"/>
      <c r="U84" s="24"/>
      <c r="V84" s="24"/>
      <c r="W84" s="32"/>
      <c r="X84" s="32"/>
      <c r="Y84" s="32"/>
      <c r="Z84" s="32"/>
      <c r="AA84" s="33"/>
      <c r="AB84" s="33"/>
      <c r="AC84" s="6"/>
      <c r="AE84" s="34"/>
    </row>
    <row r="85" spans="2:31">
      <c r="B85" s="25" t="s">
        <v>130</v>
      </c>
      <c r="C85" s="22">
        <f t="shared" si="9"/>
        <v>1</v>
      </c>
      <c r="D85" s="22">
        <f t="shared" si="7"/>
        <v>1</v>
      </c>
      <c r="E85" s="26" t="s">
        <v>257</v>
      </c>
      <c r="F85" s="26" t="s">
        <v>676</v>
      </c>
      <c r="G85" s="22" t="str">
        <f t="shared" si="8"/>
        <v>Среднее отставание по дорожной карте</v>
      </c>
      <c r="H85" s="24"/>
      <c r="I85" s="24"/>
      <c r="J85" s="24"/>
      <c r="K85" s="24"/>
      <c r="L85" s="24"/>
      <c r="M85" s="24"/>
      <c r="N85" s="24"/>
      <c r="O85" s="24"/>
      <c r="P85" s="24"/>
      <c r="Q85" s="23">
        <v>0</v>
      </c>
      <c r="R85" s="23">
        <v>13</v>
      </c>
      <c r="S85" s="23">
        <f t="shared" si="6"/>
        <v>6.5</v>
      </c>
      <c r="T85" s="24"/>
      <c r="U85" s="24"/>
      <c r="V85" s="24"/>
      <c r="W85" s="32"/>
      <c r="X85" s="32"/>
      <c r="Y85" s="32"/>
      <c r="Z85" s="32"/>
      <c r="AA85" s="33"/>
      <c r="AB85" s="33"/>
      <c r="AC85" s="6"/>
      <c r="AE85" s="34"/>
    </row>
    <row r="86" spans="2:31">
      <c r="B86" s="25" t="s">
        <v>122</v>
      </c>
      <c r="C86" s="22">
        <f t="shared" si="9"/>
        <v>2</v>
      </c>
      <c r="D86" s="22">
        <f t="shared" si="7"/>
        <v>2</v>
      </c>
      <c r="E86" s="26" t="s">
        <v>257</v>
      </c>
      <c r="F86" s="26" t="s">
        <v>677</v>
      </c>
      <c r="G86" s="22" t="str">
        <f t="shared" si="8"/>
        <v>Существенное отствание по дорожной карте</v>
      </c>
      <c r="H86" s="24"/>
      <c r="I86" s="24"/>
      <c r="J86" s="24"/>
      <c r="K86" s="24"/>
      <c r="L86" s="24"/>
      <c r="M86" s="24"/>
      <c r="N86" s="24"/>
      <c r="O86" s="24"/>
      <c r="P86" s="24"/>
      <c r="Q86" s="23">
        <v>18</v>
      </c>
      <c r="R86" s="23">
        <v>25</v>
      </c>
      <c r="S86" s="23">
        <f t="shared" si="6"/>
        <v>21.5</v>
      </c>
      <c r="T86" s="24"/>
      <c r="U86" s="24"/>
      <c r="V86" s="24"/>
      <c r="W86" s="32"/>
      <c r="X86" s="32"/>
      <c r="Y86" s="32"/>
      <c r="Z86" s="32"/>
      <c r="AA86" s="33"/>
      <c r="AB86" s="33"/>
      <c r="AC86" s="6"/>
      <c r="AE86" s="34"/>
    </row>
    <row r="87" spans="2:31">
      <c r="B87" s="25" t="s">
        <v>103</v>
      </c>
      <c r="C87" s="22">
        <f t="shared" si="9"/>
        <v>2</v>
      </c>
      <c r="D87" s="22">
        <f t="shared" si="7"/>
        <v>2</v>
      </c>
      <c r="E87" s="26" t="s">
        <v>257</v>
      </c>
      <c r="F87" s="26" t="s">
        <v>677</v>
      </c>
      <c r="G87" s="22" t="str">
        <f t="shared" si="8"/>
        <v>Существенное отствание по дорожной карте</v>
      </c>
      <c r="H87" s="24"/>
      <c r="I87" s="24"/>
      <c r="J87" s="24"/>
      <c r="K87" s="24"/>
      <c r="L87" s="24"/>
      <c r="M87" s="24"/>
      <c r="N87" s="24"/>
      <c r="O87" s="24"/>
      <c r="P87" s="24"/>
      <c r="Q87" s="23">
        <v>9</v>
      </c>
      <c r="R87" s="23">
        <v>20</v>
      </c>
      <c r="S87" s="23">
        <f t="shared" si="6"/>
        <v>14.5</v>
      </c>
      <c r="T87" s="24"/>
      <c r="U87" s="24"/>
      <c r="V87" s="24"/>
      <c r="W87" s="32"/>
      <c r="X87" s="32"/>
      <c r="Y87" s="32"/>
      <c r="Z87" s="32"/>
      <c r="AA87" s="33"/>
      <c r="AB87" s="33"/>
      <c r="AC87" s="6"/>
      <c r="AE87" s="34"/>
    </row>
    <row r="88" spans="2:31">
      <c r="B88" s="25" t="s">
        <v>105</v>
      </c>
      <c r="C88" s="22">
        <f t="shared" si="9"/>
        <v>0</v>
      </c>
      <c r="D88" s="22">
        <f t="shared" si="7"/>
        <v>0</v>
      </c>
      <c r="E88" s="26" t="s">
        <v>678</v>
      </c>
      <c r="F88" s="26" t="s">
        <v>678</v>
      </c>
      <c r="G88" s="22" t="str">
        <f t="shared" si="8"/>
        <v>Дорожная карта исполняется</v>
      </c>
      <c r="H88" s="24"/>
      <c r="I88" s="24"/>
      <c r="J88" s="24"/>
      <c r="K88" s="24"/>
      <c r="L88" s="24"/>
      <c r="M88" s="24"/>
      <c r="N88" s="24"/>
      <c r="O88" s="24"/>
      <c r="P88" s="24"/>
      <c r="Q88" s="23" t="s">
        <v>678</v>
      </c>
      <c r="R88" s="23" t="s">
        <v>678</v>
      </c>
      <c r="S88" s="23" t="s">
        <v>678</v>
      </c>
      <c r="T88" s="24"/>
      <c r="U88" s="24"/>
      <c r="V88" s="24"/>
      <c r="W88" s="32"/>
      <c r="X88" s="32"/>
      <c r="Y88" s="32"/>
      <c r="Z88" s="32"/>
      <c r="AA88" s="33"/>
      <c r="AB88" s="33"/>
      <c r="AC88" s="6"/>
      <c r="AE88" s="34"/>
    </row>
    <row r="89" spans="2:31">
      <c r="B89" s="25" t="s">
        <v>125</v>
      </c>
      <c r="C89" s="22">
        <f t="shared" si="9"/>
        <v>0</v>
      </c>
      <c r="D89" s="22">
        <f t="shared" si="7"/>
        <v>0</v>
      </c>
      <c r="E89" s="26" t="s">
        <v>257</v>
      </c>
      <c r="F89" s="26" t="s">
        <v>675</v>
      </c>
      <c r="G89" s="22" t="str">
        <f t="shared" si="8"/>
        <v>Дорожная карта исполняется</v>
      </c>
      <c r="H89" s="24"/>
      <c r="I89" s="24"/>
      <c r="J89" s="24"/>
      <c r="K89" s="24"/>
      <c r="L89" s="24"/>
      <c r="M89" s="24"/>
      <c r="N89" s="24"/>
      <c r="O89" s="24"/>
      <c r="P89" s="24"/>
      <c r="Q89" s="23">
        <v>15</v>
      </c>
      <c r="R89" s="23">
        <v>20</v>
      </c>
      <c r="S89" s="23">
        <f>AVERAGE(Q89:R89)</f>
        <v>17.5</v>
      </c>
      <c r="T89" s="24"/>
      <c r="U89" s="24"/>
      <c r="V89" s="24"/>
      <c r="W89" s="32"/>
      <c r="X89" s="32"/>
      <c r="Y89" s="32"/>
      <c r="Z89" s="32"/>
      <c r="AA89" s="33"/>
      <c r="AB89" s="33"/>
      <c r="AC89" s="6"/>
      <c r="AE89" s="34"/>
    </row>
    <row r="90" spans="2:31">
      <c r="B90" s="25" t="s">
        <v>156</v>
      </c>
      <c r="C90" s="22">
        <f t="shared" si="9"/>
        <v>2</v>
      </c>
      <c r="D90" s="22">
        <f t="shared" si="7"/>
        <v>2</v>
      </c>
      <c r="E90" s="26" t="s">
        <v>257</v>
      </c>
      <c r="F90" s="26" t="s">
        <v>677</v>
      </c>
      <c r="G90" s="22" t="str">
        <f t="shared" si="8"/>
        <v>Существенное отствание по дорожной карте</v>
      </c>
      <c r="H90" s="24"/>
      <c r="I90" s="24"/>
      <c r="J90" s="24"/>
      <c r="K90" s="24"/>
      <c r="L90" s="24"/>
      <c r="M90" s="24"/>
      <c r="N90" s="24"/>
      <c r="O90" s="24"/>
      <c r="P90" s="24"/>
      <c r="Q90" s="23">
        <v>11</v>
      </c>
      <c r="R90" s="23">
        <v>26</v>
      </c>
      <c r="S90" s="23">
        <f>AVERAGE(Q90:R90)</f>
        <v>18.5</v>
      </c>
      <c r="T90" s="24"/>
      <c r="U90" s="24"/>
      <c r="V90" s="24"/>
      <c r="W90" s="32"/>
      <c r="X90" s="32"/>
      <c r="Y90" s="32"/>
      <c r="Z90" s="32"/>
      <c r="AA90" s="33"/>
      <c r="AB90" s="33"/>
      <c r="AC90" s="6"/>
      <c r="AE90" s="34"/>
    </row>
    <row r="91" spans="2:31">
      <c r="B91" s="25" t="s">
        <v>116</v>
      </c>
      <c r="C91" s="22">
        <f t="shared" si="9"/>
        <v>0</v>
      </c>
      <c r="D91" s="22">
        <f t="shared" si="7"/>
        <v>0</v>
      </c>
      <c r="E91" s="26" t="s">
        <v>257</v>
      </c>
      <c r="F91" s="26" t="s">
        <v>679</v>
      </c>
      <c r="G91" s="22" t="str">
        <f t="shared" si="8"/>
        <v>Дорожная карта исполняется</v>
      </c>
      <c r="H91" s="24"/>
      <c r="I91" s="24"/>
      <c r="J91" s="24"/>
      <c r="K91" s="24"/>
      <c r="L91" s="24"/>
      <c r="M91" s="24"/>
      <c r="N91" s="24"/>
      <c r="O91" s="24"/>
      <c r="P91" s="24"/>
      <c r="Q91" s="23">
        <v>0</v>
      </c>
      <c r="R91" s="23">
        <v>2</v>
      </c>
      <c r="S91" s="23">
        <f>AVERAGE(Q91:R91)</f>
        <v>1</v>
      </c>
      <c r="T91" s="24"/>
      <c r="U91" s="24"/>
      <c r="V91" s="24"/>
      <c r="W91" s="32"/>
      <c r="X91" s="32"/>
      <c r="Y91" s="32"/>
      <c r="Z91" s="32"/>
      <c r="AA91" s="33"/>
      <c r="AB91" s="33"/>
      <c r="AC91" s="6"/>
      <c r="AE91" s="34"/>
    </row>
    <row r="92" spans="2:31">
      <c r="B92" s="25" t="s">
        <v>73</v>
      </c>
      <c r="C92" s="22">
        <f t="shared" si="9"/>
        <v>0</v>
      </c>
      <c r="D92" s="22">
        <f t="shared" si="7"/>
        <v>0</v>
      </c>
      <c r="E92" s="26" t="s">
        <v>678</v>
      </c>
      <c r="F92" s="26" t="s">
        <v>678</v>
      </c>
      <c r="G92" s="22" t="str">
        <f t="shared" si="8"/>
        <v>Дорожная карта исполняется</v>
      </c>
      <c r="H92" s="24"/>
      <c r="I92" s="24"/>
      <c r="J92" s="24"/>
      <c r="K92" s="24"/>
      <c r="L92" s="24"/>
      <c r="M92" s="24"/>
      <c r="N92" s="24"/>
      <c r="O92" s="24"/>
      <c r="P92" s="24"/>
      <c r="Q92" s="23" t="s">
        <v>678</v>
      </c>
      <c r="R92" s="23" t="s">
        <v>678</v>
      </c>
      <c r="S92" s="23" t="s">
        <v>678</v>
      </c>
      <c r="T92" s="24"/>
      <c r="U92" s="24"/>
      <c r="V92" s="24"/>
      <c r="W92" s="32"/>
      <c r="X92" s="32"/>
      <c r="Y92" s="32"/>
      <c r="Z92" s="32"/>
      <c r="AA92" s="33"/>
      <c r="AB92" s="33"/>
      <c r="AC92" s="6"/>
      <c r="AE92" s="34"/>
    </row>
    <row r="93" spans="2:31">
      <c r="B93" s="25" t="s">
        <v>83</v>
      </c>
      <c r="C93" s="22">
        <f t="shared" si="9"/>
        <v>0</v>
      </c>
      <c r="D93" s="22">
        <f t="shared" si="7"/>
        <v>0</v>
      </c>
      <c r="E93" s="26" t="s">
        <v>678</v>
      </c>
      <c r="F93" s="26" t="s">
        <v>678</v>
      </c>
      <c r="G93" s="22" t="str">
        <f t="shared" si="8"/>
        <v>Дорожная карта исполняется</v>
      </c>
      <c r="H93" s="24"/>
      <c r="I93" s="24"/>
      <c r="J93" s="24"/>
      <c r="K93" s="24"/>
      <c r="L93" s="24"/>
      <c r="M93" s="24"/>
      <c r="N93" s="24"/>
      <c r="O93" s="24"/>
      <c r="P93" s="24"/>
      <c r="Q93" s="23" t="s">
        <v>678</v>
      </c>
      <c r="R93" s="23" t="s">
        <v>678</v>
      </c>
      <c r="S93" s="23" t="s">
        <v>678</v>
      </c>
      <c r="T93" s="24"/>
      <c r="U93" s="24"/>
      <c r="V93" s="24"/>
      <c r="W93" s="32"/>
      <c r="X93" s="32"/>
      <c r="Y93" s="32"/>
      <c r="Z93" s="32"/>
      <c r="AA93" s="33"/>
      <c r="AB93" s="33"/>
      <c r="AC93" s="6"/>
      <c r="AE93" s="34"/>
    </row>
    <row r="94" spans="2:31">
      <c r="B94" s="25" t="s">
        <v>99</v>
      </c>
      <c r="C94" s="22">
        <f t="shared" si="9"/>
        <v>0</v>
      </c>
      <c r="D94" s="22">
        <f t="shared" si="7"/>
        <v>0</v>
      </c>
      <c r="E94" s="26" t="s">
        <v>257</v>
      </c>
      <c r="F94" s="26" t="s">
        <v>675</v>
      </c>
      <c r="G94" s="22" t="str">
        <f t="shared" si="8"/>
        <v>Дорожная карта исполняется</v>
      </c>
      <c r="H94" s="24"/>
      <c r="I94" s="24"/>
      <c r="J94" s="24"/>
      <c r="K94" s="24"/>
      <c r="L94" s="24"/>
      <c r="M94" s="24"/>
      <c r="N94" s="24"/>
      <c r="O94" s="24"/>
      <c r="P94" s="24"/>
      <c r="Q94" s="23">
        <v>0</v>
      </c>
      <c r="R94" s="23">
        <v>10</v>
      </c>
      <c r="S94" s="23">
        <f>AVERAGE(Q94:R94)</f>
        <v>5</v>
      </c>
      <c r="T94" s="24"/>
      <c r="U94" s="24"/>
      <c r="V94" s="24"/>
      <c r="W94" s="32"/>
      <c r="X94" s="32"/>
      <c r="Y94" s="32"/>
      <c r="Z94" s="32"/>
      <c r="AA94" s="33"/>
      <c r="AB94" s="33"/>
      <c r="AC94" s="6"/>
      <c r="AE94" s="34"/>
    </row>
    <row r="95" spans="2:31">
      <c r="B95" s="25" t="s">
        <v>128</v>
      </c>
      <c r="C95" s="22">
        <f t="shared" si="9"/>
        <v>2</v>
      </c>
      <c r="D95" s="22">
        <f t="shared" si="7"/>
        <v>2</v>
      </c>
      <c r="E95" s="26" t="s">
        <v>257</v>
      </c>
      <c r="F95" s="26" t="s">
        <v>677</v>
      </c>
      <c r="G95" s="22" t="str">
        <f t="shared" si="8"/>
        <v>Существенное отствание по дорожной карте</v>
      </c>
      <c r="H95" s="24"/>
      <c r="I95" s="24"/>
      <c r="J95" s="24"/>
      <c r="K95" s="24"/>
      <c r="L95" s="24"/>
      <c r="M95" s="24"/>
      <c r="N95" s="24"/>
      <c r="O95" s="24"/>
      <c r="P95" s="24"/>
      <c r="Q95" s="23">
        <v>12</v>
      </c>
      <c r="R95" s="23">
        <v>17</v>
      </c>
      <c r="S95" s="23">
        <f>AVERAGE(Q95:R95)</f>
        <v>14.5</v>
      </c>
      <c r="T95" s="24"/>
      <c r="U95" s="24"/>
      <c r="V95" s="24"/>
      <c r="W95" s="32"/>
      <c r="X95" s="32"/>
      <c r="Y95" s="32"/>
      <c r="Z95" s="32"/>
      <c r="AA95" s="33"/>
      <c r="AB95" s="33"/>
      <c r="AC95" s="6"/>
      <c r="AE95" s="34"/>
    </row>
    <row r="96" spans="2:31">
      <c r="B96" s="25" t="s">
        <v>145</v>
      </c>
      <c r="C96" s="22">
        <f t="shared" si="9"/>
        <v>0</v>
      </c>
      <c r="D96" s="22">
        <f t="shared" si="7"/>
        <v>0</v>
      </c>
      <c r="E96" s="26" t="s">
        <v>257</v>
      </c>
      <c r="F96" s="26" t="s">
        <v>675</v>
      </c>
      <c r="G96" s="22" t="str">
        <f t="shared" si="8"/>
        <v>Дорожная карта исполняется</v>
      </c>
      <c r="H96" s="24"/>
      <c r="I96" s="24"/>
      <c r="J96" s="24"/>
      <c r="K96" s="24"/>
      <c r="L96" s="24"/>
      <c r="M96" s="24"/>
      <c r="N96" s="24"/>
      <c r="O96" s="24"/>
      <c r="P96" s="24"/>
      <c r="Q96" s="23">
        <v>5</v>
      </c>
      <c r="R96" s="23">
        <v>21</v>
      </c>
      <c r="S96" s="23">
        <f>AVERAGE(Q96:R96)</f>
        <v>13</v>
      </c>
      <c r="T96" s="24"/>
      <c r="U96" s="24"/>
      <c r="V96" s="24"/>
      <c r="W96" s="32"/>
      <c r="X96" s="32"/>
      <c r="Y96" s="32"/>
      <c r="Z96" s="32"/>
      <c r="AA96" s="33"/>
      <c r="AB96" s="33"/>
      <c r="AC96" s="6"/>
      <c r="AE96" s="34"/>
    </row>
    <row r="97" spans="2:31">
      <c r="B97" s="25" t="s">
        <v>84</v>
      </c>
      <c r="C97" s="22">
        <f t="shared" si="9"/>
        <v>0</v>
      </c>
      <c r="D97" s="22">
        <f t="shared" si="7"/>
        <v>0</v>
      </c>
      <c r="E97" s="26" t="s">
        <v>257</v>
      </c>
      <c r="F97" s="26" t="s">
        <v>675</v>
      </c>
      <c r="G97" s="22" t="str">
        <f t="shared" si="8"/>
        <v>Дорожная карта исполняется</v>
      </c>
      <c r="H97" s="24"/>
      <c r="I97" s="24"/>
      <c r="J97" s="24"/>
      <c r="K97" s="24"/>
      <c r="L97" s="24"/>
      <c r="M97" s="24"/>
      <c r="N97" s="24"/>
      <c r="O97" s="24"/>
      <c r="P97" s="24"/>
      <c r="Q97" s="23">
        <v>9</v>
      </c>
      <c r="R97" s="23">
        <v>13</v>
      </c>
      <c r="S97" s="23">
        <f>AVERAGE(Q97:R97)</f>
        <v>11</v>
      </c>
      <c r="T97" s="24"/>
      <c r="U97" s="24"/>
      <c r="V97" s="24"/>
      <c r="W97" s="32"/>
      <c r="X97" s="32"/>
      <c r="Y97" s="32"/>
      <c r="Z97" s="32"/>
      <c r="AA97" s="33"/>
      <c r="AB97" s="33"/>
      <c r="AC97" s="6"/>
      <c r="AE97" s="34"/>
    </row>
    <row r="98" spans="2:31">
      <c r="B98" s="25" t="s">
        <v>163</v>
      </c>
      <c r="C98" s="22">
        <f t="shared" si="9"/>
        <v>0</v>
      </c>
      <c r="D98" s="22">
        <f t="shared" si="7"/>
        <v>0</v>
      </c>
      <c r="E98" s="26" t="s">
        <v>678</v>
      </c>
      <c r="F98" s="26" t="s">
        <v>678</v>
      </c>
      <c r="G98" s="22" t="str">
        <f t="shared" si="8"/>
        <v>Дорожная карта исполняется</v>
      </c>
      <c r="H98" s="24"/>
      <c r="I98" s="24"/>
      <c r="J98" s="24"/>
      <c r="K98" s="24"/>
      <c r="L98" s="24"/>
      <c r="M98" s="24"/>
      <c r="N98" s="24"/>
      <c r="O98" s="24"/>
      <c r="P98" s="24"/>
      <c r="Q98" s="23" t="s">
        <v>678</v>
      </c>
      <c r="R98" s="23" t="s">
        <v>678</v>
      </c>
      <c r="S98" s="23" t="s">
        <v>678</v>
      </c>
      <c r="T98" s="24"/>
      <c r="U98" s="24"/>
      <c r="V98" s="24"/>
      <c r="W98" s="32"/>
      <c r="X98" s="32"/>
      <c r="Y98" s="32"/>
      <c r="Z98" s="32"/>
      <c r="AA98" s="33"/>
      <c r="AB98" s="33"/>
      <c r="AC98" s="6"/>
      <c r="AE98" s="34"/>
    </row>
    <row r="99" spans="2:31">
      <c r="B99" s="25" t="s">
        <v>79</v>
      </c>
      <c r="C99" s="22">
        <f t="shared" si="9"/>
        <v>0</v>
      </c>
      <c r="D99" s="22">
        <f t="shared" si="7"/>
        <v>0</v>
      </c>
      <c r="E99" s="26" t="s">
        <v>257</v>
      </c>
      <c r="F99" s="26" t="s">
        <v>675</v>
      </c>
      <c r="G99" s="22" t="str">
        <f t="shared" si="8"/>
        <v>Дорожная карта исполняется</v>
      </c>
      <c r="H99" s="24"/>
      <c r="I99" s="24"/>
      <c r="J99" s="24"/>
      <c r="K99" s="24"/>
      <c r="L99" s="24"/>
      <c r="M99" s="24"/>
      <c r="N99" s="24"/>
      <c r="O99" s="24"/>
      <c r="P99" s="24"/>
      <c r="Q99" s="23">
        <v>10</v>
      </c>
      <c r="R99" s="23">
        <v>14</v>
      </c>
      <c r="S99" s="23">
        <f>AVERAGE(Q99:R99)</f>
        <v>12</v>
      </c>
      <c r="T99" s="24"/>
      <c r="U99" s="24"/>
      <c r="V99" s="24"/>
      <c r="W99" s="32"/>
      <c r="X99" s="32"/>
      <c r="Y99" s="32"/>
      <c r="Z99" s="32"/>
      <c r="AA99" s="33"/>
      <c r="AB99" s="33"/>
      <c r="AC99" s="6"/>
      <c r="AE99" s="34"/>
    </row>
    <row r="100" spans="2:31">
      <c r="B100" s="25" t="s">
        <v>117</v>
      </c>
      <c r="C100" s="22">
        <f t="shared" si="9"/>
        <v>0</v>
      </c>
      <c r="D100" s="22">
        <f t="shared" si="7"/>
        <v>0</v>
      </c>
      <c r="E100" s="26" t="s">
        <v>678</v>
      </c>
      <c r="F100" s="26" t="s">
        <v>678</v>
      </c>
      <c r="G100" s="22" t="str">
        <f t="shared" si="8"/>
        <v>Дорожная карта исполняется</v>
      </c>
      <c r="H100" s="24"/>
      <c r="I100" s="24"/>
      <c r="J100" s="24"/>
      <c r="K100" s="24"/>
      <c r="L100" s="24"/>
      <c r="M100" s="24"/>
      <c r="N100" s="24"/>
      <c r="O100" s="24"/>
      <c r="P100" s="24"/>
      <c r="Q100" s="23" t="s">
        <v>678</v>
      </c>
      <c r="R100" s="23" t="s">
        <v>678</v>
      </c>
      <c r="S100" s="23" t="s">
        <v>678</v>
      </c>
      <c r="T100" s="24"/>
      <c r="U100" s="24"/>
      <c r="V100" s="24"/>
      <c r="W100" s="32"/>
      <c r="X100" s="32"/>
      <c r="Y100" s="32"/>
      <c r="Z100" s="32"/>
      <c r="AA100" s="33"/>
      <c r="AB100" s="33"/>
      <c r="AC100" s="6"/>
      <c r="AE100" s="34"/>
    </row>
    <row r="101" spans="2:31">
      <c r="B101" s="25" t="s">
        <v>82</v>
      </c>
      <c r="C101" s="22">
        <f t="shared" si="9"/>
        <v>0</v>
      </c>
      <c r="D101" s="22">
        <f t="shared" si="7"/>
        <v>0</v>
      </c>
      <c r="E101" s="26" t="s">
        <v>257</v>
      </c>
      <c r="F101" s="26" t="s">
        <v>675</v>
      </c>
      <c r="G101" s="22" t="str">
        <f t="shared" si="8"/>
        <v>Дорожная карта исполняется</v>
      </c>
      <c r="H101" s="24"/>
      <c r="I101" s="24"/>
      <c r="J101" s="24"/>
      <c r="K101" s="24"/>
      <c r="L101" s="24"/>
      <c r="M101" s="24"/>
      <c r="N101" s="24"/>
      <c r="O101" s="24"/>
      <c r="P101" s="24"/>
      <c r="Q101" s="23">
        <v>0</v>
      </c>
      <c r="R101" s="23">
        <v>0</v>
      </c>
      <c r="S101" s="23">
        <f>AVERAGE(Q101:R101)</f>
        <v>0</v>
      </c>
      <c r="T101" s="24"/>
      <c r="U101" s="24"/>
      <c r="V101" s="24"/>
      <c r="W101" s="32"/>
      <c r="X101" s="32"/>
      <c r="Y101" s="32"/>
      <c r="Z101" s="32"/>
      <c r="AA101" s="33"/>
      <c r="AB101" s="33"/>
      <c r="AC101" s="6"/>
      <c r="AE101" s="34"/>
    </row>
    <row r="102" spans="2:31">
      <c r="B102" s="25" t="s">
        <v>149</v>
      </c>
      <c r="C102" s="22">
        <f t="shared" si="9"/>
        <v>0</v>
      </c>
      <c r="D102" s="22">
        <f t="shared" si="7"/>
        <v>0</v>
      </c>
      <c r="E102" s="26" t="s">
        <v>257</v>
      </c>
      <c r="F102" s="26" t="s">
        <v>675</v>
      </c>
      <c r="G102" s="22" t="str">
        <f t="shared" si="8"/>
        <v>Дорожная карта исполняется</v>
      </c>
      <c r="H102" s="24"/>
      <c r="I102" s="24"/>
      <c r="J102" s="24"/>
      <c r="K102" s="24"/>
      <c r="L102" s="24"/>
      <c r="M102" s="24"/>
      <c r="N102" s="24"/>
      <c r="O102" s="24"/>
      <c r="P102" s="24"/>
      <c r="Q102" s="23">
        <v>0</v>
      </c>
      <c r="R102" s="23">
        <v>10</v>
      </c>
      <c r="S102" s="23">
        <f>AVERAGE(Q102:R102)</f>
        <v>5</v>
      </c>
      <c r="T102" s="24"/>
      <c r="U102" s="24"/>
      <c r="V102" s="24"/>
      <c r="W102" s="32"/>
      <c r="X102" s="32"/>
      <c r="Y102" s="32"/>
      <c r="Z102" s="32"/>
      <c r="AA102" s="33"/>
      <c r="AB102" s="33"/>
      <c r="AC102" s="6"/>
      <c r="AE102" s="34"/>
    </row>
    <row r="103" spans="2:31">
      <c r="B103" s="25" t="s">
        <v>114</v>
      </c>
      <c r="C103" s="22">
        <f t="shared" si="9"/>
        <v>0</v>
      </c>
      <c r="D103" s="22">
        <f t="shared" si="7"/>
        <v>0</v>
      </c>
      <c r="E103" s="26" t="s">
        <v>257</v>
      </c>
      <c r="F103" s="26" t="s">
        <v>675</v>
      </c>
      <c r="G103" s="22" t="str">
        <f t="shared" si="8"/>
        <v>Дорожная карта исполняется</v>
      </c>
      <c r="H103" s="24"/>
      <c r="I103" s="24"/>
      <c r="J103" s="24"/>
      <c r="K103" s="24"/>
      <c r="L103" s="24"/>
      <c r="M103" s="24"/>
      <c r="N103" s="24"/>
      <c r="O103" s="24"/>
      <c r="P103" s="24"/>
      <c r="Q103" s="23">
        <v>0</v>
      </c>
      <c r="R103" s="23">
        <v>0</v>
      </c>
      <c r="S103" s="23">
        <f>AVERAGE(Q103:R103)</f>
        <v>0</v>
      </c>
      <c r="T103" s="24"/>
      <c r="U103" s="24"/>
      <c r="V103" s="24"/>
      <c r="W103" s="32"/>
      <c r="X103" s="32"/>
      <c r="Y103" s="32"/>
      <c r="Z103" s="32"/>
      <c r="AA103" s="33"/>
      <c r="AB103" s="33"/>
      <c r="AC103" s="6"/>
      <c r="AE103" s="34"/>
    </row>
    <row r="104" spans="2:31">
      <c r="B104" s="25" t="s">
        <v>80</v>
      </c>
      <c r="C104" s="22">
        <f t="shared" si="9"/>
        <v>0</v>
      </c>
      <c r="D104" s="22">
        <f t="shared" si="7"/>
        <v>0</v>
      </c>
      <c r="E104" s="26" t="s">
        <v>257</v>
      </c>
      <c r="F104" s="26" t="s">
        <v>675</v>
      </c>
      <c r="G104" s="22" t="str">
        <f t="shared" si="8"/>
        <v>Дорожная карта исполняется</v>
      </c>
      <c r="H104" s="24"/>
      <c r="I104" s="24"/>
      <c r="J104" s="24"/>
      <c r="K104" s="24"/>
      <c r="L104" s="24"/>
      <c r="M104" s="24"/>
      <c r="N104" s="24"/>
      <c r="O104" s="24"/>
      <c r="P104" s="24"/>
      <c r="Q104" s="23">
        <v>0</v>
      </c>
      <c r="R104" s="23">
        <v>11</v>
      </c>
      <c r="S104" s="23">
        <f>AVERAGE(Q104:R104)</f>
        <v>5.5</v>
      </c>
      <c r="T104" s="24"/>
      <c r="U104" s="24"/>
      <c r="V104" s="24"/>
      <c r="W104" s="32"/>
      <c r="X104" s="32"/>
      <c r="Y104" s="32"/>
      <c r="Z104" s="32"/>
      <c r="AA104" s="33"/>
      <c r="AB104" s="33"/>
      <c r="AC104" s="6"/>
      <c r="AE104" s="34"/>
    </row>
    <row r="106" spans="5:6">
      <c r="E106" s="8" t="s">
        <v>257</v>
      </c>
      <c r="F106" s="8" t="s">
        <v>677</v>
      </c>
    </row>
    <row r="107" spans="2:31">
      <c r="B107" s="25"/>
      <c r="E107" s="8" t="s">
        <v>678</v>
      </c>
      <c r="F107" s="8" t="s">
        <v>676</v>
      </c>
      <c r="AE107" s="25"/>
    </row>
    <row r="108" spans="5:31">
      <c r="E108" s="8" t="s">
        <v>258</v>
      </c>
      <c r="F108" s="8" t="s">
        <v>678</v>
      </c>
      <c r="Q108" s="35"/>
      <c r="AE108" s="25"/>
    </row>
    <row r="109" spans="6:6">
      <c r="F109" s="8" t="s">
        <v>675</v>
      </c>
    </row>
    <row r="110" spans="6:6">
      <c r="F110" s="8" t="s">
        <v>679</v>
      </c>
    </row>
  </sheetData>
  <dataValidations count="2">
    <dataValidation type="list" allowBlank="1" showInputMessage="1" showErrorMessage="1" sqref="E16:E104">
      <formula1>$E$106:$E$108</formula1>
    </dataValidation>
    <dataValidation type="list" allowBlank="1" showInputMessage="1" showErrorMessage="1" sqref="F16:F104">
      <formula1>$F$106:$F$110</formula1>
    </dataValidation>
  </dataValidations>
  <pageMargins left="0.7" right="0.7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7"/>
  <dimension ref="A2:B86"/>
  <sheetViews>
    <sheetView topLeftCell="A43" workbookViewId="0">
      <selection activeCell="A36" sqref="A36"/>
    </sheetView>
  </sheetViews>
  <sheetFormatPr defaultColWidth="8.85833333333333" defaultRowHeight="15.6" outlineLevelCol="1"/>
  <cols>
    <col min="1" max="2" width="19.8583333333333" customWidth="1"/>
  </cols>
  <sheetData>
    <row r="2" spans="1:2">
      <c r="A2" s="1" t="s">
        <v>146</v>
      </c>
      <c r="B2" s="2" t="s">
        <v>108</v>
      </c>
    </row>
    <row r="3" spans="1:2">
      <c r="A3" s="1" t="s">
        <v>150</v>
      </c>
      <c r="B3" s="2" t="s">
        <v>129</v>
      </c>
    </row>
    <row r="4" spans="1:2">
      <c r="A4" s="1" t="s">
        <v>133</v>
      </c>
      <c r="B4" s="2" t="s">
        <v>70</v>
      </c>
    </row>
    <row r="5" spans="1:2">
      <c r="A5" s="1" t="s">
        <v>121</v>
      </c>
      <c r="B5" s="2" t="s">
        <v>85</v>
      </c>
    </row>
    <row r="6" spans="1:2">
      <c r="A6" s="1" t="s">
        <v>106</v>
      </c>
      <c r="B6" s="2" t="s">
        <v>67</v>
      </c>
    </row>
    <row r="7" spans="1:2">
      <c r="A7" s="1" t="s">
        <v>91</v>
      </c>
      <c r="B7" s="2" t="s">
        <v>67</v>
      </c>
    </row>
    <row r="8" spans="1:2">
      <c r="A8" s="1" t="s">
        <v>113</v>
      </c>
      <c r="B8" s="2" t="s">
        <v>67</v>
      </c>
    </row>
    <row r="9" spans="1:2">
      <c r="A9" s="3" t="s">
        <v>86</v>
      </c>
      <c r="B9" s="2" t="s">
        <v>85</v>
      </c>
    </row>
    <row r="10" spans="1:2">
      <c r="A10" s="1" t="s">
        <v>107</v>
      </c>
      <c r="B10" s="2" t="s">
        <v>70</v>
      </c>
    </row>
    <row r="11" spans="1:2">
      <c r="A11" s="1" t="s">
        <v>137</v>
      </c>
      <c r="B11" s="2" t="s">
        <v>67</v>
      </c>
    </row>
    <row r="12" spans="1:2">
      <c r="A12" s="1" t="s">
        <v>68</v>
      </c>
      <c r="B12" s="2" t="s">
        <v>67</v>
      </c>
    </row>
    <row r="13" spans="1:2">
      <c r="A13" s="1" t="s">
        <v>71</v>
      </c>
      <c r="B13" s="2" t="s">
        <v>70</v>
      </c>
    </row>
    <row r="14" spans="1:2">
      <c r="A14" s="1" t="s">
        <v>118</v>
      </c>
      <c r="B14" s="2" t="s">
        <v>85</v>
      </c>
    </row>
    <row r="15" ht="26.4" spans="1:2">
      <c r="A15" s="1" t="s">
        <v>131</v>
      </c>
      <c r="B15" s="2" t="s">
        <v>129</v>
      </c>
    </row>
    <row r="16" spans="1:2">
      <c r="A16" s="1" t="s">
        <v>155</v>
      </c>
      <c r="B16" s="2" t="s">
        <v>129</v>
      </c>
    </row>
    <row r="17" spans="1:2">
      <c r="A17" s="1" t="s">
        <v>81</v>
      </c>
      <c r="B17" s="2" t="s">
        <v>67</v>
      </c>
    </row>
    <row r="18" spans="1:2">
      <c r="A18" s="1" t="s">
        <v>148</v>
      </c>
      <c r="B18" s="2" t="s">
        <v>108</v>
      </c>
    </row>
    <row r="19" ht="26.4" spans="1:2">
      <c r="A19" s="1" t="s">
        <v>192</v>
      </c>
      <c r="B19" s="2" t="s">
        <v>104</v>
      </c>
    </row>
    <row r="20" spans="1:2">
      <c r="A20" s="1" t="s">
        <v>119</v>
      </c>
      <c r="B20" s="2" t="s">
        <v>70</v>
      </c>
    </row>
    <row r="21" spans="1:2">
      <c r="A21" s="1" t="s">
        <v>87</v>
      </c>
      <c r="B21" s="2" t="s">
        <v>67</v>
      </c>
    </row>
    <row r="22" spans="1:2">
      <c r="A22" s="1" t="s">
        <v>134</v>
      </c>
      <c r="B22" s="2" t="s">
        <v>129</v>
      </c>
    </row>
    <row r="23" ht="26.4" spans="1:2">
      <c r="A23" s="1" t="s">
        <v>138</v>
      </c>
      <c r="B23" s="2" t="s">
        <v>104</v>
      </c>
    </row>
    <row r="24" ht="26.4" spans="1:2">
      <c r="A24" s="1" t="s">
        <v>109</v>
      </c>
      <c r="B24" s="2" t="s">
        <v>108</v>
      </c>
    </row>
    <row r="25" spans="1:2">
      <c r="A25" s="1" t="s">
        <v>76</v>
      </c>
      <c r="B25" s="2" t="s">
        <v>74</v>
      </c>
    </row>
    <row r="26" spans="1:2">
      <c r="A26" s="1" t="s">
        <v>89</v>
      </c>
      <c r="B26" s="2" t="s">
        <v>67</v>
      </c>
    </row>
    <row r="27" spans="1:2">
      <c r="A27" s="1" t="s">
        <v>141</v>
      </c>
      <c r="B27" s="2" t="s">
        <v>85</v>
      </c>
    </row>
    <row r="28" spans="1:2">
      <c r="A28" s="1" t="s">
        <v>142</v>
      </c>
      <c r="B28" s="2" t="s">
        <v>108</v>
      </c>
    </row>
    <row r="29" spans="1:2">
      <c r="A29" s="1" t="s">
        <v>132</v>
      </c>
      <c r="B29" s="2" t="s">
        <v>78</v>
      </c>
    </row>
    <row r="30" spans="1:2">
      <c r="A30" s="1" t="s">
        <v>77</v>
      </c>
      <c r="B30" s="2" t="s">
        <v>67</v>
      </c>
    </row>
    <row r="31" spans="1:2">
      <c r="A31" s="1" t="s">
        <v>92</v>
      </c>
      <c r="B31" s="2" t="s">
        <v>70</v>
      </c>
    </row>
    <row r="32" spans="1:2">
      <c r="A32" s="1" t="s">
        <v>101</v>
      </c>
      <c r="B32" s="2" t="s">
        <v>67</v>
      </c>
    </row>
    <row r="33" spans="1:2">
      <c r="A33" s="1" t="s">
        <v>153</v>
      </c>
      <c r="B33" s="2" t="s">
        <v>129</v>
      </c>
    </row>
    <row r="34" spans="1:2">
      <c r="A34" s="1" t="s">
        <v>69</v>
      </c>
      <c r="B34" s="2" t="s">
        <v>67</v>
      </c>
    </row>
    <row r="35" spans="1:2">
      <c r="A35" s="1" t="s">
        <v>72</v>
      </c>
      <c r="B35" s="2" t="s">
        <v>70</v>
      </c>
    </row>
    <row r="36" ht="26.4" spans="1:2">
      <c r="A36" s="1" t="s">
        <v>127</v>
      </c>
      <c r="B36" s="2" t="s">
        <v>70</v>
      </c>
    </row>
    <row r="37" spans="1:2">
      <c r="A37" s="1" t="s">
        <v>93</v>
      </c>
      <c r="B37" s="2" t="s">
        <v>74</v>
      </c>
    </row>
    <row r="38" spans="1:2">
      <c r="A38" s="1" t="s">
        <v>90</v>
      </c>
      <c r="B38" s="2" t="s">
        <v>70</v>
      </c>
    </row>
    <row r="39" spans="1:2">
      <c r="A39" s="1" t="s">
        <v>123</v>
      </c>
      <c r="B39" s="2" t="s">
        <v>108</v>
      </c>
    </row>
    <row r="40" spans="1:2">
      <c r="A40" s="1" t="s">
        <v>139</v>
      </c>
      <c r="B40" s="2" t="s">
        <v>108</v>
      </c>
    </row>
    <row r="41" spans="1:2">
      <c r="A41" s="1" t="s">
        <v>94</v>
      </c>
      <c r="B41" s="2" t="s">
        <v>74</v>
      </c>
    </row>
    <row r="42" spans="1:2">
      <c r="A42" s="1" t="s">
        <v>111</v>
      </c>
      <c r="B42" s="2" t="s">
        <v>67</v>
      </c>
    </row>
    <row r="43" spans="1:2">
      <c r="A43" s="1" t="s">
        <v>124</v>
      </c>
      <c r="B43" s="2" t="s">
        <v>74</v>
      </c>
    </row>
    <row r="44" spans="1:2">
      <c r="A44" s="1" t="s">
        <v>143</v>
      </c>
      <c r="B44" s="2" t="s">
        <v>74</v>
      </c>
    </row>
    <row r="45" spans="1:2">
      <c r="A45" s="1" t="s">
        <v>144</v>
      </c>
      <c r="B45" s="2" t="s">
        <v>129</v>
      </c>
    </row>
    <row r="46" spans="1:2">
      <c r="A46" s="1" t="s">
        <v>95</v>
      </c>
      <c r="B46" s="2" t="s">
        <v>70</v>
      </c>
    </row>
    <row r="47" spans="1:2">
      <c r="A47" s="1" t="s">
        <v>96</v>
      </c>
      <c r="B47" s="2" t="s">
        <v>85</v>
      </c>
    </row>
    <row r="48" spans="1:2">
      <c r="A48" s="1" t="s">
        <v>147</v>
      </c>
      <c r="B48" s="2" t="s">
        <v>108</v>
      </c>
    </row>
    <row r="49" spans="1:2">
      <c r="A49" s="1" t="s">
        <v>88</v>
      </c>
      <c r="B49" s="2" t="s">
        <v>74</v>
      </c>
    </row>
    <row r="50" spans="1:2">
      <c r="A50" s="1" t="s">
        <v>157</v>
      </c>
      <c r="B50" s="2" t="s">
        <v>129</v>
      </c>
    </row>
    <row r="51" spans="1:2">
      <c r="A51" s="1" t="s">
        <v>136</v>
      </c>
      <c r="B51" s="2" t="s">
        <v>104</v>
      </c>
    </row>
    <row r="52" spans="1:2">
      <c r="A52" s="1" t="s">
        <v>158</v>
      </c>
      <c r="B52" s="2" t="s">
        <v>104</v>
      </c>
    </row>
    <row r="53" spans="1:2">
      <c r="A53" s="1" t="s">
        <v>120</v>
      </c>
      <c r="B53" s="2" t="s">
        <v>85</v>
      </c>
    </row>
    <row r="54" spans="1:2">
      <c r="A54" s="1" t="s">
        <v>112</v>
      </c>
      <c r="B54" s="2" t="s">
        <v>70</v>
      </c>
    </row>
    <row r="55" spans="1:2">
      <c r="A55" s="1" t="s">
        <v>97</v>
      </c>
      <c r="B55" s="2" t="s">
        <v>70</v>
      </c>
    </row>
    <row r="56" spans="1:2">
      <c r="A56" s="1" t="s">
        <v>98</v>
      </c>
      <c r="B56" s="2" t="s">
        <v>85</v>
      </c>
    </row>
    <row r="57" spans="1:2">
      <c r="A57" s="1" t="s">
        <v>110</v>
      </c>
      <c r="B57" s="2" t="s">
        <v>74</v>
      </c>
    </row>
    <row r="58" spans="1:2">
      <c r="A58" s="1" t="s">
        <v>115</v>
      </c>
      <c r="B58" s="2" t="s">
        <v>74</v>
      </c>
    </row>
    <row r="59" spans="1:2">
      <c r="A59" s="1" t="s">
        <v>159</v>
      </c>
      <c r="B59" s="2" t="s">
        <v>129</v>
      </c>
    </row>
    <row r="60" ht="26.4" spans="1:2">
      <c r="A60" s="1" t="s">
        <v>151</v>
      </c>
      <c r="B60" s="2" t="s">
        <v>104</v>
      </c>
    </row>
    <row r="61" spans="1:2">
      <c r="A61" s="1" t="s">
        <v>75</v>
      </c>
      <c r="B61" s="2" t="s">
        <v>74</v>
      </c>
    </row>
    <row r="62" spans="1:2">
      <c r="A62" s="1" t="s">
        <v>154</v>
      </c>
      <c r="B62" s="2" t="s">
        <v>108</v>
      </c>
    </row>
    <row r="63" spans="1:2">
      <c r="A63" s="1" t="s">
        <v>152</v>
      </c>
      <c r="B63" s="2" t="s">
        <v>108</v>
      </c>
    </row>
    <row r="64" spans="1:2">
      <c r="A64" s="1" t="s">
        <v>140</v>
      </c>
      <c r="B64" s="2" t="s">
        <v>85</v>
      </c>
    </row>
    <row r="65" spans="1:2">
      <c r="A65" s="1" t="s">
        <v>135</v>
      </c>
      <c r="B65" s="2" t="s">
        <v>67</v>
      </c>
    </row>
    <row r="66" spans="1:2">
      <c r="A66" s="1" t="s">
        <v>100</v>
      </c>
      <c r="B66" s="2" t="s">
        <v>74</v>
      </c>
    </row>
    <row r="67" spans="1:2">
      <c r="A67" s="1" t="s">
        <v>102</v>
      </c>
      <c r="B67" s="2" t="s">
        <v>74</v>
      </c>
    </row>
    <row r="68" spans="1:2">
      <c r="A68" s="1" t="s">
        <v>130</v>
      </c>
      <c r="B68" s="2" t="s">
        <v>129</v>
      </c>
    </row>
    <row r="69" spans="1:2">
      <c r="A69" s="1" t="s">
        <v>122</v>
      </c>
      <c r="B69" s="2" t="s">
        <v>78</v>
      </c>
    </row>
    <row r="70" spans="1:2">
      <c r="A70" s="1" t="s">
        <v>103</v>
      </c>
      <c r="B70" s="2" t="s">
        <v>67</v>
      </c>
    </row>
    <row r="71" spans="1:2">
      <c r="A71" s="1" t="s">
        <v>105</v>
      </c>
      <c r="B71" s="2" t="s">
        <v>104</v>
      </c>
    </row>
    <row r="72" spans="1:2">
      <c r="A72" s="1" t="s">
        <v>125</v>
      </c>
      <c r="B72" s="2" t="s">
        <v>67</v>
      </c>
    </row>
    <row r="73" spans="1:2">
      <c r="A73" s="1" t="s">
        <v>156</v>
      </c>
      <c r="B73" s="2" t="s">
        <v>67</v>
      </c>
    </row>
    <row r="74" spans="1:2">
      <c r="A74" s="1" t="s">
        <v>116</v>
      </c>
      <c r="B74" s="2" t="s">
        <v>108</v>
      </c>
    </row>
    <row r="75" spans="1:2">
      <c r="A75" s="1" t="s">
        <v>73</v>
      </c>
      <c r="B75" s="2" t="s">
        <v>67</v>
      </c>
    </row>
    <row r="76" spans="1:2">
      <c r="A76" s="1" t="s">
        <v>83</v>
      </c>
      <c r="B76" s="2" t="s">
        <v>78</v>
      </c>
    </row>
    <row r="77" spans="1:2">
      <c r="A77" s="1" t="s">
        <v>99</v>
      </c>
      <c r="B77" s="2" t="s">
        <v>74</v>
      </c>
    </row>
    <row r="78" spans="1:2">
      <c r="A78" s="1" t="s">
        <v>128</v>
      </c>
      <c r="B78" s="2" t="s">
        <v>74</v>
      </c>
    </row>
    <row r="79" spans="1:2">
      <c r="A79" s="1" t="s">
        <v>194</v>
      </c>
      <c r="B79" s="2" t="s">
        <v>129</v>
      </c>
    </row>
    <row r="80" ht="26.4" spans="1:2">
      <c r="A80" s="1" t="s">
        <v>84</v>
      </c>
      <c r="B80" s="2" t="s">
        <v>78</v>
      </c>
    </row>
    <row r="81" spans="1:2">
      <c r="A81" s="1" t="s">
        <v>79</v>
      </c>
      <c r="B81" s="2" t="s">
        <v>78</v>
      </c>
    </row>
    <row r="82" spans="1:2">
      <c r="A82" s="1" t="s">
        <v>117</v>
      </c>
      <c r="B82" s="2" t="s">
        <v>104</v>
      </c>
    </row>
    <row r="83" ht="26.4" spans="1:2">
      <c r="A83" s="1" t="s">
        <v>82</v>
      </c>
      <c r="B83" s="2" t="s">
        <v>74</v>
      </c>
    </row>
    <row r="84" ht="26.4" spans="1:2">
      <c r="A84" s="1" t="s">
        <v>149</v>
      </c>
      <c r="B84" s="2" t="s">
        <v>129</v>
      </c>
    </row>
    <row r="85" ht="26.4" spans="1:2">
      <c r="A85" s="1" t="s">
        <v>114</v>
      </c>
      <c r="B85" s="2" t="s">
        <v>78</v>
      </c>
    </row>
    <row r="86" spans="1:2">
      <c r="A86" s="1" t="s">
        <v>80</v>
      </c>
      <c r="B86" s="2" t="s">
        <v>67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Свод 01.11</vt:lpstr>
      <vt:lpstr>Свод</vt:lpstr>
      <vt:lpstr>Субъект</vt:lpstr>
      <vt:lpstr>Штаб</vt:lpstr>
      <vt:lpstr>Радар олд</vt:lpstr>
      <vt:lpstr>РО - регионы</vt:lpstr>
      <vt:lpstr>Спецтехника</vt:lpstr>
      <vt:lpstr>МНО</vt:lpstr>
      <vt:lpstr>Контейнеры</vt:lpstr>
      <vt:lpstr>ДК МНО</vt:lpstr>
      <vt:lpstr>РО - зоны</vt:lpstr>
      <vt:lpstr>Захоронение</vt:lpstr>
      <vt:lpstr>Обработка</vt:lpstr>
      <vt:lpstr>Утилизация</vt:lpstr>
      <vt:lpstr>Радар</vt:lpstr>
      <vt:lpstr>ДК ИП</vt:lpstr>
      <vt:lpstr>Округа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Макрушин</dc:creator>
  <cp:lastModifiedBy>Влада</cp:lastModifiedBy>
  <dcterms:created xsi:type="dcterms:W3CDTF">2024-09-27T18:50:00Z</dcterms:created>
  <cp:lastPrinted>2024-10-09T15:26:00Z</cp:lastPrinted>
  <dcterms:modified xsi:type="dcterms:W3CDTF">2024-10-30T00:27:19Z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2B95EEBDEF0A4FA8A128ED1D7678D2FB_12</vt:lpwstr>
  </property>
  <property fmtid="{D5CDD505-2E9C-101B-9397-08002B2CF9AE}" pid="3" name="KSOProductBuildVer">
    <vt:lpwstr>1049-12.2.0.18607</vt:lpwstr>
  </property>
</Properties>
</file>